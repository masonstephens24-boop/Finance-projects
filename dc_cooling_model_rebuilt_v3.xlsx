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mestephens_miners_utep_edu/Documents/water investment thesis/"/>
    </mc:Choice>
  </mc:AlternateContent>
  <xr:revisionPtr revIDLastSave="42" documentId="11_54268522FEF31961C4157F4E5FCC7C7E2C15EBBD" xr6:coauthVersionLast="47" xr6:coauthVersionMax="47" xr10:uidLastSave="{23C160C1-B96F-425F-8B32-C1544ACBA069}"/>
  <bookViews>
    <workbookView xWindow="-120" yWindow="-120" windowWidth="29040" windowHeight="15720" tabRatio="635" firstSheet="3" activeTab="10" xr2:uid="{00000000-000D-0000-FFFF-FFFF00000000}"/>
  </bookViews>
  <sheets>
    <sheet name="README_Audit" sheetId="1" r:id="rId1"/>
    <sheet name="Control_Panel" sheetId="2" r:id="rId2"/>
    <sheet name="Demand_Constrained" sheetId="3" r:id="rId3"/>
    <sheet name="Cooling_TAM_Bridge" sheetId="4" r:id="rId4"/>
    <sheet name="Revenue_Linkage" sheetId="5" r:id="rId5"/>
    <sheet name="Valuation" sheetId="6" r:id="rId6"/>
    <sheet name="Scorecard" sheetId="7" r:id="rId7"/>
    <sheet name="Scenario_Returns" sheetId="8" r:id="rId8"/>
    <sheet name="Portfolio" sheetId="9" r:id="rId9"/>
    <sheet name="Risk_Register" sheetId="10" r:id="rId10"/>
    <sheet name="DCF_Valuation_v2_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4" i="11" l="1"/>
  <c r="B102" i="11"/>
  <c r="B101" i="11"/>
  <c r="B100" i="11"/>
  <c r="B99" i="11"/>
  <c r="B98" i="11"/>
  <c r="B97" i="11"/>
  <c r="B96" i="11"/>
  <c r="G256" i="11"/>
  <c r="G255" i="11"/>
  <c r="G254" i="11"/>
  <c r="G253" i="11"/>
  <c r="G252" i="11"/>
  <c r="G251" i="11"/>
  <c r="G250" i="11"/>
  <c r="C19" i="2"/>
  <c r="C18" i="2"/>
  <c r="B13" i="2"/>
  <c r="D238" i="11"/>
  <c r="C238" i="11"/>
  <c r="B238" i="11"/>
  <c r="D235" i="11"/>
  <c r="D236" i="11" s="1"/>
  <c r="C235" i="11"/>
  <c r="C236" i="11" s="1"/>
  <c r="B235" i="11"/>
  <c r="B236" i="11" s="1"/>
  <c r="D234" i="11"/>
  <c r="D237" i="11" s="1"/>
  <c r="D239" i="11" s="1"/>
  <c r="D240" i="11" s="1"/>
  <c r="C234" i="11"/>
  <c r="C237" i="11" s="1"/>
  <c r="C239" i="11" s="1"/>
  <c r="C240" i="11" s="1"/>
  <c r="B234" i="11"/>
  <c r="B237" i="11" s="1"/>
  <c r="B239" i="11" s="1"/>
  <c r="B240" i="11" s="1"/>
  <c r="E231" i="11"/>
  <c r="D215" i="11"/>
  <c r="C215" i="11"/>
  <c r="B215" i="11"/>
  <c r="D212" i="11"/>
  <c r="D213" i="11" s="1"/>
  <c r="C212" i="11"/>
  <c r="C213" i="11" s="1"/>
  <c r="B212" i="11"/>
  <c r="B213" i="11" s="1"/>
  <c r="D211" i="11"/>
  <c r="D214" i="11" s="1"/>
  <c r="D216" i="11" s="1"/>
  <c r="D217" i="11" s="1"/>
  <c r="C211" i="11"/>
  <c r="C214" i="11" s="1"/>
  <c r="C216" i="11" s="1"/>
  <c r="C217" i="11" s="1"/>
  <c r="B211" i="11"/>
  <c r="B214" i="11" s="1"/>
  <c r="B216" i="11" s="1"/>
  <c r="B217" i="11" s="1"/>
  <c r="E209" i="11"/>
  <c r="E210" i="11" s="1"/>
  <c r="E208" i="11"/>
  <c r="F208" i="11" s="1"/>
  <c r="D192" i="11"/>
  <c r="C192" i="11"/>
  <c r="B192" i="11"/>
  <c r="E185" i="11"/>
  <c r="D169" i="11"/>
  <c r="C169" i="11"/>
  <c r="B169" i="11"/>
  <c r="E162" i="11"/>
  <c r="D146" i="11"/>
  <c r="C146" i="11"/>
  <c r="B146" i="11"/>
  <c r="E139" i="11"/>
  <c r="D123" i="11"/>
  <c r="C123" i="11"/>
  <c r="B123" i="11"/>
  <c r="D120" i="11"/>
  <c r="D121" i="11" s="1"/>
  <c r="C120" i="11"/>
  <c r="C121" i="11" s="1"/>
  <c r="B120" i="11"/>
  <c r="B121" i="11" s="1"/>
  <c r="D119" i="11"/>
  <c r="D122" i="11" s="1"/>
  <c r="D124" i="11" s="1"/>
  <c r="D125" i="11" s="1"/>
  <c r="C119" i="11"/>
  <c r="C122" i="11" s="1"/>
  <c r="C124" i="11" s="1"/>
  <c r="C125" i="11" s="1"/>
  <c r="B119" i="11"/>
  <c r="B122" i="11" s="1"/>
  <c r="B124" i="11" s="1"/>
  <c r="B125" i="11" s="1"/>
  <c r="E116" i="11"/>
  <c r="D100" i="11"/>
  <c r="C100" i="11"/>
  <c r="E93" i="11"/>
  <c r="D77" i="11"/>
  <c r="C77" i="11"/>
  <c r="B77" i="11"/>
  <c r="E70" i="11"/>
  <c r="D54" i="11"/>
  <c r="C54" i="11"/>
  <c r="B54" i="11"/>
  <c r="E47" i="11"/>
  <c r="D31" i="11"/>
  <c r="C31" i="11"/>
  <c r="B31" i="11"/>
  <c r="E24" i="11"/>
  <c r="D9" i="11"/>
  <c r="C9" i="11"/>
  <c r="B9" i="11"/>
  <c r="B32" i="9"/>
  <c r="B31" i="9"/>
  <c r="B30" i="9"/>
  <c r="B29" i="9"/>
  <c r="B28" i="9"/>
  <c r="B27" i="9"/>
  <c r="E21" i="9"/>
  <c r="C27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D9" i="8"/>
  <c r="D8" i="8"/>
  <c r="D7" i="8"/>
  <c r="D6" i="8"/>
  <c r="D5" i="8"/>
  <c r="J19" i="7"/>
  <c r="K19" i="7" s="1"/>
  <c r="L19" i="7" s="1"/>
  <c r="D19" i="9" s="1"/>
  <c r="J18" i="7"/>
  <c r="K18" i="7" s="1"/>
  <c r="L18" i="7" s="1"/>
  <c r="D18" i="9" s="1"/>
  <c r="J17" i="7"/>
  <c r="K17" i="7" s="1"/>
  <c r="L17" i="7" s="1"/>
  <c r="D12" i="9" s="1"/>
  <c r="J16" i="7"/>
  <c r="K16" i="7" s="1"/>
  <c r="L16" i="7" s="1"/>
  <c r="D8" i="9" s="1"/>
  <c r="J15" i="7"/>
  <c r="K15" i="7" s="1"/>
  <c r="L15" i="7" s="1"/>
  <c r="D15" i="9" s="1"/>
  <c r="J14" i="7"/>
  <c r="K14" i="7" s="1"/>
  <c r="L14" i="7" s="1"/>
  <c r="D14" i="9" s="1"/>
  <c r="J13" i="7"/>
  <c r="K13" i="7" s="1"/>
  <c r="L13" i="7" s="1"/>
  <c r="D17" i="9" s="1"/>
  <c r="J12" i="7"/>
  <c r="K12" i="7" s="1"/>
  <c r="L12" i="7" s="1"/>
  <c r="D16" i="9" s="1"/>
  <c r="J11" i="7"/>
  <c r="K11" i="7" s="1"/>
  <c r="L11" i="7" s="1"/>
  <c r="D13" i="9" s="1"/>
  <c r="J10" i="7"/>
  <c r="K10" i="7" s="1"/>
  <c r="L10" i="7" s="1"/>
  <c r="D11" i="9" s="1"/>
  <c r="J9" i="7"/>
  <c r="K9" i="7" s="1"/>
  <c r="L9" i="7" s="1"/>
  <c r="D7" i="9" s="1"/>
  <c r="J8" i="7"/>
  <c r="K8" i="7" s="1"/>
  <c r="L8" i="7" s="1"/>
  <c r="D9" i="9" s="1"/>
  <c r="J7" i="7"/>
  <c r="K7" i="7" s="1"/>
  <c r="L7" i="7" s="1"/>
  <c r="D5" i="9" s="1"/>
  <c r="J6" i="7"/>
  <c r="K6" i="7" s="1"/>
  <c r="L6" i="7" s="1"/>
  <c r="D10" i="9" s="1"/>
  <c r="J5" i="7"/>
  <c r="K5" i="7" s="1"/>
  <c r="L5" i="7" s="1"/>
  <c r="D6" i="9" s="1"/>
  <c r="F19" i="6"/>
  <c r="H19" i="6" s="1"/>
  <c r="F18" i="6"/>
  <c r="H18" i="6" s="1"/>
  <c r="F17" i="6"/>
  <c r="H17" i="6" s="1"/>
  <c r="F16" i="6"/>
  <c r="H16" i="6" s="1"/>
  <c r="F15" i="6"/>
  <c r="H15" i="6" s="1"/>
  <c r="F14" i="6"/>
  <c r="H14" i="6" s="1"/>
  <c r="F13" i="6"/>
  <c r="H13" i="6" s="1"/>
  <c r="F12" i="6"/>
  <c r="H12" i="6" s="1"/>
  <c r="F11" i="6"/>
  <c r="H11" i="6" s="1"/>
  <c r="F10" i="6"/>
  <c r="F9" i="6"/>
  <c r="F8" i="6"/>
  <c r="F7" i="6"/>
  <c r="F6" i="6"/>
  <c r="F5" i="6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G16" i="4"/>
  <c r="G17" i="4" s="1"/>
  <c r="F16" i="4"/>
  <c r="F17" i="4" s="1"/>
  <c r="E16" i="4"/>
  <c r="E17" i="4" s="1"/>
  <c r="D16" i="4"/>
  <c r="D17" i="4" s="1"/>
  <c r="C16" i="4"/>
  <c r="C17" i="4" s="1"/>
  <c r="B16" i="4"/>
  <c r="B17" i="4" s="1"/>
  <c r="G6" i="4"/>
  <c r="F6" i="4"/>
  <c r="E6" i="4"/>
  <c r="D6" i="4"/>
  <c r="C6" i="4"/>
  <c r="B6" i="4"/>
  <c r="I26" i="3"/>
  <c r="H26" i="3"/>
  <c r="G26" i="3"/>
  <c r="F26" i="3"/>
  <c r="E26" i="3"/>
  <c r="D26" i="3"/>
  <c r="C26" i="3"/>
  <c r="B26" i="3"/>
  <c r="B22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D18" i="2"/>
  <c r="D19" i="2" s="1"/>
  <c r="B18" i="2"/>
  <c r="B19" i="2" s="1"/>
  <c r="D13" i="2"/>
  <c r="C13" i="2"/>
  <c r="D242" i="11" l="1"/>
  <c r="J259" i="11" s="1"/>
  <c r="G259" i="11"/>
  <c r="C242" i="11"/>
  <c r="I259" i="11" s="1"/>
  <c r="M259" i="11" s="1"/>
  <c r="F259" i="11"/>
  <c r="B242" i="11"/>
  <c r="H259" i="11" s="1"/>
  <c r="E259" i="11"/>
  <c r="E232" i="11"/>
  <c r="E233" i="11" s="1"/>
  <c r="F231" i="11"/>
  <c r="G258" i="11"/>
  <c r="K258" i="11" s="1"/>
  <c r="D219" i="11"/>
  <c r="J258" i="11" s="1"/>
  <c r="C219" i="11"/>
  <c r="I258" i="11" s="1"/>
  <c r="M258" i="11" s="1"/>
  <c r="F258" i="11"/>
  <c r="B219" i="11"/>
  <c r="H258" i="11" s="1"/>
  <c r="E258" i="11"/>
  <c r="G208" i="11"/>
  <c r="F209" i="11"/>
  <c r="F210" i="11" s="1"/>
  <c r="E186" i="11"/>
  <c r="E187" i="11" s="1"/>
  <c r="F185" i="11"/>
  <c r="E163" i="11"/>
  <c r="E164" i="11" s="1"/>
  <c r="F162" i="11"/>
  <c r="E140" i="11"/>
  <c r="E141" i="11" s="1"/>
  <c r="F139" i="11"/>
  <c r="D127" i="11"/>
  <c r="J254" i="11" s="1"/>
  <c r="C127" i="11"/>
  <c r="I254" i="11" s="1"/>
  <c r="M254" i="11" s="1"/>
  <c r="F254" i="11"/>
  <c r="B127" i="11"/>
  <c r="H254" i="11" s="1"/>
  <c r="E254" i="11"/>
  <c r="F116" i="11"/>
  <c r="E117" i="11"/>
  <c r="E118" i="11" s="1"/>
  <c r="E94" i="11"/>
  <c r="E95" i="11" s="1"/>
  <c r="F93" i="11"/>
  <c r="F70" i="11"/>
  <c r="E71" i="11"/>
  <c r="E72" i="11" s="1"/>
  <c r="E48" i="11"/>
  <c r="E49" i="11" s="1"/>
  <c r="F47" i="11"/>
  <c r="F24" i="11"/>
  <c r="E25" i="11"/>
  <c r="E26" i="11" s="1"/>
  <c r="D166" i="11"/>
  <c r="D167" i="11" s="1"/>
  <c r="D188" i="11"/>
  <c r="D73" i="11"/>
  <c r="D143" i="11"/>
  <c r="D144" i="11" s="1"/>
  <c r="D28" i="11"/>
  <c r="D29" i="11" s="1"/>
  <c r="D142" i="11"/>
  <c r="D145" i="11" s="1"/>
  <c r="D147" i="11" s="1"/>
  <c r="D148" i="11" s="1"/>
  <c r="D50" i="11"/>
  <c r="D165" i="11"/>
  <c r="D168" i="11" s="1"/>
  <c r="D170" i="11" s="1"/>
  <c r="D171" i="11" s="1"/>
  <c r="D97" i="11"/>
  <c r="D98" i="11" s="1"/>
  <c r="D51" i="11"/>
  <c r="D52" i="11" s="1"/>
  <c r="D96" i="11"/>
  <c r="D99" i="11" s="1"/>
  <c r="D101" i="11" s="1"/>
  <c r="D102" i="11" s="1"/>
  <c r="D189" i="11"/>
  <c r="D190" i="11" s="1"/>
  <c r="D74" i="11"/>
  <c r="D75" i="11" s="1"/>
  <c r="D27" i="11"/>
  <c r="D30" i="11" s="1"/>
  <c r="D32" i="11" s="1"/>
  <c r="D33" i="11" s="1"/>
  <c r="C188" i="11"/>
  <c r="C191" i="11" s="1"/>
  <c r="C193" i="11" s="1"/>
  <c r="C194" i="11" s="1"/>
  <c r="C50" i="11"/>
  <c r="C53" i="11" s="1"/>
  <c r="C55" i="11" s="1"/>
  <c r="C56" i="11" s="1"/>
  <c r="C142" i="11"/>
  <c r="C145" i="11" s="1"/>
  <c r="C147" i="11" s="1"/>
  <c r="C148" i="11" s="1"/>
  <c r="C27" i="11"/>
  <c r="C97" i="11"/>
  <c r="C98" i="11" s="1"/>
  <c r="C74" i="11"/>
  <c r="C75" i="11" s="1"/>
  <c r="C143" i="11"/>
  <c r="C144" i="11" s="1"/>
  <c r="C73" i="11"/>
  <c r="C76" i="11" s="1"/>
  <c r="C78" i="11" s="1"/>
  <c r="C79" i="11" s="1"/>
  <c r="C165" i="11"/>
  <c r="C96" i="11"/>
  <c r="C99" i="11" s="1"/>
  <c r="C101" i="11" s="1"/>
  <c r="C102" i="11" s="1"/>
  <c r="C51" i="11"/>
  <c r="C52" i="11" s="1"/>
  <c r="C166" i="11"/>
  <c r="C167" i="11" s="1"/>
  <c r="C28" i="11"/>
  <c r="C29" i="11" s="1"/>
  <c r="C189" i="11"/>
  <c r="C190" i="11" s="1"/>
  <c r="B51" i="11"/>
  <c r="B52" i="11" s="1"/>
  <c r="B50" i="11"/>
  <c r="B53" i="11" s="1"/>
  <c r="B55" i="11" s="1"/>
  <c r="B56" i="11" s="1"/>
  <c r="B28" i="11"/>
  <c r="B29" i="11" s="1"/>
  <c r="B74" i="11"/>
  <c r="B75" i="11" s="1"/>
  <c r="B27" i="11"/>
  <c r="B30" i="11" s="1"/>
  <c r="B32" i="11" s="1"/>
  <c r="B33" i="11" s="1"/>
  <c r="B189" i="11"/>
  <c r="B190" i="11" s="1"/>
  <c r="B188" i="11"/>
  <c r="B191" i="11" s="1"/>
  <c r="B193" i="11" s="1"/>
  <c r="B194" i="11" s="1"/>
  <c r="B166" i="11"/>
  <c r="B167" i="11" s="1"/>
  <c r="B165" i="11"/>
  <c r="B168" i="11" s="1"/>
  <c r="B170" i="11" s="1"/>
  <c r="B171" i="11" s="1"/>
  <c r="B143" i="11"/>
  <c r="B144" i="11" s="1"/>
  <c r="B142" i="11"/>
  <c r="B145" i="11" s="1"/>
  <c r="B147" i="11" s="1"/>
  <c r="B148" i="11" s="1"/>
  <c r="B73" i="11"/>
  <c r="B76" i="11" s="1"/>
  <c r="B78" i="11" s="1"/>
  <c r="B79" i="11" s="1"/>
  <c r="L19" i="8"/>
  <c r="M19" i="8"/>
  <c r="N19" i="8"/>
  <c r="M18" i="8"/>
  <c r="N18" i="8"/>
  <c r="L18" i="8"/>
  <c r="F18" i="9" s="1"/>
  <c r="L17" i="8"/>
  <c r="N17" i="8"/>
  <c r="M17" i="8"/>
  <c r="N16" i="8"/>
  <c r="M16" i="8"/>
  <c r="M15" i="8"/>
  <c r="N15" i="8"/>
  <c r="L15" i="8"/>
  <c r="F15" i="9" s="1"/>
  <c r="L14" i="8"/>
  <c r="M14" i="8"/>
  <c r="N14" i="8"/>
  <c r="N13" i="8"/>
  <c r="L13" i="8"/>
  <c r="F17" i="9" s="1"/>
  <c r="M13" i="8"/>
  <c r="M12" i="8"/>
  <c r="L12" i="8"/>
  <c r="N12" i="8"/>
  <c r="L11" i="8"/>
  <c r="F13" i="9" s="1"/>
  <c r="M11" i="8"/>
  <c r="N11" i="8"/>
  <c r="J19" i="6"/>
  <c r="M19" i="6" s="1"/>
  <c r="K19" i="6"/>
  <c r="N19" i="6" s="1"/>
  <c r="L19" i="6"/>
  <c r="O19" i="6" s="1"/>
  <c r="E19" i="8"/>
  <c r="J18" i="6"/>
  <c r="M18" i="6" s="1"/>
  <c r="K18" i="6"/>
  <c r="N18" i="6" s="1"/>
  <c r="L18" i="6"/>
  <c r="O18" i="6" s="1"/>
  <c r="E18" i="8"/>
  <c r="J17" i="6"/>
  <c r="M17" i="6" s="1"/>
  <c r="K17" i="6"/>
  <c r="N17" i="6" s="1"/>
  <c r="L17" i="6"/>
  <c r="O17" i="6" s="1"/>
  <c r="E17" i="8"/>
  <c r="J16" i="6"/>
  <c r="M16" i="6" s="1"/>
  <c r="K16" i="6"/>
  <c r="N16" i="6" s="1"/>
  <c r="L16" i="6"/>
  <c r="O16" i="6" s="1"/>
  <c r="E16" i="8"/>
  <c r="L16" i="8" s="1"/>
  <c r="J15" i="6"/>
  <c r="M15" i="6" s="1"/>
  <c r="K15" i="6"/>
  <c r="N15" i="6" s="1"/>
  <c r="L15" i="6"/>
  <c r="O15" i="6" s="1"/>
  <c r="E15" i="8"/>
  <c r="J14" i="6"/>
  <c r="M14" i="6" s="1"/>
  <c r="K14" i="6"/>
  <c r="N14" i="6" s="1"/>
  <c r="L14" i="6"/>
  <c r="O14" i="6" s="1"/>
  <c r="E14" i="8"/>
  <c r="J13" i="6"/>
  <c r="M13" i="6" s="1"/>
  <c r="K13" i="6"/>
  <c r="N13" i="6" s="1"/>
  <c r="L13" i="6"/>
  <c r="O13" i="6" s="1"/>
  <c r="E13" i="8"/>
  <c r="J12" i="6"/>
  <c r="M12" i="6" s="1"/>
  <c r="K12" i="6"/>
  <c r="N12" i="6" s="1"/>
  <c r="L12" i="6"/>
  <c r="O12" i="6" s="1"/>
  <c r="E12" i="8"/>
  <c r="J11" i="6"/>
  <c r="M11" i="6" s="1"/>
  <c r="K11" i="6"/>
  <c r="N11" i="6" s="1"/>
  <c r="L11" i="6"/>
  <c r="O11" i="6" s="1"/>
  <c r="E11" i="8"/>
  <c r="C10" i="8"/>
  <c r="H10" i="6"/>
  <c r="C9" i="8"/>
  <c r="H9" i="6"/>
  <c r="H8" i="6"/>
  <c r="C8" i="8"/>
  <c r="H7" i="6"/>
  <c r="C7" i="8"/>
  <c r="H6" i="6"/>
  <c r="C6" i="8"/>
  <c r="H5" i="6"/>
  <c r="C5" i="8"/>
  <c r="M19" i="5"/>
  <c r="L19" i="5"/>
  <c r="M18" i="5"/>
  <c r="L18" i="5"/>
  <c r="M17" i="5"/>
  <c r="L17" i="5"/>
  <c r="M16" i="5"/>
  <c r="L16" i="5"/>
  <c r="L15" i="5"/>
  <c r="M15" i="5"/>
  <c r="M14" i="5"/>
  <c r="L14" i="5"/>
  <c r="L13" i="5"/>
  <c r="M13" i="5"/>
  <c r="L12" i="5"/>
  <c r="M12" i="5"/>
  <c r="L11" i="5"/>
  <c r="M11" i="5"/>
  <c r="L10" i="5"/>
  <c r="M10" i="5"/>
  <c r="L9" i="5"/>
  <c r="M9" i="5"/>
  <c r="L8" i="5"/>
  <c r="M8" i="5"/>
  <c r="L7" i="5"/>
  <c r="M7" i="5"/>
  <c r="L6" i="5"/>
  <c r="M6" i="5"/>
  <c r="L5" i="5"/>
  <c r="M5" i="5"/>
  <c r="B13" i="3"/>
  <c r="B18" i="3" s="1"/>
  <c r="E13" i="3"/>
  <c r="E18" i="3" s="1"/>
  <c r="H13" i="3"/>
  <c r="H18" i="3" s="1"/>
  <c r="C13" i="3"/>
  <c r="C18" i="3" s="1"/>
  <c r="D13" i="3"/>
  <c r="D18" i="3" s="1"/>
  <c r="F13" i="3"/>
  <c r="F18" i="3" s="1"/>
  <c r="G13" i="3"/>
  <c r="G18" i="3" s="1"/>
  <c r="I13" i="3"/>
  <c r="I18" i="3" s="1"/>
  <c r="B12" i="3"/>
  <c r="B17" i="3" s="1"/>
  <c r="B21" i="3" s="1"/>
  <c r="D12" i="3"/>
  <c r="D17" i="3" s="1"/>
  <c r="D21" i="3" s="1"/>
  <c r="F12" i="3"/>
  <c r="F17" i="3" s="1"/>
  <c r="F21" i="3" s="1"/>
  <c r="I12" i="3"/>
  <c r="I17" i="3" s="1"/>
  <c r="I21" i="3" s="1"/>
  <c r="C12" i="3"/>
  <c r="C17" i="3" s="1"/>
  <c r="C21" i="3" s="1"/>
  <c r="E12" i="3"/>
  <c r="E17" i="3" s="1"/>
  <c r="E21" i="3" s="1"/>
  <c r="G12" i="3"/>
  <c r="G17" i="3" s="1"/>
  <c r="G21" i="3" s="1"/>
  <c r="H12" i="3"/>
  <c r="H17" i="3" s="1"/>
  <c r="H21" i="3" s="1"/>
  <c r="B11" i="3"/>
  <c r="B16" i="3" s="1"/>
  <c r="C11" i="3"/>
  <c r="C16" i="3" s="1"/>
  <c r="D11" i="3"/>
  <c r="D16" i="3" s="1"/>
  <c r="E11" i="3"/>
  <c r="E16" i="3" s="1"/>
  <c r="F11" i="3"/>
  <c r="F16" i="3" s="1"/>
  <c r="G11" i="3"/>
  <c r="G16" i="3" s="1"/>
  <c r="H11" i="3"/>
  <c r="H16" i="3" s="1"/>
  <c r="I11" i="3"/>
  <c r="I16" i="3" s="1"/>
  <c r="H22" i="3" l="1"/>
  <c r="F22" i="3"/>
  <c r="D22" i="3"/>
  <c r="G231" i="11"/>
  <c r="F232" i="11"/>
  <c r="F233" i="11" s="1"/>
  <c r="H208" i="11"/>
  <c r="G209" i="11"/>
  <c r="G210" i="11" s="1"/>
  <c r="G185" i="11"/>
  <c r="F186" i="11"/>
  <c r="F187" i="11" s="1"/>
  <c r="G162" i="11"/>
  <c r="F163" i="11"/>
  <c r="F164" i="11" s="1"/>
  <c r="G139" i="11"/>
  <c r="F140" i="11"/>
  <c r="F141" i="11" s="1"/>
  <c r="F117" i="11"/>
  <c r="F118" i="11" s="1"/>
  <c r="G116" i="11"/>
  <c r="G93" i="11"/>
  <c r="F94" i="11"/>
  <c r="F95" i="11" s="1"/>
  <c r="G70" i="11"/>
  <c r="F71" i="11"/>
  <c r="F72" i="11" s="1"/>
  <c r="G47" i="11"/>
  <c r="F48" i="11"/>
  <c r="F49" i="11" s="1"/>
  <c r="G24" i="11"/>
  <c r="F25" i="11"/>
  <c r="F26" i="11" s="1"/>
  <c r="D150" i="11"/>
  <c r="J255" i="11" s="1"/>
  <c r="D173" i="11"/>
  <c r="J256" i="11" s="1"/>
  <c r="D104" i="11"/>
  <c r="J253" i="11" s="1"/>
  <c r="K253" i="11"/>
  <c r="D35" i="11"/>
  <c r="J250" i="11" s="1"/>
  <c r="C196" i="11"/>
  <c r="I257" i="11" s="1"/>
  <c r="M257" i="11" s="1"/>
  <c r="F257" i="11"/>
  <c r="C58" i="11"/>
  <c r="I251" i="11" s="1"/>
  <c r="M251" i="11" s="1"/>
  <c r="F251" i="11"/>
  <c r="C150" i="11"/>
  <c r="I255" i="11" s="1"/>
  <c r="M255" i="11" s="1"/>
  <c r="F255" i="11"/>
  <c r="C81" i="11"/>
  <c r="I252" i="11" s="1"/>
  <c r="M252" i="11" s="1"/>
  <c r="F252" i="11"/>
  <c r="C104" i="11"/>
  <c r="I253" i="11" s="1"/>
  <c r="M253" i="11" s="1"/>
  <c r="F253" i="11"/>
  <c r="B58" i="11"/>
  <c r="H251" i="11" s="1"/>
  <c r="E251" i="11"/>
  <c r="B35" i="11"/>
  <c r="H250" i="11" s="1"/>
  <c r="H261" i="11" s="1"/>
  <c r="E250" i="11"/>
  <c r="B196" i="11"/>
  <c r="H257" i="11" s="1"/>
  <c r="E257" i="11"/>
  <c r="B173" i="11"/>
  <c r="H256" i="11" s="1"/>
  <c r="E256" i="11"/>
  <c r="B150" i="11"/>
  <c r="H255" i="11" s="1"/>
  <c r="E255" i="11"/>
  <c r="H253" i="11"/>
  <c r="E253" i="11"/>
  <c r="B81" i="11"/>
  <c r="H252" i="11" s="1"/>
  <c r="E252" i="11"/>
  <c r="J10" i="6"/>
  <c r="M10" i="6" s="1"/>
  <c r="K10" i="6"/>
  <c r="N10" i="6" s="1"/>
  <c r="L10" i="6"/>
  <c r="O10" i="6" s="1"/>
  <c r="E10" i="8"/>
  <c r="J9" i="6"/>
  <c r="M9" i="6" s="1"/>
  <c r="K9" i="6"/>
  <c r="N9" i="6" s="1"/>
  <c r="L9" i="6"/>
  <c r="O9" i="6" s="1"/>
  <c r="E9" i="8"/>
  <c r="J8" i="6"/>
  <c r="M8" i="6" s="1"/>
  <c r="K8" i="6"/>
  <c r="N8" i="6" s="1"/>
  <c r="L8" i="6"/>
  <c r="O8" i="6" s="1"/>
  <c r="E8" i="8"/>
  <c r="J7" i="6"/>
  <c r="M7" i="6" s="1"/>
  <c r="K7" i="6"/>
  <c r="N7" i="6" s="1"/>
  <c r="L7" i="6"/>
  <c r="O7" i="6" s="1"/>
  <c r="E7" i="8"/>
  <c r="J6" i="6"/>
  <c r="M6" i="6" s="1"/>
  <c r="K6" i="6"/>
  <c r="N6" i="6" s="1"/>
  <c r="L6" i="6"/>
  <c r="O6" i="6" s="1"/>
  <c r="E6" i="8"/>
  <c r="J5" i="6"/>
  <c r="M5" i="6" s="1"/>
  <c r="K5" i="6"/>
  <c r="N5" i="6" s="1"/>
  <c r="L5" i="6"/>
  <c r="O5" i="6" s="1"/>
  <c r="E5" i="8"/>
  <c r="E5" i="4"/>
  <c r="E7" i="4" s="1"/>
  <c r="F5" i="4"/>
  <c r="F7" i="4" s="1"/>
  <c r="G5" i="4"/>
  <c r="G7" i="4" s="1"/>
  <c r="K259" i="11"/>
  <c r="K254" i="11"/>
  <c r="D191" i="11"/>
  <c r="D193" i="11" s="1"/>
  <c r="D194" i="11" s="1"/>
  <c r="D76" i="11"/>
  <c r="D78" i="11" s="1"/>
  <c r="D79" i="11" s="1"/>
  <c r="D53" i="11"/>
  <c r="D55" i="11" s="1"/>
  <c r="D56" i="11" s="1"/>
  <c r="C30" i="11"/>
  <c r="C32" i="11" s="1"/>
  <c r="C33" i="11" s="1"/>
  <c r="C168" i="11"/>
  <c r="C170" i="11" s="1"/>
  <c r="C171" i="11" s="1"/>
  <c r="F19" i="9"/>
  <c r="F12" i="9"/>
  <c r="F14" i="9"/>
  <c r="F16" i="9"/>
  <c r="F8" i="9"/>
  <c r="I22" i="3"/>
  <c r="C22" i="3"/>
  <c r="E22" i="3"/>
  <c r="G22" i="3"/>
  <c r="H231" i="11" l="1"/>
  <c r="G232" i="11"/>
  <c r="G233" i="11" s="1"/>
  <c r="I208" i="11"/>
  <c r="I209" i="11" s="1"/>
  <c r="I210" i="11" s="1"/>
  <c r="H209" i="11"/>
  <c r="H210" i="11" s="1"/>
  <c r="H185" i="11"/>
  <c r="G186" i="11"/>
  <c r="G187" i="11" s="1"/>
  <c r="H162" i="11"/>
  <c r="G163" i="11"/>
  <c r="G164" i="11" s="1"/>
  <c r="H139" i="11"/>
  <c r="G140" i="11"/>
  <c r="G141" i="11" s="1"/>
  <c r="H116" i="11"/>
  <c r="G117" i="11"/>
  <c r="G118" i="11" s="1"/>
  <c r="H93" i="11"/>
  <c r="G94" i="11"/>
  <c r="G95" i="11" s="1"/>
  <c r="H70" i="11"/>
  <c r="G71" i="11"/>
  <c r="G72" i="11" s="1"/>
  <c r="H47" i="11"/>
  <c r="G48" i="11"/>
  <c r="G49" i="11" s="1"/>
  <c r="H24" i="11"/>
  <c r="G25" i="11"/>
  <c r="G26" i="11" s="1"/>
  <c r="L10" i="8"/>
  <c r="M10" i="8"/>
  <c r="N10" i="8"/>
  <c r="L9" i="8"/>
  <c r="M9" i="8"/>
  <c r="N9" i="8"/>
  <c r="N8" i="8"/>
  <c r="L8" i="8"/>
  <c r="F9" i="9" s="1"/>
  <c r="M8" i="8"/>
  <c r="M7" i="8"/>
  <c r="L7" i="8"/>
  <c r="F5" i="9" s="1"/>
  <c r="N7" i="8"/>
  <c r="L6" i="8"/>
  <c r="F10" i="9" s="1"/>
  <c r="M6" i="8"/>
  <c r="N6" i="8"/>
  <c r="N5" i="8"/>
  <c r="L5" i="8"/>
  <c r="M5" i="8"/>
  <c r="E10" i="4"/>
  <c r="E20" i="4"/>
  <c r="F10" i="4"/>
  <c r="F20" i="4"/>
  <c r="G10" i="4"/>
  <c r="G11" i="4" s="1"/>
  <c r="G12" i="4"/>
  <c r="G20" i="4"/>
  <c r="G257" i="11"/>
  <c r="K257" i="11" s="1"/>
  <c r="D196" i="11"/>
  <c r="J257" i="11" s="1"/>
  <c r="K252" i="11"/>
  <c r="D81" i="11"/>
  <c r="J252" i="11" s="1"/>
  <c r="K251" i="11"/>
  <c r="D58" i="11"/>
  <c r="J251" i="11" s="1"/>
  <c r="F250" i="11"/>
  <c r="C35" i="11"/>
  <c r="I250" i="11" s="1"/>
  <c r="F256" i="11"/>
  <c r="C173" i="11"/>
  <c r="I256" i="11" s="1"/>
  <c r="M256" i="11" s="1"/>
  <c r="D5" i="4"/>
  <c r="D7" i="4" s="1"/>
  <c r="C5" i="4"/>
  <c r="C7" i="4" s="1"/>
  <c r="B5" i="4"/>
  <c r="B7" i="4" s="1"/>
  <c r="K255" i="11"/>
  <c r="K256" i="11"/>
  <c r="K250" i="11"/>
  <c r="E11" i="4" l="1"/>
  <c r="E12" i="4"/>
  <c r="E13" i="4" s="1"/>
  <c r="F11" i="4"/>
  <c r="F12" i="4"/>
  <c r="F13" i="4" s="1"/>
  <c r="I231" i="11"/>
  <c r="I232" i="11" s="1"/>
  <c r="I233" i="11" s="1"/>
  <c r="H232" i="11"/>
  <c r="H233" i="11" s="1"/>
  <c r="I185" i="11"/>
  <c r="I186" i="11" s="1"/>
  <c r="I187" i="11" s="1"/>
  <c r="H186" i="11"/>
  <c r="H187" i="11" s="1"/>
  <c r="I162" i="11"/>
  <c r="I163" i="11" s="1"/>
  <c r="I164" i="11" s="1"/>
  <c r="H163" i="11"/>
  <c r="H164" i="11" s="1"/>
  <c r="I139" i="11"/>
  <c r="I140" i="11" s="1"/>
  <c r="I141" i="11" s="1"/>
  <c r="H140" i="11"/>
  <c r="H141" i="11" s="1"/>
  <c r="H117" i="11"/>
  <c r="H118" i="11" s="1"/>
  <c r="I116" i="11"/>
  <c r="I117" i="11" s="1"/>
  <c r="I118" i="11" s="1"/>
  <c r="I93" i="11"/>
  <c r="I94" i="11" s="1"/>
  <c r="I95" i="11" s="1"/>
  <c r="H94" i="11"/>
  <c r="H95" i="11" s="1"/>
  <c r="I70" i="11"/>
  <c r="I71" i="11" s="1"/>
  <c r="I72" i="11" s="1"/>
  <c r="H71" i="11"/>
  <c r="H72" i="11" s="1"/>
  <c r="I47" i="11"/>
  <c r="I48" i="11" s="1"/>
  <c r="I49" i="11" s="1"/>
  <c r="H48" i="11"/>
  <c r="H49" i="11" s="1"/>
  <c r="I24" i="11"/>
  <c r="I25" i="11" s="1"/>
  <c r="I26" i="11" s="1"/>
  <c r="H25" i="11"/>
  <c r="H26" i="11" s="1"/>
  <c r="I261" i="11"/>
  <c r="M250" i="11"/>
  <c r="D10" i="4"/>
  <c r="D20" i="4"/>
  <c r="C10" i="4"/>
  <c r="C20" i="4"/>
  <c r="B10" i="4"/>
  <c r="B20" i="4"/>
  <c r="F11" i="9"/>
  <c r="F6" i="9"/>
  <c r="F7" i="9"/>
  <c r="G13" i="4"/>
  <c r="J261" i="11"/>
  <c r="D11" i="4" l="1"/>
  <c r="D12" i="4"/>
  <c r="D13" i="4" s="1"/>
  <c r="F22" i="9"/>
  <c r="C11" i="4"/>
  <c r="C12" i="4"/>
  <c r="C13" i="4" s="1"/>
  <c r="B11" i="4"/>
  <c r="B12" i="4"/>
  <c r="B13" i="4" s="1"/>
</calcChain>
</file>

<file path=xl/sharedStrings.xml><?xml version="1.0" encoding="utf-8"?>
<sst xmlns="http://schemas.openxmlformats.org/spreadsheetml/2006/main" count="888" uniqueCount="478">
  <si>
    <t>DATA CENTER COOLING INVESTMENT MODEL — REBUILT v3.0</t>
  </si>
  <si>
    <t>Rebuilt April 2026  |  Institutional audit + structural overhaul of v2.1</t>
  </si>
  <si>
    <t>READING ORDER</t>
  </si>
  <si>
    <t>1. README_Audit         — this tab; audit findings &amp; rebuild rationale</t>
  </si>
  <si>
    <t>2. Control_Panel        — every tunable assumption; one source of truth</t>
  </si>
  <si>
    <t>3. Demand_Constrained   — constraint-based DC capacity &amp; cooling TAM build</t>
  </si>
  <si>
    <t>4. Cooling_TAM_Bridge   — air vs liquid TAM split with replacement vs new-build</t>
  </si>
  <si>
    <t>5. Revenue_Linkage      — TAM × Share × Attach × Timing per company (REBUILT)</t>
  </si>
  <si>
    <t>6. Valuation            — multiple-based + DCF cross-check per company</t>
  </si>
  <si>
    <t>7. Scorecard            — rubric-driven; valuation now a category (REBUILT)</t>
  </si>
  <si>
    <t>8. Portfolio            — bottom-up returns from valuation; correlation buckets</t>
  </si>
  <si>
    <t>9. Scenario_Returns     — mechanically derived bear/base/bull per name</t>
  </si>
  <si>
    <t>10. Risk_Register       — disconfirming evidence + falsification triggers</t>
  </si>
  <si>
    <t>11. DCF_Valuation       — preserved from v2.1 (formulas were sound)</t>
  </si>
  <si>
    <t>PART 1 — AUDIT OF v2.1 (BLUNT)</t>
  </si>
  <si>
    <t>STRENGTHS</t>
  </si>
  <si>
    <t>• DCF tab is mechanically sound: real formulas, scenario columns, reasonable structure. Kept intact.</t>
  </si>
  <si>
    <t>• Value Chain CAGR formulas check out arithmetically.</t>
  </si>
  <si>
    <t>• Demand Model blended-WUE math is internally consistent (rows 18, 22-24 tie).</t>
  </si>
  <si>
    <t>• Glossary effort is real and useful for audience handoff.</t>
  </si>
  <si>
    <t>CRITICAL ERRORS</t>
  </si>
  <si>
    <t>E1. Revenue Linkage 'Upside %' formula is wrong AND meaningless.</t>
  </si>
  <si>
    <t xml:space="preserve">    Formula in G20:G34 is =D/F-1, comparing INCREMENTAL new-build revenue (flow)</t>
  </si>
  <si>
    <t xml:space="preserve">    against CURRENT TOTAL DC revenue (stock). This produces nonsense like VRT 'upside = -29%'</t>
  </si>
  <si>
    <t xml:space="preserve">    even though VRT is the strongest name in the model. The numerator and denominator are</t>
  </si>
  <si>
    <t xml:space="preserve">    different units. Fix: separate (a) total addressable opportunity, (b) capture share,</t>
  </si>
  <si>
    <t xml:space="preserve">    (c) ramp timing, (d) compare to forecast revenue, not current revenue.</t>
  </si>
  <si>
    <t>E2. Demand Model 'High Case' has a NEGATIVE growth point (D24/C24 = -11%)</t>
  </si>
  <si>
    <t xml:space="preserve">    because % Air-Cooled in row 12 is treated as a HARDCODED override that doesn't</t>
  </si>
  <si>
    <t xml:space="preserve">    sum to 100% across the row. Row 12 sums: 2025=0.55, 2030=0.18 fine; but 2024</t>
  </si>
  <si>
    <t xml:space="preserve">    column = 0.60 + 0.30 + 0.10 = 1.00 OK… on inspection rows 12-14 sum varies because</t>
  </si>
  <si>
    <t xml:space="preserve">    cells in column J got mis-entered as data values. The schema is broken: a 'parameter'</t>
  </si>
  <si>
    <t xml:space="preserve">    in column J should be a source note, not a 2030E data point. The 'High' WUE bounce in</t>
  </si>
  <si>
    <t xml:space="preserve">    2025E reflects this corrupted column. Fix: rebuild as % shares that algebraically sum to 1.</t>
  </si>
  <si>
    <t>E3. Demand Model is unconstrained.</t>
  </si>
  <si>
    <t xml:space="preserve">    The 'High Case' 2030 = 900 TWh implies ~140 GW of new US DC capacity by 2030.</t>
  </si>
  <si>
    <t xml:space="preserve">    This exceeds plausible US transmission interconnection capacity (current ERCOT/PJM</t>
  </si>
  <si>
    <t xml:space="preserve">    queues already 2-4yr lag). No power, water, land, or permitting constraints are modeled.</t>
  </si>
  <si>
    <t xml:space="preserve">    The assumption is 'physics-possible' but not 'currently underwritten.' Fix: build a</t>
  </si>
  <si>
    <t xml:space="preserve">    constraint module that gates demand by interconnection MW additions.</t>
  </si>
  <si>
    <t>E4. Factor Scoring 'Raw Score' (col H) is AVERAGE while 'Weighted Score' (col I) is the</t>
  </si>
  <si>
    <t xml:space="preserve">    actual rank driver — but the displayed 'Rank' column was MANUALLY typed and does not</t>
  </si>
  <si>
    <t xml:space="preserve">    match the weighted score sort. e.g. ETN (84.5) is ranked #3 but should be #2 ahead of</t>
  </si>
  <si>
    <t xml:space="preserve">    MOD (77.5). NVT (79.75) ranks #4 but beats SE.PA (74.75) at #5 — that one is OK. AAON</t>
  </si>
  <si>
    <t xml:space="preserve">    (58.5) ranks #13 below FIX (56.25) and PWR (48.75) — wrong sort. The rank column is</t>
  </si>
  <si>
    <t xml:space="preserve">    a manual override masquerading as model output.</t>
  </si>
  <si>
    <t>E5. Factor Scoring includes ZERO valuation factor.</t>
  </si>
  <si>
    <t xml:space="preserve">    A 'Strong Buy' rating with no view on price is not an investment recommendation,</t>
  </si>
  <si>
    <t xml:space="preserve">    it's a thematic exposure rating. VRT at 38x P/E and MOD at 28x are not</t>
  </si>
  <si>
    <t xml:space="preserve">    interchangeable just because both score high on 'DC Growth Exposure.'</t>
  </si>
  <si>
    <t>E6. Portfolio scenario returns are HARDCODED.</t>
  </si>
  <si>
    <t xml:space="preserve">    Bull/Base/Bear returns (55% / 30% / 5%) in 'Portfolio &amp; Scenarios' rows 20-22 are</t>
  </si>
  <si>
    <t xml:space="preserve">    typed in. They are NOT derived from any company-level revenue→margin→multiple chain.</t>
  </si>
  <si>
    <t xml:space="preserve">    The 'Expected Return = 30%' in F23 is real arithmetic — but built on three numbers</t>
  </si>
  <si>
    <t xml:space="preserve">    pulled from the air. This is the most misleading single output in the workbook.</t>
  </si>
  <si>
    <t>E7. Liquid cooling adoption is treated as a 1:1 substitution for air cooling.</t>
  </si>
  <si>
    <t xml:space="preserve">    Rows 12-14 of Demand Model sum to 100% across cooling type, implying liquid</t>
  </si>
  <si>
    <t xml:space="preserve">    REPLACES air. In reality every liquid-cooled rack still needs facility-level CRAH/CRAC,</t>
  </si>
  <si>
    <t xml:space="preserve">    chillers/cooling towers for CDU heat rejection, and air handlers for ancillary loads.</t>
  </si>
  <si>
    <t xml:space="preserve">    The model double-undercounts traditional HVAC and overcounts pure liquid spend.</t>
  </si>
  <si>
    <t>E8. Revenue Linkage 'Cooling % of DC Capex = 18%' is internally inconsistent with</t>
  </si>
  <si>
    <t xml:space="preserve">    Cooling Cost per MW assumptions. 12 GW × $1.8M/MW air + liquid uplift ≈ $30B 2025E,</t>
  </si>
  <si>
    <t xml:space="preserve">    not the $230B × 18% = $41B implied by the percentage. The two methods don't reconcile</t>
  </si>
  <si>
    <t xml:space="preserve">    and both are used in different parts of the model.</t>
  </si>
  <si>
    <t>E9. ETN 'Upside % Base' = 0% (G22) and AAON = 0% (G33) — these are not formulas</t>
  </si>
  <si>
    <t xml:space="preserve">    producing zero, they reflect cases where the broken (D/F-1) formula coincidentally</t>
  </si>
  <si>
    <t xml:space="preserve">    landed on numerator = denominator. Spurious precision.</t>
  </si>
  <si>
    <t>E10. Executive Summary 'Cooling TAM 2030E = $125B' (E22) does not reconcile to</t>
  </si>
  <si>
    <t xml:space="preserve">     Value Chain TAM total ($125.2B is total value chain INCLUDING construction/MEP/E&amp;C</t>
  </si>
  <si>
    <t xml:space="preserve">     line items that are NOT cooling). Pure cooling equipment subset is ~$50B in the same</t>
  </si>
  <si>
    <t xml:space="preserve">     tab. Headline number is overstated 2.5x.</t>
  </si>
  <si>
    <t>E11. Demand Model row 13 (% Evaporative): the 2025 value is 0.23 but 2026 is 0.28 —</t>
  </si>
  <si>
    <t xml:space="preserve">     evaporative share INCREASES then decreases. No physical or economic rationale.</t>
  </si>
  <si>
    <t xml:space="preserve">     Almost certainly a typo. The 'High Case' 2025 dip in water demand traces back to this.</t>
  </si>
  <si>
    <t>E12. WACC range in DCF (10.07% to 11.18%) is the SAME for every company regardless of</t>
  </si>
  <si>
    <t xml:space="preserve">     beta differences across the universe. EME (E&amp;C, ~1.2 beta) and AAON (small-cap, ~1.4)</t>
  </si>
  <si>
    <t xml:space="preserve">     should not share VRT's discount rate.</t>
  </si>
  <si>
    <t>PART 2 — REBUILT ARCHITECTURE</t>
  </si>
  <si>
    <t>This workbook now flows: Control Panel → Demand → TAM → Linkage → Valuation → Score → Portfolio.</t>
  </si>
  <si>
    <t>Every downstream cell traces back to Control_Panel inputs. No orphan hardcodes in calculation tabs.</t>
  </si>
  <si>
    <t>PART 9 — RED-TEAM CONCLUSION (preview, full version on Portfolio tab)</t>
  </si>
  <si>
    <t>• The original model was a thematic narrative dressed as a financial model. The thesis is not wrong;</t>
  </si>
  <si>
    <t xml:space="preserve">  the math underneath was insufficient to defend it.</t>
  </si>
  <si>
    <t>• After correcting the revenue linkage and scoring math, the rank order changes materially:</t>
  </si>
  <si>
    <t xml:space="preserve">  ETN moves up (valuation reasonable, scale + Boyd), VRT remains #1 but with a thinner margin</t>
  </si>
  <si>
    <t xml:space="preserve">  of safety (38x forward P/E pricing in much of the bull case), MOD drops on valuation/</t>
  </si>
  <si>
    <t xml:space="preserve">  cyclicality concerns despite excellent exposure.</t>
  </si>
  <si>
    <t>• Names that looked good ONLY because the original was optimistic: PWR, FIX, MOD (partial).</t>
  </si>
  <si>
    <t>• Names that look better after correcting: ETN, EME, NVT (decent value-vs-exposure tradeoff).</t>
  </si>
  <si>
    <t>• The whole portfolio is one macro bet on hyperscaler capex sustaining through 2027. Correlation</t>
  </si>
  <si>
    <t xml:space="preserve">  is the dominant risk; ticker count is misleading diversification.</t>
  </si>
  <si>
    <t>• Probability-weighted portfolio return after rebuild: ~14-18% over 3 years (vs 30% in v2.1).</t>
  </si>
  <si>
    <t xml:space="preserve">  The delta is almost entirely valuation-driven, not demand-driven.</t>
  </si>
  <si>
    <t>CONTROL PANEL — All tunable model inputs</t>
  </si>
  <si>
    <t>Edit BLUE cells only. All other tabs reference these. Do not hardcode in downstream tabs.</t>
  </si>
  <si>
    <t>GLOBAL DISCOUNTING</t>
  </si>
  <si>
    <t>Bear</t>
  </si>
  <si>
    <t>Base</t>
  </si>
  <si>
    <t>Bull</t>
  </si>
  <si>
    <t>Unit</t>
  </si>
  <si>
    <t>Source / Note</t>
  </si>
  <si>
    <t>Risk-free rate (10yr UST)</t>
  </si>
  <si>
    <t>%</t>
  </si>
  <si>
    <t>Apr 2026 spot</t>
  </si>
  <si>
    <t>Equity risk premium</t>
  </si>
  <si>
    <t>Damodaran ERP +/- regime</t>
  </si>
  <si>
    <t>Terminal growth</t>
  </si>
  <si>
    <t>GDP-anchored; bull = +50bps</t>
  </si>
  <si>
    <t>Multiple compression haircut (bear)</t>
  </si>
  <si>
    <t>Applied to current EV/EBITDA in bear case</t>
  </si>
  <si>
    <t>DEMAND — US DC ELECTRICITY (TWh)</t>
  </si>
  <si>
    <t>Rationale</t>
  </si>
  <si>
    <t>2023 actual</t>
  </si>
  <si>
    <t>TWh</t>
  </si>
  <si>
    <t>IEA / EPRI baseline</t>
  </si>
  <si>
    <t>2030E unconstrained</t>
  </si>
  <si>
    <t>Bear=efficiency-led; Base=Dell'Oro/IEA mid; Bull=BCG/GS high. NOT yet constraint-gated.</t>
  </si>
  <si>
    <t>Implied CAGR 2023-2030</t>
  </si>
  <si>
    <t>Calculated; 14-24% range vs v2.1 22% point estimate</t>
  </si>
  <si>
    <t>CONSTRAINT GATES (the difference between physics-possible and underwritten)</t>
  </si>
  <si>
    <t>Note</t>
  </si>
  <si>
    <t>Avg load factor of new DC capacity</t>
  </si>
  <si>
    <t>AI training → higher utilization</t>
  </si>
  <si>
    <t>Annual interconnection capacity addable (US, GW)</t>
  </si>
  <si>
    <t>GW</t>
  </si>
  <si>
    <t>Bear: queue lag persists; Bull: FERC reform + behind-meter gas</t>
  </si>
  <si>
    <t>Effective US DC capacity 2030E (GW)</t>
  </si>
  <si>
    <t>MIN(physics-implied, 2025 base 25 + 5 yrs of additions)</t>
  </si>
  <si>
    <t>Constrained 2030E electricity (TWh)</t>
  </si>
  <si>
    <t>Power demand AFTER infrastructure constraint binds</t>
  </si>
  <si>
    <t>CAPEX INTENSITY</t>
  </si>
  <si>
    <t>Source</t>
  </si>
  <si>
    <t>DC physical infra capex per MW</t>
  </si>
  <si>
    <t>$M/MW</t>
  </si>
  <si>
    <t>Hyperscale benchmarks; excludes silicon</t>
  </si>
  <si>
    <t>Cooling % of physical infra capex</t>
  </si>
  <si>
    <t>Industry: 12-22%; rises with rack density</t>
  </si>
  <si>
    <t>Liquid cooling % of NEW cooling spend 2025</t>
  </si>
  <si>
    <t>NVT, VRT 2025 disclosures</t>
  </si>
  <si>
    <t>Liquid cooling % of NEW cooling spend 2030</t>
  </si>
  <si>
    <t>NEW build only; installed base far lower</t>
  </si>
  <si>
    <t>Residual air/HVAC required even with liquid (% of liquid spend)</t>
  </si>
  <si>
    <t>Heat rejection, ancillary loads, redundancy — never zero</t>
  </si>
  <si>
    <t>Replacement cycle years</t>
  </si>
  <si>
    <t>yrs</t>
  </si>
  <si>
    <t>Faster cycle in bull = more recurring</t>
  </si>
  <si>
    <t>INSTALLED BASE (for retrofit / replacement flow)</t>
  </si>
  <si>
    <t>2025 installed US DC capacity (GW)</t>
  </si>
  <si>
    <t>Synergy/Dell'Oro</t>
  </si>
  <si>
    <t>% installed base liquid-cooled today</t>
  </si>
  <si>
    <t>NVT Q4-25: &lt;30%, but most are partial</t>
  </si>
  <si>
    <t>DEMAND MODEL — constraint-gated</t>
  </si>
  <si>
    <t>Three scenarios; demand can be capped by interconnection. New MW additions feed Cooling TAM Bridge.</t>
  </si>
  <si>
    <t>Metric / Scenario</t>
  </si>
  <si>
    <t>2023</t>
  </si>
  <si>
    <t>2024</t>
  </si>
  <si>
    <t>2025</t>
  </si>
  <si>
    <t>2026</t>
  </si>
  <si>
    <t>2027</t>
  </si>
  <si>
    <t>2028</t>
  </si>
  <si>
    <t>2029</t>
  </si>
  <si>
    <t>2030</t>
  </si>
  <si>
    <t>US DC ELECTRICITY (TWh) — UNCONSTRAINED</t>
  </si>
  <si>
    <t>CONSTRAINT GATE: max physically deliverable (TWh)</t>
  </si>
  <si>
    <t>Bear cap</t>
  </si>
  <si>
    <t>Base cap</t>
  </si>
  <si>
    <t>Bull cap</t>
  </si>
  <si>
    <t>CONSTRAINED DEMAND (TWh) = MIN(unconstrained, cap)</t>
  </si>
  <si>
    <t>IMPLIED ANNUAL NEW MW ADDITIONS (Base scenario)</t>
  </si>
  <si>
    <t>Cumulative GW (Base)</t>
  </si>
  <si>
    <t>New GW added (Base)</t>
  </si>
  <si>
    <t>COOLING TYPE MIX — NEW BUILDS ONLY (does not replace air; both stack)</t>
  </si>
  <si>
    <t>Note: liquid % is share of NEW build cooling spend going to liquid; residual air remains for heat rejection (see Control_Panel row 26).</t>
  </si>
  <si>
    <t>% liquid in new builds — Base</t>
  </si>
  <si>
    <t>COOLING TAM BRIDGE — new build, retrofit, replacement, recurring</t>
  </si>
  <si>
    <t>Separates STOCK (installed base) from FLOW (new MW + replacement). Air does NOT go to zero.</t>
  </si>
  <si>
    <t>Component ($B unless noted)</t>
  </si>
  <si>
    <t>Bear 2025</t>
  </si>
  <si>
    <t>Base 2025</t>
  </si>
  <si>
    <t>Bull 2025</t>
  </si>
  <si>
    <t>Bear 2030</t>
  </si>
  <si>
    <t>Base 2030</t>
  </si>
  <si>
    <t>Bull 2030</t>
  </si>
  <si>
    <t>Definition / formula</t>
  </si>
  <si>
    <t>New US DC capacity added (GW/yr)</t>
  </si>
  <si>
    <t>From constrained demand model row 22</t>
  </si>
  <si>
    <t>Cooling capex per new MW ($M)</t>
  </si>
  <si>
    <t>Capex/MW × Cooling % of capex</t>
  </si>
  <si>
    <t>NEW BUILD cooling TAM ($B)</t>
  </si>
  <si>
    <t>New GW × $/MW</t>
  </si>
  <si>
    <t>SPLIT OF NEW BUILD COOLING TAM</t>
  </si>
  <si>
    <t xml:space="preserve">  Liquid cooling spend ($B)</t>
  </si>
  <si>
    <t xml:space="preserve">  Residual air/HVAC required by liquid sites ($B)</t>
  </si>
  <si>
    <t xml:space="preserve">  Pure air/HVAC sites ($B)</t>
  </si>
  <si>
    <t>TOTAL TRADITIONAL HVAC TAM (residual + pure)</t>
  </si>
  <si>
    <t>REPLACEMENT / RECURRING REVENUE FLOW (installed base / cycle)</t>
  </si>
  <si>
    <t>Installed cooling capex base ($B, est)</t>
  </si>
  <si>
    <t>Annual replacement TAM ($B)</t>
  </si>
  <si>
    <t>TOTAL ANNUAL COOLING TAM (new + replacement)</t>
  </si>
  <si>
    <t>Total addressable cooling spend ($B)</t>
  </si>
  <si>
    <t>New build flow + recurring replacement</t>
  </si>
  <si>
    <t>Cross-check: v2.1 reported $125B "cooling TAM 2030E". This bridge produces ~$50-90B for the cooling-equipment subset. The $125B figure included MEP construction and E&amp;C, which are NOT cooling equipment. v2.1 headline overstated cooling TAM ~2x.</t>
  </si>
  <si>
    <t>REVENUE LINKAGE — TAM × Share × Attach × Timing</t>
  </si>
  <si>
    <t>Pro Forma Rev = Current Rev + (Addressable TAM × Share × Attach × Ramp) − Cannibalization. Properly separates stock vs flow.</t>
  </si>
  <si>
    <t>#</t>
  </si>
  <si>
    <t>Ticker</t>
  </si>
  <si>
    <t>Current DC Rev ($M)</t>
  </si>
  <si>
    <t>Total Co Rev ($M)</t>
  </si>
  <si>
    <t>Addressable TAM 2030 Base ($B)</t>
  </si>
  <si>
    <t>Capture Share %</t>
  </si>
  <si>
    <t>Attach Rate %</t>
  </si>
  <si>
    <t>Ramp 2025→2030</t>
  </si>
  <si>
    <t>Cannibalization %</t>
  </si>
  <si>
    <t>Incremental DC Opportunity 2030 ($M)</t>
  </si>
  <si>
    <t>Pro-Forma DC Rev 2030 ($M)</t>
  </si>
  <si>
    <t>DC Rev CAGR Implied</t>
  </si>
  <si>
    <t>Total Co Rev CAGR Implied</t>
  </si>
  <si>
    <t>Notes</t>
  </si>
  <si>
    <t>VRT</t>
  </si>
  <si>
    <t>Pure-play; high share of CDU/cold-plate; backlog-validated; ramp &gt;1 = recurring + new</t>
  </si>
  <si>
    <t>MOD</t>
  </si>
  <si>
    <t>Capacity-constrained; gaining share but smaller scale; cannib from legacy auto/HVAC</t>
  </si>
  <si>
    <t>ETN</t>
  </si>
  <si>
    <t>Boyd Thermal day-1 scale; power+cooling bundling; lower DC concentration of total</t>
  </si>
  <si>
    <t>SE.PA</t>
  </si>
  <si>
    <t>Broadest portfolio; Motivair; FX risk; quality compounder</t>
  </si>
  <si>
    <t>NVT</t>
  </si>
  <si>
    <t>Enclosure+liquid niche; Blaine MN online; smaller absolute base, faster %</t>
  </si>
  <si>
    <t>TT</t>
  </si>
  <si>
    <t>NVIDIA AI Factory ref; HVAC bridge; chiller/CRAH not pure-play</t>
  </si>
  <si>
    <t>MTRS</t>
  </si>
  <si>
    <t>Air-side economizer specialist; single large hyperscale order risk</t>
  </si>
  <si>
    <t>JCI</t>
  </si>
  <si>
    <t>Silent-Aire late entry; BMS leader; cannib from controls overlap</t>
  </si>
  <si>
    <t>CARR</t>
  </si>
  <si>
    <t>Late to liquid; chiller scale; long ramp</t>
  </si>
  <si>
    <t>AAON</t>
  </si>
  <si>
    <t>Custom HVAC niche; small base; high margin</t>
  </si>
  <si>
    <t>PWR</t>
  </si>
  <si>
    <t>E&amp;C TAM (different bridge: MEP/electrical); not cooling-equipment opportunity</t>
  </si>
  <si>
    <t>EME</t>
  </si>
  <si>
    <t>MEP contractor; mission-critical exec; balance sheet quality</t>
  </si>
  <si>
    <t>FIX</t>
  </si>
  <si>
    <t>DC mechanical specialist; consolidation strategy</t>
  </si>
  <si>
    <t>XYL</t>
  </si>
  <si>
    <t>Water infra side; pumps/treatment; thin direct exposure</t>
  </si>
  <si>
    <t>WTS</t>
  </si>
  <si>
    <t>Indirect; flow control</t>
  </si>
  <si>
    <t>AUDIT NOTE: v2.1 column G computed (D - F) / F i.e. incremental_new / current_total. That ratio has no economic meaning — it compared a flow to a stock and produced negative "upside" for the strongest names. Replaced with: (a) explicit addressable TAM, (b) capture share assumption, (c) attach rate (what % of the addressable opportunity is product-relevant), (d) timing/ramp factor, (e) cannibalization haircut.</t>
  </si>
  <si>
    <t>VALUATION — multiple-based with bear/base/bull</t>
  </si>
  <si>
    <t>EV/EBITDA primary (industrials standard); P/E secondary; current vs historical median; implied upside.</t>
  </si>
  <si>
    <t>Current Price</t>
  </si>
  <si>
    <t>Mkt Cap ($B)</t>
  </si>
  <si>
    <t>Net Debt ($B)</t>
  </si>
  <si>
    <t>EV ($B)</t>
  </si>
  <si>
    <t>2026E EBITDA ($B)</t>
  </si>
  <si>
    <t>Current EV/EBITDA</t>
  </si>
  <si>
    <t>5yr Median EV/EBITDA</t>
  </si>
  <si>
    <t>Bear Multiple</t>
  </si>
  <si>
    <t>Base Multiple</t>
  </si>
  <si>
    <t>Bull Multiple</t>
  </si>
  <si>
    <t>Bear Upside %</t>
  </si>
  <si>
    <t>Base Upside %</t>
  </si>
  <si>
    <t>Bull Upside %</t>
  </si>
  <si>
    <t>AUDIT NOTE: All EBITDA, prices and historical multiples are illustrative — replace with FactSet/Bloomberg consensus before committing capital. Bear case applies a haircut (Control_Panel B8, default 30%) to CURRENT multiple; base anchors to (current+median)/2; bull modestly expands current. This makes valuation a real category in the scorecard rather than ignored.</t>
  </si>
  <si>
    <t>SCORECARD — rubric-based; valuation included; rank is auto-sorted</t>
  </si>
  <si>
    <t>Each factor 0-100 with explicit rubric in row 4. Weighted score = SUMPRODUCT. Rank uses RANK(weighted) — no manual override.</t>
  </si>
  <si>
    <t>Weight →</t>
  </si>
  <si>
    <t>Theme Exposure</t>
  </si>
  <si>
    <t>Liquid Cooling Relevance</t>
  </si>
  <si>
    <t>Business Quality</t>
  </si>
  <si>
    <t>Margin Profile</t>
  </si>
  <si>
    <t>Balance Sheet</t>
  </si>
  <si>
    <t>Valuation</t>
  </si>
  <si>
    <t>Execution / Cust Conc Risk (inv)</t>
  </si>
  <si>
    <t>Weighted Score</t>
  </si>
  <si>
    <t>Rank</t>
  </si>
  <si>
    <t>Tier</t>
  </si>
  <si>
    <t>AUDIT NOTE: v2.1 had no valuation factor and the displayed Rank column was hand-typed — it did not match the Weighted Score sort. e.g. AAON scored 58.5 (above FIX 56.25 and PWR 48.75) but was ranked #13. This rebuild uses RANK() so the ordering is mechanically forced. Adding Valuation as a 20% weight pulls expensive names (VRT, MOD, AAON) down and rewards reasonably-priced quality (ETN, EME, NVT).</t>
  </si>
  <si>
    <t>RUBRIC DEFINITIONS</t>
  </si>
  <si>
    <t>% of revenue tied to AI/DC capex AND quality of that exposure (direct OEM &gt; integrator &gt; component). 90+ = &gt;50% rev DC pure-play; 70 = significant; 50 = material but not dominant; 30 = peripheral.</t>
  </si>
  <si>
    <t>Specific positioning in CDU / cold plate / immersion / heat-rejection. 90+ = leadership product; 70 = competitive offering; 50 = partial; 30 = none.</t>
  </si>
  <si>
    <t>ROIC, returns on capital, recurring rev mix, switching costs, customer concentration. 90 = &gt;20% ROIC, sticky; 70 = mid-teens ROIC; 50 = average industrial; 30 = cyclical low-quality.</t>
  </si>
  <si>
    <t>EBITDA margin level + trajectory. 90 = &gt;25% and rising; 70 = 18-25%; 50 = 12-18%; 30 = &lt;12%.</t>
  </si>
  <si>
    <t>Net debt / EBITDA. 90 = &lt;0.5x; 70 = 0.5-1.5x; 50 = 1.5-2.5x; 30 = &gt;2.5x.</t>
  </si>
  <si>
    <t>Inverse of richness vs 5yr median. 90 = &gt;20% discount to median; 70 = at median; 50 = 10-20% premium; 30 = &gt;30% premium.</t>
  </si>
  <si>
    <t>Execution / Customer Concentration Risk (inverted)</t>
  </si>
  <si>
    <t>Lower customer concentration &amp; better execution track record = higher score. 90 = diversified, no execution issues; 50 = some concentration; 30 = top-3 customers &gt;50% rev.</t>
  </si>
  <si>
    <t>SCENARIO RETURNS — bottom-up: revenue → margin → multiple → return</t>
  </si>
  <si>
    <t>Each scenario return = (Implied EV − Current EV) / Current Mkt Cap. Mechanically derived from revenue growth × margin × multiple. No hardcoded returns.</t>
  </si>
  <si>
    <t>Current EV ($B)</t>
  </si>
  <si>
    <t>Bear Rev CAGR</t>
  </si>
  <si>
    <t>Base Rev CAGR</t>
  </si>
  <si>
    <t>Bull Rev CAGR</t>
  </si>
  <si>
    <t>Bear EBITDA Mgn Δ</t>
  </si>
  <si>
    <t>Base EBITDA Mgn Δ</t>
  </si>
  <si>
    <t>Bull EBITDA Mgn Δ</t>
  </si>
  <si>
    <t>Bear Return %</t>
  </si>
  <si>
    <t>Base Return %</t>
  </si>
  <si>
    <t>Bull Return %</t>
  </si>
  <si>
    <t>PROBABILITY-WEIGHTED RETURNS</t>
  </si>
  <si>
    <t>Scenario</t>
  </si>
  <si>
    <t>Probability</t>
  </si>
  <si>
    <t>Hyperscaler capex pause / efficiency-led demand softening</t>
  </si>
  <si>
    <t>Capex sustains; constraints bind partially</t>
  </si>
  <si>
    <t>Capex re-accelerates; constraints clear</t>
  </si>
  <si>
    <t>Sum</t>
  </si>
  <si>
    <t>PORTFOLIO — sized by conviction × valuation × correlation bucket</t>
  </si>
  <si>
    <t>Weights derived from Scorecard rank tier with overlay constraints by exposure bucket. Total caps each bucket.</t>
  </si>
  <si>
    <t>Bucket</t>
  </si>
  <si>
    <t>Weight</t>
  </si>
  <si>
    <t>EV Prob-Wtd Return</t>
  </si>
  <si>
    <t>Role</t>
  </si>
  <si>
    <t>Key Dependency</t>
  </si>
  <si>
    <t>Falsification Trigger</t>
  </si>
  <si>
    <t>Power+Cooling</t>
  </si>
  <si>
    <t>Core</t>
  </si>
  <si>
    <t>Boyd Thermal margin realization</t>
  </si>
  <si>
    <t>Boyd integration write-down</t>
  </si>
  <si>
    <t>Pure-play thermal</t>
  </si>
  <si>
    <t>$15B backlog converts; AI capex sustains</t>
  </si>
  <si>
    <t>Book-to-bill &lt;1.0x for 2 consecutive Q</t>
  </si>
  <si>
    <t>Blaine MN ramp; &gt;20% infra growth holds</t>
  </si>
  <si>
    <t>Infra segment &lt;15% growth</t>
  </si>
  <si>
    <t>E&amp;C / Integrator</t>
  </si>
  <si>
    <t>MEP backlog conversion; balance sheet quality</t>
  </si>
  <si>
    <t>MEP backlog flat YoY</t>
  </si>
  <si>
    <t>Motivair scaling + euro DC growth</t>
  </si>
  <si>
    <t>Euro DC orders decelerate</t>
  </si>
  <si>
    <t>Satellite</t>
  </si>
  <si>
    <t>Capacity ramp + cont'd DC mix shift</t>
  </si>
  <si>
    <t>DC growth &lt;30% YoY</t>
  </si>
  <si>
    <t>HVAC incumbent</t>
  </si>
  <si>
    <t>AI Factory ref design wins translate to orders</t>
  </si>
  <si>
    <t>No DC orders disclosed</t>
  </si>
  <si>
    <t>M&amp;A pipeline + organic mech</t>
  </si>
  <si>
    <t>Organic growth &lt;8%</t>
  </si>
  <si>
    <t>Single hyperscale order non-cancellation</t>
  </si>
  <si>
    <t>Order cancel / customer concentration disclosed</t>
  </si>
  <si>
    <t>Maintain margin in down-cycle</t>
  </si>
  <si>
    <t>Margin compression &gt;300bps</t>
  </si>
  <si>
    <t>Power delivery backlog; not pure cooling</t>
  </si>
  <si>
    <t>DC power backlog &lt;20% growth</t>
  </si>
  <si>
    <t>HVAC incumbent / BMS</t>
  </si>
  <si>
    <t>Tactical</t>
  </si>
  <si>
    <t>Silent-Aire competitive vs Vertiv</t>
  </si>
  <si>
    <t>CDU loses tier-1 socket</t>
  </si>
  <si>
    <t>Eventual chiller retrofit cycle</t>
  </si>
  <si>
    <t>No DC product launch by 2027</t>
  </si>
  <si>
    <t>Water infra</t>
  </si>
  <si>
    <t>Indirect water treatment uplift</t>
  </si>
  <si>
    <t>No DC contract wins disclosed</t>
  </si>
  <si>
    <t>Marginal flow control attach</t>
  </si>
  <si>
    <t>n/a — exit if bucket loses</t>
  </si>
  <si>
    <t>Total</t>
  </si>
  <si>
    <t>Portfolio Wtd Return</t>
  </si>
  <si>
    <t>BUCKET EXPOSURE — correlation check</t>
  </si>
  <si>
    <t>Total Weight</t>
  </si>
  <si>
    <t>CORRELATION WARNING: Pure-play thermal + Power+Cooling buckets together = ~57% of portfolio. These will move together on any AI capex headline. Diversification by ticker count is illusory. Consider pairing with a hedge or holding cash to reduce single-thesis exposure.</t>
  </si>
  <si>
    <t>RISK REGISTER — disconfirming evidence</t>
  </si>
  <si>
    <t>Risk</t>
  </si>
  <si>
    <t>Description</t>
  </si>
  <si>
    <t>Impact</t>
  </si>
  <si>
    <t>What would change my mind / hedge</t>
  </si>
  <si>
    <t>Hyperscaler capex pause</t>
  </si>
  <si>
    <t>MSFT/META/GOOG slow capex on AI ROI doubts; backlog cancellations begin</t>
  </si>
  <si>
    <t>Watch quarterly capex guides; VRT book-to-bill &lt;1.0 for 2Q is a sell signal</t>
  </si>
  <si>
    <t>Power interconnection bottleneck</t>
  </si>
  <si>
    <t>New DC builds can't get connected on time; demand shifted right by 2-3 yrs</t>
  </si>
  <si>
    <t>Tracked monthly via FERC queue reports</t>
  </si>
  <si>
    <t>Liquid cooling commoditization</t>
  </si>
  <si>
    <t>Big margin compression as Asian entrants flood CDU/cold-plate market 2027+</t>
  </si>
  <si>
    <t>Hedge by overweighting integrated platforms (ETN, SE) over single-product names</t>
  </si>
  <si>
    <t>Hyperscaler insourcing</t>
  </si>
  <si>
    <t>MSFT/GOOG design proprietary cooling, bypass OEMs</t>
  </si>
  <si>
    <t>Already partial reality; favors component vendors over system vendors</t>
  </si>
  <si>
    <t>Multiple compression</t>
  </si>
  <si>
    <t>Rates rise / risk-off / AI bubble pops; growth multiples derate 30-50%</t>
  </si>
  <si>
    <t>Bear case in Valuation tab models 30% haircut; portfolio loses ~25% in this scenario</t>
  </si>
  <si>
    <t>Water regulation</t>
  </si>
  <si>
    <t>State limits on DC withdrawals (AZ, TX, NV)</t>
  </si>
  <si>
    <t>Net positive for liquid cooling vendors (lower WUE)</t>
  </si>
  <si>
    <t>Efficiency-led demand softening</t>
  </si>
  <si>
    <t>DeepSeek-style algorithmic gains reduce compute per query</t>
  </si>
  <si>
    <t>Watch token costs; hyperscaler unit economics; if compute/query falls 50% in 12mo, demand path is bear</t>
  </si>
  <si>
    <t>Single-thesis correlation</t>
  </si>
  <si>
    <t>All names move on same AI capex headline; portfolio diversification is illusory</t>
  </si>
  <si>
    <t>Already flagged on Portfolio tab; consider 10-15% cash or hedge</t>
  </si>
  <si>
    <t>Modeling error in TAM</t>
  </si>
  <si>
    <t>TAM bridge could be 30% off either direction</t>
  </si>
  <si>
    <t>Stress-test in Control_Panel; outputs change linearly</t>
  </si>
  <si>
    <t>FX (SE.PA, MTRS)</t>
  </si>
  <si>
    <t>Euro/SEK weakness vs USD reduces reported returns</t>
  </si>
  <si>
    <t>Hedge currency or tilt to USD names</t>
  </si>
  <si>
    <t>DCF VALUATION MODEL — DATA CENTER COOLING EQUITY UNIVERSE</t>
  </si>
  <si>
    <t>Simplified FCF-Based DCF  |  Bear / Base / Bull Scenarios  |  April 2026  |  Proprietary &amp; Confidential</t>
  </si>
  <si>
    <t>SECTION 1 — GLOBAL DISCOUNT &amp; TERMINAL VALUE ASSUMPTIONS</t>
  </si>
  <si>
    <t>Parameter</t>
  </si>
  <si>
    <t>Format</t>
  </si>
  <si>
    <t>Risk-Free Rate (10yr UST)</t>
  </si>
  <si>
    <t>Source: UST 10yr, Apr 2026</t>
  </si>
  <si>
    <t>Equity Risk Premium</t>
  </si>
  <si>
    <t>Damodaran US ERP Jan 2026</t>
  </si>
  <si>
    <t>Average Beta (blended)</t>
  </si>
  <si>
    <t>Bear: higher vol; Bull: de-risked compounder</t>
  </si>
  <si>
    <t>WACC (derived)</t>
  </si>
  <si>
    <t>RF + Beta x ERP</t>
  </si>
  <si>
    <t>Terminal Growth Rate</t>
  </si>
  <si>
    <t>Bear: GDP-1%; Base: GDP; Bull: GDP+50bps</t>
  </si>
  <si>
    <t>Projection Horizon (years)</t>
  </si>
  <si>
    <t>Standard 5-yr explicit FCF period</t>
  </si>
  <si>
    <t>Net Debt Adjustment Toggle</t>
  </si>
  <si>
    <t>1 = use per-company net debt; 0 = ignore</t>
  </si>
  <si>
    <t xml:space="preserve">  Color Guide:  Blue text = hardcoded inputs (editable)   |   Black text = formulas   |   Green text = cross-sheet links</t>
  </si>
  <si>
    <t>SECTION 2 — INDIVIDUAL COMPANY DCF MODELS  (Revenue → FCF → Terminal Value → Implied Price)</t>
  </si>
  <si>
    <t>VRT  —  Vertiv Holdings</t>
  </si>
  <si>
    <t>Assumption / Output</t>
  </si>
  <si>
    <t>Year 1</t>
  </si>
  <si>
    <t>Year 2</t>
  </si>
  <si>
    <t>Year 3</t>
  </si>
  <si>
    <t>Year 4</t>
  </si>
  <si>
    <t>Year 5</t>
  </si>
  <si>
    <t>Revenue CAGR Assumption</t>
  </si>
  <si>
    <t>FCF Margin % Assumption</t>
  </si>
  <si>
    <t>Base Revenue 2025A ($M)</t>
  </si>
  <si>
    <t>Net Debt 2025A ($M)</t>
  </si>
  <si>
    <t>Diluted Shares Out (M)</t>
  </si>
  <si>
    <t>Projected Revenue ($M) — Base Case</t>
  </si>
  <si>
    <t>Revenue Projection ($M)</t>
  </si>
  <si>
    <t>Free Cash Flow ($M)</t>
  </si>
  <si>
    <t>PV of FCF ($M)</t>
  </si>
  <si>
    <t>Sum PV of FCFs ($M)</t>
  </si>
  <si>
    <t>Terminal Value ($M)</t>
  </si>
  <si>
    <t>PV of Terminal Value ($M)</t>
  </si>
  <si>
    <t>Implied Enterprise Value ($M)</t>
  </si>
  <si>
    <t>(-) Net Debt ($M)</t>
  </si>
  <si>
    <t>Equity Value ($M)</t>
  </si>
  <si>
    <t>Implied Price per Share ($)</t>
  </si>
  <si>
    <t>Current Market Price ($)</t>
  </si>
  <si>
    <t>Upside / (Downside)</t>
  </si>
  <si>
    <t>MOD  —  Modine Manufacturing</t>
  </si>
  <si>
    <t>ETN  —  Eaton Corporation</t>
  </si>
  <si>
    <t>NVT  —  nVent Electric</t>
  </si>
  <si>
    <t>SE.PA  —  Schneider Electric</t>
  </si>
  <si>
    <t>TT  —  Trane Technologies</t>
  </si>
  <si>
    <t>MTRS  —  Munters Group</t>
  </si>
  <si>
    <t>EME  —  EMCOR Group</t>
  </si>
  <si>
    <t>FIX  —  Comfort Systems</t>
  </si>
  <si>
    <t>PWR  —  Quanta Services</t>
  </si>
  <si>
    <t>SECTION 3 — VALUATION SUMMARY  |  All Companies  |  Bear / Base / Bull Implied Prices &amp; Upside</t>
  </si>
  <si>
    <t>Company</t>
  </si>
  <si>
    <t>Current Price ($)</t>
  </si>
  <si>
    <t>Bear Price ($)</t>
  </si>
  <si>
    <t>Base Price ($)</t>
  </si>
  <si>
    <t>Bull Price ($)</t>
  </si>
  <si>
    <t>Bear Upside</t>
  </si>
  <si>
    <t>Base Upside</t>
  </si>
  <si>
    <t>Bull Upside</t>
  </si>
  <si>
    <t>Bear-to-Bull Range</t>
  </si>
  <si>
    <t>Conviction</t>
  </si>
  <si>
    <t>Entry Signal</t>
  </si>
  <si>
    <t>Vertiv Holdings</t>
  </si>
  <si>
    <t>Highest</t>
  </si>
  <si>
    <t>Modine Manufacturing</t>
  </si>
  <si>
    <t>High</t>
  </si>
  <si>
    <t>Eaton Corporation</t>
  </si>
  <si>
    <t>nVent Electric</t>
  </si>
  <si>
    <t>Schneider Electric</t>
  </si>
  <si>
    <t>Medium-High</t>
  </si>
  <si>
    <t>Trane Technologies</t>
  </si>
  <si>
    <t>Medium</t>
  </si>
  <si>
    <t>Munters Group</t>
  </si>
  <si>
    <t>EMCOR Group</t>
  </si>
  <si>
    <t>Comfort Systems</t>
  </si>
  <si>
    <t>Quanta Services</t>
  </si>
  <si>
    <t>Medium-Low</t>
  </si>
  <si>
    <t xml:space="preserve">  Probability-Weighted Expected Upside  (Bear 25% | Base 50% | Bull 25%)</t>
  </si>
  <si>
    <t xml:space="preserve">  Source: All revenue and FCF assumptions reflect analyst consensus as of Q1 2026; WACC inputs from Damodaran Jan 2026 + UST 10yr Apr 2026. Update blue cells each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</si>
</sst>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\$#,##0.0"/>
    <numFmt numFmtId="167" formatCode="\$#,##0"/>
    <numFmt numFmtId="168" formatCode="0.0\x"/>
    <numFmt numFmtId="169" formatCode="\$#,##0.00"/>
  </numFmts>
  <fonts count="2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9"/>
      <name val="Cambria"/>
      <family val="1"/>
    </font>
    <font>
      <b/>
      <sz val="9"/>
      <color rgb="FF0000FF"/>
      <name val="Cambria"/>
      <family val="1"/>
    </font>
    <font>
      <sz val="10"/>
      <color rgb="FF006100"/>
      <name val="Arial"/>
      <family val="2"/>
    </font>
    <font>
      <b/>
      <sz val="11"/>
      <name val="Cambria"/>
      <family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40404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i/>
      <sz val="9"/>
      <name val="Arial"/>
      <family val="2"/>
      <charset val="1"/>
    </font>
    <font>
      <b/>
      <sz val="9"/>
      <name val="Arial"/>
      <family val="2"/>
      <charset val="1"/>
    </font>
    <font>
      <sz val="10"/>
      <color rgb="FF008000"/>
      <name val="Arial"/>
      <family val="2"/>
      <charset val="1"/>
    </font>
    <font>
      <i/>
      <sz val="11"/>
      <name val="Arial"/>
      <family val="2"/>
      <charset val="1"/>
    </font>
    <font>
      <i/>
      <sz val="10"/>
      <name val="Arial"/>
      <family val="2"/>
    </font>
    <font>
      <i/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D9E1F2"/>
        <bgColor rgb="FFD6E4F7"/>
      </patternFill>
    </fill>
    <fill>
      <patternFill patternType="solid">
        <fgColor rgb="FF1F3864"/>
        <bgColor rgb="FF2E4057"/>
      </patternFill>
    </fill>
    <fill>
      <patternFill patternType="solid">
        <fgColor rgb="FF2F5496"/>
        <bgColor rgb="FF1F4E79"/>
      </patternFill>
    </fill>
    <fill>
      <patternFill patternType="solid">
        <fgColor rgb="FFD9D9D9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1F4E79"/>
        <bgColor rgb="FF2F5496"/>
      </patternFill>
    </fill>
    <fill>
      <patternFill patternType="solid">
        <fgColor rgb="FFEBF3FB"/>
        <bgColor rgb="FFF0F4FA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8F8F8"/>
      </patternFill>
    </fill>
    <fill>
      <patternFill patternType="solid">
        <fgColor rgb="FFF2F2F2"/>
        <bgColor rgb="FFF0F4FA"/>
      </patternFill>
    </fill>
    <fill>
      <patternFill patternType="solid">
        <fgColor rgb="FF2E4057"/>
        <bgColor rgb="FF1F3864"/>
      </patternFill>
    </fill>
    <fill>
      <patternFill patternType="solid">
        <fgColor rgb="FF546E7A"/>
        <bgColor rgb="FF595959"/>
      </patternFill>
    </fill>
    <fill>
      <patternFill patternType="solid">
        <fgColor rgb="FFF8F8F8"/>
        <bgColor rgb="FFF0F4FA"/>
      </patternFill>
    </fill>
    <fill>
      <patternFill patternType="solid">
        <fgColor rgb="FFF0F4FA"/>
        <bgColor rgb="FFEBF3FB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546E7A"/>
      </patternFill>
    </fill>
    <fill>
      <patternFill patternType="solid">
        <fgColor rgb="FF70AD47"/>
        <bgColor rgb="FF339966"/>
      </patternFill>
    </fill>
    <fill>
      <patternFill patternType="solid">
        <fgColor rgb="FF7F7F7F"/>
        <bgColor rgb="FF546E7A"/>
      </patternFill>
    </fill>
    <fill>
      <patternFill patternType="solid">
        <fgColor rgb="FFC55A11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2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0" fontId="2" fillId="0" borderId="0" xfId="0" applyFont="1"/>
    <xf numFmtId="168" fontId="6" fillId="0" borderId="0" xfId="0" applyNumberFormat="1" applyFont="1"/>
    <xf numFmtId="0" fontId="7" fillId="0" borderId="0" xfId="0" applyFont="1"/>
    <xf numFmtId="9" fontId="8" fillId="0" borderId="0" xfId="0" applyNumberFormat="1" applyFont="1" applyAlignment="1">
      <alignment horizontal="center"/>
    </xf>
    <xf numFmtId="166" fontId="9" fillId="0" borderId="0" xfId="0" applyNumberFormat="1" applyFont="1"/>
    <xf numFmtId="0" fontId="9" fillId="0" borderId="0" xfId="0" applyFont="1"/>
    <xf numFmtId="168" fontId="9" fillId="0" borderId="0" xfId="0" applyNumberFormat="1" applyFont="1"/>
    <xf numFmtId="164" fontId="5" fillId="0" borderId="0" xfId="0" applyNumberFormat="1" applyFont="1"/>
    <xf numFmtId="9" fontId="5" fillId="0" borderId="0" xfId="0" applyNumberFormat="1" applyFont="1"/>
    <xf numFmtId="0" fontId="10" fillId="0" borderId="0" xfId="0" applyFont="1"/>
    <xf numFmtId="9" fontId="6" fillId="0" borderId="0" xfId="0" applyNumberFormat="1" applyFont="1"/>
    <xf numFmtId="0" fontId="11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13" fillId="5" borderId="0" xfId="0" applyFont="1" applyFill="1"/>
    <xf numFmtId="0" fontId="12" fillId="6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2" fontId="15" fillId="10" borderId="0" xfId="0" applyNumberFormat="1" applyFont="1" applyFill="1" applyAlignment="1">
      <alignment horizontal="right" vertical="center"/>
    </xf>
    <xf numFmtId="164" fontId="17" fillId="11" borderId="0" xfId="0" applyNumberFormat="1" applyFont="1" applyFill="1" applyAlignment="1">
      <alignment horizontal="right" vertical="center"/>
    </xf>
    <xf numFmtId="1" fontId="15" fillId="10" borderId="0" xfId="0" applyNumberFormat="1" applyFont="1" applyFill="1" applyAlignment="1">
      <alignment horizontal="right" vertical="center"/>
    </xf>
    <xf numFmtId="0" fontId="18" fillId="12" borderId="0" xfId="0" applyFont="1" applyFill="1"/>
    <xf numFmtId="0" fontId="12" fillId="13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14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167" fontId="15" fillId="10" borderId="0" xfId="0" applyNumberFormat="1" applyFont="1" applyFill="1" applyAlignment="1">
      <alignment horizontal="right" vertical="center"/>
    </xf>
    <xf numFmtId="3" fontId="15" fillId="10" borderId="0" xfId="0" applyNumberFormat="1" applyFont="1" applyFill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167" fontId="17" fillId="16" borderId="0" xfId="0" applyNumberFormat="1" applyFont="1" applyFill="1" applyAlignment="1">
      <alignment horizontal="right" vertical="center"/>
    </xf>
    <xf numFmtId="0" fontId="23" fillId="17" borderId="0" xfId="0" applyFont="1" applyFill="1" applyAlignment="1">
      <alignment horizontal="left" vertical="center"/>
    </xf>
    <xf numFmtId="167" fontId="17" fillId="17" borderId="0" xfId="0" applyNumberFormat="1" applyFont="1" applyFill="1" applyAlignment="1">
      <alignment horizontal="right" vertical="center"/>
    </xf>
    <xf numFmtId="167" fontId="24" fillId="17" borderId="0" xfId="0" applyNumberFormat="1" applyFont="1" applyFill="1" applyAlignment="1">
      <alignment horizontal="right" vertical="center"/>
    </xf>
    <xf numFmtId="0" fontId="23" fillId="18" borderId="0" xfId="0" applyFont="1" applyFill="1" applyAlignment="1">
      <alignment horizontal="left" vertical="center"/>
    </xf>
    <xf numFmtId="169" fontId="17" fillId="18" borderId="0" xfId="0" applyNumberFormat="1" applyFont="1" applyFill="1" applyAlignment="1">
      <alignment horizontal="right" vertical="center"/>
    </xf>
    <xf numFmtId="0" fontId="23" fillId="12" borderId="0" xfId="0" applyFont="1" applyFill="1" applyAlignment="1">
      <alignment horizontal="left" vertical="center"/>
    </xf>
    <xf numFmtId="169" fontId="15" fillId="12" borderId="0" xfId="0" applyNumberFormat="1" applyFont="1" applyFill="1" applyAlignment="1">
      <alignment horizontal="right" vertical="center"/>
    </xf>
    <xf numFmtId="0" fontId="23" fillId="10" borderId="0" xfId="0" applyFont="1" applyFill="1" applyAlignment="1">
      <alignment horizontal="left" vertical="center"/>
    </xf>
    <xf numFmtId="164" fontId="17" fillId="10" borderId="0" xfId="0" applyNumberFormat="1" applyFont="1" applyFill="1" applyAlignment="1">
      <alignment horizontal="right" vertical="center"/>
    </xf>
    <xf numFmtId="0" fontId="0" fillId="12" borderId="0" xfId="0" applyFill="1"/>
    <xf numFmtId="0" fontId="20" fillId="3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169" fontId="15" fillId="11" borderId="0" xfId="0" applyNumberFormat="1" applyFont="1" applyFill="1" applyAlignment="1">
      <alignment horizontal="right" vertical="center"/>
    </xf>
    <xf numFmtId="169" fontId="24" fillId="11" borderId="0" xfId="0" applyNumberFormat="1" applyFont="1" applyFill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67" fontId="17" fillId="11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169" fontId="15" fillId="17" borderId="0" xfId="0" applyNumberFormat="1" applyFont="1" applyFill="1" applyAlignment="1">
      <alignment horizontal="right" vertical="center"/>
    </xf>
    <xf numFmtId="169" fontId="24" fillId="17" borderId="0" xfId="0" applyNumberFormat="1" applyFont="1" applyFill="1" applyAlignment="1">
      <alignment horizontal="right" vertical="center"/>
    </xf>
    <xf numFmtId="164" fontId="24" fillId="17" borderId="0" xfId="0" applyNumberFormat="1" applyFont="1" applyFill="1" applyAlignment="1">
      <alignment horizontal="right" vertical="center"/>
    </xf>
    <xf numFmtId="0" fontId="20" fillId="19" borderId="0" xfId="0" applyFont="1" applyFill="1" applyAlignment="1">
      <alignment horizontal="center" vertical="center" wrapText="1"/>
    </xf>
    <xf numFmtId="0" fontId="20" fillId="20" borderId="0" xfId="0" applyFont="1" applyFill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0" fontId="20" fillId="22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0" fontId="25" fillId="0" borderId="0" xfId="0" applyFont="1"/>
    <xf numFmtId="4" fontId="6" fillId="0" borderId="0" xfId="0" applyNumberFormat="1" applyFont="1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center" wrapText="1"/>
    </xf>
    <xf numFmtId="0" fontId="26" fillId="0" borderId="0" xfId="0" applyFont="1"/>
    <xf numFmtId="0" fontId="2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1" fillId="11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D9E1F2"/>
      <rgbColor rgb="FF7F7F7F"/>
      <rgbColor rgb="FF9999FF"/>
      <rgbColor rgb="FF595959"/>
      <rgbColor rgb="FFFFF2CC"/>
      <rgbColor rgb="FFEBF3FB"/>
      <rgbColor rgb="FF660066"/>
      <rgbColor rgb="FFFF8080"/>
      <rgbColor rgb="FF2F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E2EFDA"/>
      <rgbColor rgb="FFF2F2F2"/>
      <rgbColor rgb="FFD6E4F7"/>
      <rgbColor rgb="FFFF99CC"/>
      <rgbColor rgb="FFCC99FF"/>
      <rgbColor rgb="FFF8F8F8"/>
      <rgbColor rgb="FF4472C4"/>
      <rgbColor rgb="FF33CCCC"/>
      <rgbColor rgb="FF99CC00"/>
      <rgbColor rgb="FFFFCC00"/>
      <rgbColor rgb="FFFF9900"/>
      <rgbColor rgb="FFC55A11"/>
      <rgbColor rgb="FF546E7A"/>
      <rgbColor rgb="FF70AD47"/>
      <rgbColor rgb="FF1F3864"/>
      <rgbColor rgb="FF339966"/>
      <rgbColor rgb="FF006100"/>
      <rgbColor rgb="FF375623"/>
      <rgbColor rgb="FF993300"/>
      <rgbColor rgb="FF993366"/>
      <rgbColor rgb="FF2E405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5.75" customHeight="1" x14ac:dyDescent="0.25">
      <c r="A1" s="2" t="s">
        <v>0</v>
      </c>
    </row>
    <row r="2" spans="1:1" ht="15" customHeight="1" x14ac:dyDescent="0.25">
      <c r="A2" s="1" t="s">
        <v>1</v>
      </c>
    </row>
    <row r="3" spans="1:1" ht="15" customHeight="1" x14ac:dyDescent="0.25">
      <c r="A3" s="3"/>
    </row>
    <row r="4" spans="1:1" ht="15" customHeight="1" x14ac:dyDescent="0.25">
      <c r="A4" s="4" t="s">
        <v>2</v>
      </c>
    </row>
    <row r="5" spans="1:1" ht="15" customHeight="1" x14ac:dyDescent="0.25">
      <c r="A5" s="3" t="s">
        <v>3</v>
      </c>
    </row>
    <row r="6" spans="1:1" ht="15" customHeight="1" x14ac:dyDescent="0.25">
      <c r="A6" s="3" t="s">
        <v>4</v>
      </c>
    </row>
    <row r="7" spans="1:1" ht="15" customHeight="1" x14ac:dyDescent="0.25">
      <c r="A7" s="3" t="s">
        <v>5</v>
      </c>
    </row>
    <row r="8" spans="1:1" ht="15" customHeight="1" x14ac:dyDescent="0.25">
      <c r="A8" s="3" t="s">
        <v>6</v>
      </c>
    </row>
    <row r="9" spans="1:1" ht="15" customHeight="1" x14ac:dyDescent="0.25">
      <c r="A9" s="3" t="s">
        <v>7</v>
      </c>
    </row>
    <row r="10" spans="1:1" ht="15" customHeight="1" x14ac:dyDescent="0.25">
      <c r="A10" s="3" t="s">
        <v>8</v>
      </c>
    </row>
    <row r="11" spans="1:1" ht="15" customHeight="1" x14ac:dyDescent="0.25">
      <c r="A11" s="3" t="s">
        <v>9</v>
      </c>
    </row>
    <row r="12" spans="1:1" ht="15" customHeight="1" x14ac:dyDescent="0.25">
      <c r="A12" s="3" t="s">
        <v>10</v>
      </c>
    </row>
    <row r="13" spans="1:1" ht="15" customHeight="1" x14ac:dyDescent="0.25">
      <c r="A13" s="3" t="s">
        <v>11</v>
      </c>
    </row>
    <row r="14" spans="1:1" ht="15" customHeight="1" x14ac:dyDescent="0.25">
      <c r="A14" s="3" t="s">
        <v>12</v>
      </c>
    </row>
    <row r="15" spans="1:1" ht="15" customHeight="1" x14ac:dyDescent="0.25">
      <c r="A15" s="3" t="s">
        <v>13</v>
      </c>
    </row>
    <row r="16" spans="1:1" ht="15" customHeight="1" x14ac:dyDescent="0.25">
      <c r="A16" s="3"/>
    </row>
    <row r="17" spans="1:1" ht="15" customHeight="1" x14ac:dyDescent="0.25">
      <c r="A17" s="4" t="s">
        <v>14</v>
      </c>
    </row>
    <row r="18" spans="1:1" ht="15" customHeight="1" x14ac:dyDescent="0.25">
      <c r="A18" s="3"/>
    </row>
    <row r="19" spans="1:1" ht="15" customHeight="1" x14ac:dyDescent="0.25">
      <c r="A19" s="4" t="s">
        <v>15</v>
      </c>
    </row>
    <row r="20" spans="1:1" ht="15" customHeight="1" x14ac:dyDescent="0.25">
      <c r="A20" s="3" t="s">
        <v>16</v>
      </c>
    </row>
    <row r="21" spans="1:1" ht="15" customHeight="1" x14ac:dyDescent="0.25">
      <c r="A21" s="3" t="s">
        <v>17</v>
      </c>
    </row>
    <row r="22" spans="1:1" ht="15" customHeight="1" x14ac:dyDescent="0.25">
      <c r="A22" s="3" t="s">
        <v>18</v>
      </c>
    </row>
    <row r="23" spans="1:1" ht="15" customHeight="1" x14ac:dyDescent="0.25">
      <c r="A23" s="3" t="s">
        <v>19</v>
      </c>
    </row>
    <row r="24" spans="1:1" ht="15" customHeight="1" x14ac:dyDescent="0.25">
      <c r="A24" s="3"/>
    </row>
    <row r="25" spans="1:1" ht="15" customHeight="1" x14ac:dyDescent="0.25">
      <c r="A25" s="4" t="s">
        <v>20</v>
      </c>
    </row>
    <row r="26" spans="1:1" ht="15" customHeight="1" x14ac:dyDescent="0.25">
      <c r="A26" s="3" t="s">
        <v>21</v>
      </c>
    </row>
    <row r="27" spans="1:1" ht="15" customHeight="1" x14ac:dyDescent="0.25">
      <c r="A27" s="3" t="s">
        <v>22</v>
      </c>
    </row>
    <row r="28" spans="1:1" ht="15" customHeight="1" x14ac:dyDescent="0.25">
      <c r="A28" s="3" t="s">
        <v>23</v>
      </c>
    </row>
    <row r="29" spans="1:1" ht="15" customHeight="1" x14ac:dyDescent="0.25">
      <c r="A29" s="3" t="s">
        <v>24</v>
      </c>
    </row>
    <row r="30" spans="1:1" ht="15" customHeight="1" x14ac:dyDescent="0.25">
      <c r="A30" s="3" t="s">
        <v>25</v>
      </c>
    </row>
    <row r="31" spans="1:1" ht="15" customHeight="1" x14ac:dyDescent="0.25">
      <c r="A31" s="3" t="s">
        <v>26</v>
      </c>
    </row>
    <row r="32" spans="1:1" ht="15" customHeight="1" x14ac:dyDescent="0.25">
      <c r="A32" s="3"/>
    </row>
    <row r="33" spans="1:1" ht="15" customHeight="1" x14ac:dyDescent="0.25">
      <c r="A33" s="3" t="s">
        <v>27</v>
      </c>
    </row>
    <row r="34" spans="1:1" ht="15" customHeight="1" x14ac:dyDescent="0.25">
      <c r="A34" s="3" t="s">
        <v>28</v>
      </c>
    </row>
    <row r="35" spans="1:1" ht="15" customHeight="1" x14ac:dyDescent="0.25">
      <c r="A35" s="3" t="s">
        <v>29</v>
      </c>
    </row>
    <row r="36" spans="1:1" ht="15" customHeight="1" x14ac:dyDescent="0.25">
      <c r="A36" s="3" t="s">
        <v>30</v>
      </c>
    </row>
    <row r="37" spans="1:1" ht="15" customHeight="1" x14ac:dyDescent="0.25">
      <c r="A37" s="3" t="s">
        <v>31</v>
      </c>
    </row>
    <row r="38" spans="1:1" ht="15" customHeight="1" x14ac:dyDescent="0.25">
      <c r="A38" s="3" t="s">
        <v>32</v>
      </c>
    </row>
    <row r="39" spans="1:1" ht="15" customHeight="1" x14ac:dyDescent="0.25">
      <c r="A39" s="3" t="s">
        <v>33</v>
      </c>
    </row>
    <row r="40" spans="1:1" ht="15" customHeight="1" x14ac:dyDescent="0.25">
      <c r="A40" s="3"/>
    </row>
    <row r="41" spans="1:1" ht="15" customHeight="1" x14ac:dyDescent="0.25">
      <c r="A41" s="3" t="s">
        <v>34</v>
      </c>
    </row>
    <row r="42" spans="1:1" ht="15" customHeight="1" x14ac:dyDescent="0.25">
      <c r="A42" s="3" t="s">
        <v>35</v>
      </c>
    </row>
    <row r="43" spans="1:1" ht="15" customHeight="1" x14ac:dyDescent="0.25">
      <c r="A43" s="3" t="s">
        <v>36</v>
      </c>
    </row>
    <row r="44" spans="1:1" ht="15" customHeight="1" x14ac:dyDescent="0.25">
      <c r="A44" s="3" t="s">
        <v>37</v>
      </c>
    </row>
    <row r="45" spans="1:1" ht="15" customHeight="1" x14ac:dyDescent="0.25">
      <c r="A45" s="3" t="s">
        <v>38</v>
      </c>
    </row>
    <row r="46" spans="1:1" ht="15" customHeight="1" x14ac:dyDescent="0.25">
      <c r="A46" s="3" t="s">
        <v>39</v>
      </c>
    </row>
    <row r="47" spans="1:1" ht="15" customHeight="1" x14ac:dyDescent="0.25">
      <c r="A47" s="3"/>
    </row>
    <row r="48" spans="1:1" ht="15" customHeight="1" x14ac:dyDescent="0.25">
      <c r="A48" s="3" t="s">
        <v>40</v>
      </c>
    </row>
    <row r="49" spans="1:1" ht="15" customHeight="1" x14ac:dyDescent="0.25">
      <c r="A49" s="3" t="s">
        <v>41</v>
      </c>
    </row>
    <row r="50" spans="1:1" ht="15" customHeight="1" x14ac:dyDescent="0.25">
      <c r="A50" s="3" t="s">
        <v>42</v>
      </c>
    </row>
    <row r="51" spans="1:1" ht="15" customHeight="1" x14ac:dyDescent="0.25">
      <c r="A51" s="3" t="s">
        <v>43</v>
      </c>
    </row>
    <row r="52" spans="1:1" ht="15" customHeight="1" x14ac:dyDescent="0.25">
      <c r="A52" s="3" t="s">
        <v>44</v>
      </c>
    </row>
    <row r="53" spans="1:1" ht="15" customHeight="1" x14ac:dyDescent="0.25">
      <c r="A53" s="3" t="s">
        <v>45</v>
      </c>
    </row>
    <row r="54" spans="1:1" ht="15" customHeight="1" x14ac:dyDescent="0.25">
      <c r="A54" s="3"/>
    </row>
    <row r="55" spans="1:1" ht="15" customHeight="1" x14ac:dyDescent="0.25">
      <c r="A55" s="3" t="s">
        <v>46</v>
      </c>
    </row>
    <row r="56" spans="1:1" ht="15" customHeight="1" x14ac:dyDescent="0.25">
      <c r="A56" s="3" t="s">
        <v>47</v>
      </c>
    </row>
    <row r="57" spans="1:1" ht="15" customHeight="1" x14ac:dyDescent="0.25">
      <c r="A57" s="3" t="s">
        <v>48</v>
      </c>
    </row>
    <row r="58" spans="1:1" ht="15" customHeight="1" x14ac:dyDescent="0.25">
      <c r="A58" s="3" t="s">
        <v>49</v>
      </c>
    </row>
    <row r="59" spans="1:1" ht="15" customHeight="1" x14ac:dyDescent="0.25">
      <c r="A59" s="3"/>
    </row>
    <row r="60" spans="1:1" ht="15" customHeight="1" x14ac:dyDescent="0.25">
      <c r="A60" s="3" t="s">
        <v>50</v>
      </c>
    </row>
    <row r="61" spans="1:1" ht="15" customHeight="1" x14ac:dyDescent="0.25">
      <c r="A61" s="3" t="s">
        <v>51</v>
      </c>
    </row>
    <row r="62" spans="1:1" ht="15" customHeight="1" x14ac:dyDescent="0.25">
      <c r="A62" s="3" t="s">
        <v>52</v>
      </c>
    </row>
    <row r="63" spans="1:1" ht="15" customHeight="1" x14ac:dyDescent="0.25">
      <c r="A63" s="3" t="s">
        <v>53</v>
      </c>
    </row>
    <row r="64" spans="1:1" ht="15" customHeight="1" x14ac:dyDescent="0.25">
      <c r="A64" s="3" t="s">
        <v>54</v>
      </c>
    </row>
    <row r="65" spans="1:1" ht="15" customHeight="1" x14ac:dyDescent="0.25">
      <c r="A65" s="3"/>
    </row>
    <row r="66" spans="1:1" ht="15" customHeight="1" x14ac:dyDescent="0.25">
      <c r="A66" s="3" t="s">
        <v>55</v>
      </c>
    </row>
    <row r="67" spans="1:1" ht="15" customHeight="1" x14ac:dyDescent="0.25">
      <c r="A67" s="3" t="s">
        <v>56</v>
      </c>
    </row>
    <row r="68" spans="1:1" ht="15" customHeight="1" x14ac:dyDescent="0.25">
      <c r="A68" s="3" t="s">
        <v>57</v>
      </c>
    </row>
    <row r="69" spans="1:1" ht="15" customHeight="1" x14ac:dyDescent="0.25">
      <c r="A69" s="3" t="s">
        <v>58</v>
      </c>
    </row>
    <row r="70" spans="1:1" ht="15" customHeight="1" x14ac:dyDescent="0.25">
      <c r="A70" s="3" t="s">
        <v>59</v>
      </c>
    </row>
    <row r="71" spans="1:1" ht="15" customHeight="1" x14ac:dyDescent="0.25">
      <c r="A71" s="3"/>
    </row>
    <row r="72" spans="1:1" ht="15" customHeight="1" x14ac:dyDescent="0.25">
      <c r="A72" s="3" t="s">
        <v>60</v>
      </c>
    </row>
    <row r="73" spans="1:1" ht="15" customHeight="1" x14ac:dyDescent="0.25">
      <c r="A73" s="3" t="s">
        <v>61</v>
      </c>
    </row>
    <row r="74" spans="1:1" ht="15" customHeight="1" x14ac:dyDescent="0.25">
      <c r="A74" s="3" t="s">
        <v>62</v>
      </c>
    </row>
    <row r="75" spans="1:1" ht="15" customHeight="1" x14ac:dyDescent="0.25">
      <c r="A75" s="3" t="s">
        <v>63</v>
      </c>
    </row>
    <row r="76" spans="1:1" ht="15" customHeight="1" x14ac:dyDescent="0.25">
      <c r="A76" s="3"/>
    </row>
    <row r="77" spans="1:1" ht="15" customHeight="1" x14ac:dyDescent="0.25">
      <c r="A77" s="3" t="s">
        <v>64</v>
      </c>
    </row>
    <row r="78" spans="1:1" ht="15" customHeight="1" x14ac:dyDescent="0.25">
      <c r="A78" s="3" t="s">
        <v>65</v>
      </c>
    </row>
    <row r="79" spans="1:1" ht="15" customHeight="1" x14ac:dyDescent="0.25">
      <c r="A79" s="3" t="s">
        <v>66</v>
      </c>
    </row>
    <row r="80" spans="1:1" ht="15" customHeight="1" x14ac:dyDescent="0.25">
      <c r="A80" s="3"/>
    </row>
    <row r="81" spans="1:1" ht="15" customHeight="1" x14ac:dyDescent="0.25">
      <c r="A81" s="3" t="s">
        <v>67</v>
      </c>
    </row>
    <row r="82" spans="1:1" ht="15" customHeight="1" x14ac:dyDescent="0.25">
      <c r="A82" s="3" t="s">
        <v>68</v>
      </c>
    </row>
    <row r="83" spans="1:1" ht="15" customHeight="1" x14ac:dyDescent="0.25">
      <c r="A83" s="3" t="s">
        <v>69</v>
      </c>
    </row>
    <row r="84" spans="1:1" ht="15" customHeight="1" x14ac:dyDescent="0.25">
      <c r="A84" s="3" t="s">
        <v>70</v>
      </c>
    </row>
    <row r="85" spans="1:1" ht="15" customHeight="1" x14ac:dyDescent="0.25">
      <c r="A85" s="3"/>
    </row>
    <row r="86" spans="1:1" ht="15" customHeight="1" x14ac:dyDescent="0.25">
      <c r="A86" s="3" t="s">
        <v>71</v>
      </c>
    </row>
    <row r="87" spans="1:1" ht="15" customHeight="1" x14ac:dyDescent="0.25">
      <c r="A87" s="3" t="s">
        <v>72</v>
      </c>
    </row>
    <row r="88" spans="1:1" ht="15" customHeight="1" x14ac:dyDescent="0.25">
      <c r="A88" s="3" t="s">
        <v>73</v>
      </c>
    </row>
    <row r="89" spans="1:1" ht="15" customHeight="1" x14ac:dyDescent="0.25">
      <c r="A89" s="3"/>
    </row>
    <row r="90" spans="1:1" ht="15" customHeight="1" x14ac:dyDescent="0.25">
      <c r="A90" s="3" t="s">
        <v>74</v>
      </c>
    </row>
    <row r="91" spans="1:1" ht="15" customHeight="1" x14ac:dyDescent="0.25">
      <c r="A91" s="3" t="s">
        <v>75</v>
      </c>
    </row>
    <row r="92" spans="1:1" ht="15" customHeight="1" x14ac:dyDescent="0.25">
      <c r="A92" s="3" t="s">
        <v>76</v>
      </c>
    </row>
    <row r="93" spans="1:1" ht="15" customHeight="1" x14ac:dyDescent="0.25">
      <c r="A93" s="3"/>
    </row>
    <row r="94" spans="1:1" ht="15" customHeight="1" x14ac:dyDescent="0.25">
      <c r="A94" s="4" t="s">
        <v>77</v>
      </c>
    </row>
    <row r="95" spans="1:1" ht="15" customHeight="1" x14ac:dyDescent="0.25">
      <c r="A95" s="3" t="s">
        <v>78</v>
      </c>
    </row>
    <row r="96" spans="1:1" ht="15" customHeight="1" x14ac:dyDescent="0.25">
      <c r="A96" s="3" t="s">
        <v>79</v>
      </c>
    </row>
    <row r="97" spans="1:1" ht="15" customHeight="1" x14ac:dyDescent="0.25">
      <c r="A97" s="3"/>
    </row>
    <row r="98" spans="1:1" ht="15" customHeight="1" x14ac:dyDescent="0.25">
      <c r="A98" s="4" t="s">
        <v>80</v>
      </c>
    </row>
    <row r="99" spans="1:1" ht="15" customHeight="1" x14ac:dyDescent="0.25">
      <c r="A99" s="3" t="s">
        <v>81</v>
      </c>
    </row>
    <row r="100" spans="1:1" ht="15" customHeight="1" x14ac:dyDescent="0.25">
      <c r="A100" s="3" t="s">
        <v>82</v>
      </c>
    </row>
    <row r="101" spans="1:1" ht="15" customHeight="1" x14ac:dyDescent="0.25">
      <c r="A101" s="3" t="s">
        <v>83</v>
      </c>
    </row>
    <row r="102" spans="1:1" ht="15" customHeight="1" x14ac:dyDescent="0.25">
      <c r="A102" s="3" t="s">
        <v>84</v>
      </c>
    </row>
    <row r="103" spans="1:1" ht="15" customHeight="1" x14ac:dyDescent="0.25">
      <c r="A103" s="3" t="s">
        <v>85</v>
      </c>
    </row>
    <row r="104" spans="1:1" ht="15" customHeight="1" x14ac:dyDescent="0.25">
      <c r="A104" s="3" t="s">
        <v>86</v>
      </c>
    </row>
    <row r="105" spans="1:1" ht="15" customHeight="1" x14ac:dyDescent="0.25">
      <c r="A105" s="3" t="s">
        <v>87</v>
      </c>
    </row>
    <row r="106" spans="1:1" ht="15" customHeight="1" x14ac:dyDescent="0.25">
      <c r="A106" s="3" t="s">
        <v>88</v>
      </c>
    </row>
    <row r="107" spans="1:1" ht="15" customHeight="1" x14ac:dyDescent="0.25">
      <c r="A107" s="3" t="s">
        <v>89</v>
      </c>
    </row>
    <row r="108" spans="1:1" ht="15" customHeight="1" x14ac:dyDescent="0.25">
      <c r="A108" s="3" t="s">
        <v>90</v>
      </c>
    </row>
    <row r="109" spans="1:1" ht="15" customHeight="1" x14ac:dyDescent="0.25">
      <c r="A109" s="3" t="s">
        <v>91</v>
      </c>
    </row>
    <row r="110" spans="1:1" ht="15" customHeight="1" x14ac:dyDescent="0.25">
      <c r="A110" s="3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selection activeCell="L9" sqref="L9"/>
    </sheetView>
  </sheetViews>
  <sheetFormatPr defaultColWidth="8.7109375" defaultRowHeight="15" x14ac:dyDescent="0.25"/>
  <cols>
    <col min="1" max="1" width="48" customWidth="1"/>
    <col min="2" max="5" width="14" customWidth="1"/>
    <col min="6" max="6" width="81.85546875" bestFit="1" customWidth="1"/>
  </cols>
  <sheetData>
    <row r="1" spans="1:6" ht="15.75" customHeight="1" x14ac:dyDescent="0.25">
      <c r="A1" s="5" t="s">
        <v>93</v>
      </c>
    </row>
    <row r="2" spans="1:6" ht="21.75" customHeight="1" x14ac:dyDescent="0.25">
      <c r="A2" s="1" t="s">
        <v>94</v>
      </c>
    </row>
    <row r="4" spans="1:6" ht="15" customHeight="1" x14ac:dyDescent="0.25">
      <c r="A4" s="6" t="s">
        <v>95</v>
      </c>
      <c r="B4" s="7" t="s">
        <v>96</v>
      </c>
      <c r="C4" s="7" t="s">
        <v>97</v>
      </c>
      <c r="D4" s="7" t="s">
        <v>98</v>
      </c>
      <c r="E4" s="7" t="s">
        <v>99</v>
      </c>
      <c r="F4" s="7" t="s">
        <v>100</v>
      </c>
    </row>
    <row r="5" spans="1:6" ht="15" customHeight="1" x14ac:dyDescent="0.25">
      <c r="A5" t="s">
        <v>101</v>
      </c>
      <c r="B5" s="8">
        <v>4.2999999999999997E-2</v>
      </c>
      <c r="C5" s="8">
        <v>4.2999999999999997E-2</v>
      </c>
      <c r="D5" s="8">
        <v>4.2999999999999997E-2</v>
      </c>
      <c r="E5" t="s">
        <v>102</v>
      </c>
      <c r="F5" t="s">
        <v>103</v>
      </c>
    </row>
    <row r="6" spans="1:6" ht="15" customHeight="1" x14ac:dyDescent="0.25">
      <c r="A6" t="s">
        <v>104</v>
      </c>
      <c r="B6" s="8">
        <v>0.06</v>
      </c>
      <c r="C6" s="8">
        <v>5.5E-2</v>
      </c>
      <c r="D6" s="8">
        <v>0.05</v>
      </c>
      <c r="E6" t="s">
        <v>102</v>
      </c>
      <c r="F6" t="s">
        <v>105</v>
      </c>
    </row>
    <row r="7" spans="1:6" ht="15" customHeight="1" x14ac:dyDescent="0.25">
      <c r="A7" t="s">
        <v>106</v>
      </c>
      <c r="B7" s="8">
        <v>0.02</v>
      </c>
      <c r="C7" s="8">
        <v>2.5000000000000001E-2</v>
      </c>
      <c r="D7" s="8">
        <v>0.03</v>
      </c>
      <c r="E7" t="s">
        <v>102</v>
      </c>
      <c r="F7" t="s">
        <v>107</v>
      </c>
    </row>
    <row r="8" spans="1:6" ht="15" customHeight="1" x14ac:dyDescent="0.25">
      <c r="A8" t="s">
        <v>108</v>
      </c>
      <c r="B8" s="8">
        <v>0.3</v>
      </c>
      <c r="E8" t="s">
        <v>102</v>
      </c>
      <c r="F8" t="s">
        <v>109</v>
      </c>
    </row>
    <row r="10" spans="1:6" ht="15" customHeight="1" x14ac:dyDescent="0.25">
      <c r="A10" s="6" t="s">
        <v>110</v>
      </c>
      <c r="B10" s="7" t="s">
        <v>96</v>
      </c>
      <c r="C10" s="7" t="s">
        <v>97</v>
      </c>
      <c r="D10" s="7" t="s">
        <v>98</v>
      </c>
      <c r="E10" s="7" t="s">
        <v>99</v>
      </c>
      <c r="F10" s="7" t="s">
        <v>111</v>
      </c>
    </row>
    <row r="11" spans="1:6" ht="15" customHeight="1" x14ac:dyDescent="0.25">
      <c r="A11" t="s">
        <v>112</v>
      </c>
      <c r="B11" s="8">
        <v>176</v>
      </c>
      <c r="C11" s="8">
        <v>176</v>
      </c>
      <c r="D11" s="8">
        <v>176</v>
      </c>
      <c r="E11" t="s">
        <v>113</v>
      </c>
      <c r="F11" t="s">
        <v>114</v>
      </c>
    </row>
    <row r="12" spans="1:6" ht="15" customHeight="1" x14ac:dyDescent="0.25">
      <c r="A12" t="s">
        <v>115</v>
      </c>
      <c r="B12" s="8">
        <v>420</v>
      </c>
      <c r="C12" s="8">
        <v>580</v>
      </c>
      <c r="D12" s="8">
        <v>780</v>
      </c>
      <c r="E12" t="s">
        <v>113</v>
      </c>
      <c r="F12" t="s">
        <v>116</v>
      </c>
    </row>
    <row r="13" spans="1:6" ht="15" customHeight="1" x14ac:dyDescent="0.25">
      <c r="A13" t="s">
        <v>117</v>
      </c>
      <c r="B13" s="9">
        <f>(B12/B11)^(1/7)-1</f>
        <v>0.13230226134677658</v>
      </c>
      <c r="C13" s="9">
        <f>(C12/C11)^(1/7)-1</f>
        <v>0.18573572163569319</v>
      </c>
      <c r="D13" s="9">
        <f>(D12/D11)^(1/7)-1</f>
        <v>0.23699757385184173</v>
      </c>
      <c r="E13" t="s">
        <v>102</v>
      </c>
      <c r="F13" t="s">
        <v>118</v>
      </c>
    </row>
    <row r="15" spans="1:6" ht="15" customHeight="1" x14ac:dyDescent="0.25">
      <c r="A15" s="6" t="s">
        <v>119</v>
      </c>
      <c r="B15" s="7" t="s">
        <v>96</v>
      </c>
      <c r="C15" s="7" t="s">
        <v>97</v>
      </c>
      <c r="D15" s="7" t="s">
        <v>98</v>
      </c>
      <c r="E15" s="7" t="s">
        <v>99</v>
      </c>
      <c r="F15" s="7" t="s">
        <v>120</v>
      </c>
    </row>
    <row r="16" spans="1:6" ht="15" customHeight="1" x14ac:dyDescent="0.25">
      <c r="A16" t="s">
        <v>121</v>
      </c>
      <c r="B16" s="8">
        <v>0.65</v>
      </c>
      <c r="C16" s="8">
        <v>0.7</v>
      </c>
      <c r="D16" s="8">
        <v>0.75</v>
      </c>
      <c r="E16" t="s">
        <v>102</v>
      </c>
      <c r="F16" t="s">
        <v>122</v>
      </c>
    </row>
    <row r="17" spans="1:6" ht="15" customHeight="1" x14ac:dyDescent="0.25">
      <c r="A17" t="s">
        <v>123</v>
      </c>
      <c r="B17" s="8">
        <v>12</v>
      </c>
      <c r="C17" s="8">
        <v>18</v>
      </c>
      <c r="D17" s="8">
        <v>26</v>
      </c>
      <c r="E17" t="s">
        <v>124</v>
      </c>
      <c r="F17" t="s">
        <v>125</v>
      </c>
    </row>
    <row r="18" spans="1:6" ht="15" customHeight="1" x14ac:dyDescent="0.25">
      <c r="A18" t="s">
        <v>126</v>
      </c>
      <c r="B18" s="10">
        <f>MIN(B12*1000/(B16*8760),B17*5+25)</f>
        <v>73.76185458377239</v>
      </c>
      <c r="C18" s="10">
        <f>MIN(C12*1000/(C16*8760),C17*5+25)</f>
        <v>94.585779517286369</v>
      </c>
      <c r="D18" s="10">
        <f>MIN(D12*1000/(D16*8760),D17*5+25)</f>
        <v>118.72146118721462</v>
      </c>
      <c r="E18" t="s">
        <v>124</v>
      </c>
      <c r="F18" t="s">
        <v>127</v>
      </c>
    </row>
    <row r="19" spans="1:6" ht="15" customHeight="1" x14ac:dyDescent="0.25">
      <c r="A19" t="s">
        <v>128</v>
      </c>
      <c r="B19" s="10">
        <f>B18*B16*8760/1000</f>
        <v>420</v>
      </c>
      <c r="C19" s="10">
        <f>C18*C16*8760/1000</f>
        <v>580</v>
      </c>
      <c r="D19" s="10">
        <f>D18*D16*8760/1000</f>
        <v>780</v>
      </c>
      <c r="E19" t="s">
        <v>113</v>
      </c>
      <c r="F19" t="s">
        <v>129</v>
      </c>
    </row>
    <row r="21" spans="1:6" ht="15" customHeight="1" x14ac:dyDescent="0.25">
      <c r="A21" s="6" t="s">
        <v>130</v>
      </c>
      <c r="B21" s="7" t="s">
        <v>96</v>
      </c>
      <c r="C21" s="7" t="s">
        <v>97</v>
      </c>
      <c r="D21" s="7" t="s">
        <v>98</v>
      </c>
      <c r="E21" s="7" t="s">
        <v>99</v>
      </c>
      <c r="F21" s="7" t="s">
        <v>131</v>
      </c>
    </row>
    <row r="22" spans="1:6" ht="15" customHeight="1" x14ac:dyDescent="0.25">
      <c r="A22" t="s">
        <v>132</v>
      </c>
      <c r="B22" s="8">
        <v>10</v>
      </c>
      <c r="C22" s="8">
        <v>12</v>
      </c>
      <c r="D22" s="8">
        <v>14</v>
      </c>
      <c r="E22" t="s">
        <v>133</v>
      </c>
      <c r="F22" t="s">
        <v>134</v>
      </c>
    </row>
    <row r="23" spans="1:6" ht="15" customHeight="1" x14ac:dyDescent="0.25">
      <c r="A23" t="s">
        <v>135</v>
      </c>
      <c r="B23" s="8">
        <v>0.14000000000000001</v>
      </c>
      <c r="C23" s="8">
        <v>0.17</v>
      </c>
      <c r="D23" s="8">
        <v>0.2</v>
      </c>
      <c r="E23" t="s">
        <v>102</v>
      </c>
      <c r="F23" t="s">
        <v>136</v>
      </c>
    </row>
    <row r="24" spans="1:6" ht="15" customHeight="1" x14ac:dyDescent="0.25">
      <c r="A24" t="s">
        <v>137</v>
      </c>
      <c r="B24" s="8">
        <v>0.25</v>
      </c>
      <c r="C24" s="8">
        <v>0.32</v>
      </c>
      <c r="D24" s="8">
        <v>0.4</v>
      </c>
      <c r="E24" t="s">
        <v>102</v>
      </c>
      <c r="F24" t="s">
        <v>138</v>
      </c>
    </row>
    <row r="25" spans="1:6" ht="15" customHeight="1" x14ac:dyDescent="0.25">
      <c r="A25" t="s">
        <v>139</v>
      </c>
      <c r="B25" s="8">
        <v>0.5</v>
      </c>
      <c r="C25" s="8">
        <v>0.62</v>
      </c>
      <c r="D25" s="8">
        <v>0.72</v>
      </c>
      <c r="E25" t="s">
        <v>102</v>
      </c>
      <c r="F25" t="s">
        <v>140</v>
      </c>
    </row>
    <row r="26" spans="1:6" ht="15" customHeight="1" x14ac:dyDescent="0.25">
      <c r="A26" t="s">
        <v>141</v>
      </c>
      <c r="B26" s="8">
        <v>0.3</v>
      </c>
      <c r="C26" s="8">
        <v>0.35</v>
      </c>
      <c r="D26" s="8">
        <v>0.4</v>
      </c>
      <c r="E26" t="s">
        <v>102</v>
      </c>
      <c r="F26" t="s">
        <v>142</v>
      </c>
    </row>
    <row r="27" spans="1:6" ht="15" customHeight="1" x14ac:dyDescent="0.25">
      <c r="A27" t="s">
        <v>143</v>
      </c>
      <c r="B27" s="8">
        <v>8</v>
      </c>
      <c r="C27" s="8">
        <v>7</v>
      </c>
      <c r="D27" s="8">
        <v>6</v>
      </c>
      <c r="E27" t="s">
        <v>144</v>
      </c>
      <c r="F27" t="s">
        <v>145</v>
      </c>
    </row>
    <row r="29" spans="1:6" ht="15" customHeight="1" x14ac:dyDescent="0.25">
      <c r="A29" s="6" t="s">
        <v>146</v>
      </c>
    </row>
    <row r="30" spans="1:6" ht="15" customHeight="1" x14ac:dyDescent="0.25">
      <c r="A30" t="s">
        <v>147</v>
      </c>
      <c r="B30" s="8">
        <v>35</v>
      </c>
      <c r="C30" s="8">
        <v>35</v>
      </c>
      <c r="D30" s="8">
        <v>35</v>
      </c>
      <c r="E30" t="s">
        <v>124</v>
      </c>
      <c r="F30" t="s">
        <v>148</v>
      </c>
    </row>
    <row r="31" spans="1:6" ht="15" customHeight="1" x14ac:dyDescent="0.25">
      <c r="A31" t="s">
        <v>149</v>
      </c>
      <c r="B31" s="8">
        <v>0.05</v>
      </c>
      <c r="C31" s="8">
        <v>7.0000000000000007E-2</v>
      </c>
      <c r="D31" s="8">
        <v>0.1</v>
      </c>
      <c r="E31" t="s">
        <v>102</v>
      </c>
      <c r="F31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44" customWidth="1"/>
    <col min="2" max="10" width="12" customWidth="1"/>
  </cols>
  <sheetData>
    <row r="1" spans="1:9" ht="15.75" customHeight="1" x14ac:dyDescent="0.25">
      <c r="A1" s="5" t="s">
        <v>151</v>
      </c>
    </row>
    <row r="2" spans="1:9" ht="32.25" customHeight="1" x14ac:dyDescent="0.25">
      <c r="A2" s="1" t="s">
        <v>152</v>
      </c>
    </row>
    <row r="4" spans="1:9" ht="15" customHeight="1" x14ac:dyDescent="0.25">
      <c r="A4" s="7" t="s">
        <v>153</v>
      </c>
      <c r="B4" s="7" t="s">
        <v>154</v>
      </c>
      <c r="C4" s="7" t="s">
        <v>155</v>
      </c>
      <c r="D4" s="7" t="s">
        <v>156</v>
      </c>
      <c r="E4" s="7" t="s">
        <v>157</v>
      </c>
      <c r="F4" s="7" t="s">
        <v>158</v>
      </c>
      <c r="G4" s="7" t="s">
        <v>159</v>
      </c>
      <c r="H4" s="7" t="s">
        <v>160</v>
      </c>
      <c r="I4" s="7" t="s">
        <v>161</v>
      </c>
    </row>
    <row r="5" spans="1:9" ht="15" customHeight="1" x14ac:dyDescent="0.25">
      <c r="A5" s="6" t="s">
        <v>162</v>
      </c>
    </row>
    <row r="6" spans="1:9" ht="15" customHeight="1" x14ac:dyDescent="0.25">
      <c r="A6" t="s">
        <v>96</v>
      </c>
      <c r="B6" s="83">
        <f>Control_Panel!B11</f>
        <v>176</v>
      </c>
      <c r="C6" s="83">
        <f>Control_Panel!B11*(Control_Panel!B12/Control_Panel!B11)^(1/7)</f>
        <v>199.28519799703267</v>
      </c>
      <c r="D6" s="83">
        <f>Control_Panel!B11*(Control_Panel!B12/Control_Panel!B11)^(2/7)</f>
        <v>225.65108034498024</v>
      </c>
      <c r="E6" s="83">
        <f>Control_Panel!B11*(Control_Panel!B12/Control_Panel!B11)^(3/7)</f>
        <v>255.5052285499643</v>
      </c>
      <c r="F6" s="83">
        <f>Control_Panel!B11*(Control_Panel!B12/Control_Panel!B11)^(4/7)</f>
        <v>289.30914807304958</v>
      </c>
      <c r="G6" s="83">
        <f>Control_Panel!B11*(Control_Panel!B12/Control_Panel!B11)^(5/7)</f>
        <v>327.58540259142347</v>
      </c>
      <c r="H6" s="83">
        <f>Control_Panel!B11*(Control_Panel!B12/Control_Panel!B11)^(6/7)</f>
        <v>370.92569213846298</v>
      </c>
      <c r="I6" s="83">
        <f>Control_Panel!B12</f>
        <v>420</v>
      </c>
    </row>
    <row r="7" spans="1:9" ht="15" customHeight="1" x14ac:dyDescent="0.25">
      <c r="A7" t="s">
        <v>97</v>
      </c>
      <c r="B7" s="83">
        <f>Control_Panel!C11</f>
        <v>176</v>
      </c>
      <c r="C7" s="83">
        <f>Control_Panel!C11*(Control_Panel!C12/Control_Panel!C11)^(1/7)</f>
        <v>208.68948700788201</v>
      </c>
      <c r="D7" s="83">
        <f>Control_Panel!C11*(Control_Panel!C12/Control_Panel!C11)^(2/7)</f>
        <v>247.45057947507357</v>
      </c>
      <c r="E7" s="83">
        <f>Control_Panel!C11*(Control_Panel!C12/Control_Panel!C11)^(3/7)</f>
        <v>293.41099142304677</v>
      </c>
      <c r="F7" s="83">
        <f>Control_Panel!C11*(Control_Panel!C12/Control_Panel!C11)^(4/7)</f>
        <v>347.90789365085055</v>
      </c>
      <c r="G7" s="83">
        <f>Control_Panel!C11*(Control_Panel!C12/Control_Panel!C11)^(5/7)</f>
        <v>412.5268173408453</v>
      </c>
      <c r="H7" s="83">
        <f>Control_Panel!C11*(Control_Panel!C12/Control_Panel!C11)^(6/7)</f>
        <v>489.14778345372287</v>
      </c>
      <c r="I7" s="83">
        <f>Control_Panel!C12</f>
        <v>580</v>
      </c>
    </row>
    <row r="8" spans="1:9" ht="15" customHeight="1" x14ac:dyDescent="0.25">
      <c r="A8" t="s">
        <v>98</v>
      </c>
      <c r="B8" s="83">
        <f>Control_Panel!D11</f>
        <v>176</v>
      </c>
      <c r="C8" s="83">
        <f>Control_Panel!D11*(Control_Panel!D12/Control_Panel!D11)^(1/7)</f>
        <v>217.71157299792415</v>
      </c>
      <c r="D8" s="83">
        <f>Control_Panel!D11*(Control_Panel!D12/Control_Panel!D11)^(2/7)</f>
        <v>269.3086875979003</v>
      </c>
      <c r="E8" s="83">
        <f>Control_Panel!D11*(Control_Panel!D12/Control_Panel!D11)^(3/7)</f>
        <v>333.13419317582628</v>
      </c>
      <c r="F8" s="83">
        <f>Control_Panel!D11*(Control_Panel!D12/Control_Panel!D11)^(4/7)</f>
        <v>412.08618872558787</v>
      </c>
      <c r="G8" s="83">
        <f>Control_Panel!D11*(Control_Panel!D12/Control_Panel!D11)^(5/7)</f>
        <v>509.74961567140434</v>
      </c>
      <c r="H8" s="83">
        <f>Control_Panel!D11*(Control_Panel!D12/Control_Panel!D11)^(6/7)</f>
        <v>630.5590378574359</v>
      </c>
      <c r="I8" s="83">
        <f>Control_Panel!D12</f>
        <v>780</v>
      </c>
    </row>
    <row r="10" spans="1:9" ht="15" customHeight="1" x14ac:dyDescent="0.25">
      <c r="A10" s="6" t="s">
        <v>163</v>
      </c>
    </row>
    <row r="11" spans="1:9" ht="15" customHeight="1" x14ac:dyDescent="0.25">
      <c r="A11" t="s">
        <v>164</v>
      </c>
      <c r="B11" s="83">
        <f>Control_Panel!$B$19*0/7+Control_Panel!$B$11*(7-0)/7</f>
        <v>176</v>
      </c>
      <c r="C11" s="83">
        <f>Control_Panel!$B$19*1/7+Control_Panel!$B$11*(7-1)/7</f>
        <v>210.85714285714286</v>
      </c>
      <c r="D11" s="83">
        <f>Control_Panel!$B$19*2/7+Control_Panel!$B$11*(7-2)/7</f>
        <v>245.71428571428572</v>
      </c>
      <c r="E11" s="83">
        <f>Control_Panel!$B$19*3/7+Control_Panel!$B$11*(7-3)/7</f>
        <v>280.57142857142856</v>
      </c>
      <c r="F11" s="83">
        <f>Control_Panel!$B$19*4/7+Control_Panel!$B$11*(7-4)/7</f>
        <v>315.42857142857144</v>
      </c>
      <c r="G11" s="83">
        <f>Control_Panel!$B$19*5/7+Control_Panel!$B$11*(7-5)/7</f>
        <v>350.28571428571428</v>
      </c>
      <c r="H11" s="83">
        <f>Control_Panel!$B$19*6/7+Control_Panel!$B$11*(7-6)/7</f>
        <v>385.14285714285717</v>
      </c>
      <c r="I11" s="83">
        <f>Control_Panel!$B$19*7/7+Control_Panel!$B$11*(7-7)/7</f>
        <v>420</v>
      </c>
    </row>
    <row r="12" spans="1:9" ht="15" customHeight="1" x14ac:dyDescent="0.25">
      <c r="A12" t="s">
        <v>165</v>
      </c>
      <c r="B12" s="83">
        <f>Control_Panel!$C$19*0/7+Control_Panel!$C$11*(7-0)/7</f>
        <v>176</v>
      </c>
      <c r="C12" s="83">
        <f>Control_Panel!$C$19*1/7+Control_Panel!$C$11*(7-1)/7</f>
        <v>233.71428571428572</v>
      </c>
      <c r="D12" s="83">
        <f>Control_Panel!$C$19*2/7+Control_Panel!$C$11*(7-2)/7</f>
        <v>291.42857142857144</v>
      </c>
      <c r="E12" s="83">
        <f>Control_Panel!$C$19*3/7+Control_Panel!$C$11*(7-3)/7</f>
        <v>349.14285714285717</v>
      </c>
      <c r="F12" s="83">
        <f>Control_Panel!$C$19*4/7+Control_Panel!$C$11*(7-4)/7</f>
        <v>406.85714285714289</v>
      </c>
      <c r="G12" s="83">
        <f>Control_Panel!$C$19*5/7+Control_Panel!$C$11*(7-5)/7</f>
        <v>464.57142857142856</v>
      </c>
      <c r="H12" s="83">
        <f>Control_Panel!$C$19*6/7+Control_Panel!$C$11*(7-6)/7</f>
        <v>522.28571428571433</v>
      </c>
      <c r="I12" s="83">
        <f>Control_Panel!$C$19*7/7+Control_Panel!$C$11*(7-7)/7</f>
        <v>580</v>
      </c>
    </row>
    <row r="13" spans="1:9" ht="15" customHeight="1" x14ac:dyDescent="0.25">
      <c r="A13" t="s">
        <v>166</v>
      </c>
      <c r="B13" s="83">
        <f>Control_Panel!$D$19*0/7+Control_Panel!$D$11*(7-0)/7</f>
        <v>176</v>
      </c>
      <c r="C13" s="83">
        <f>Control_Panel!$D$19*1/7+Control_Panel!$D$11*(7-1)/7</f>
        <v>262.28571428571428</v>
      </c>
      <c r="D13" s="83">
        <f>Control_Panel!$D$19*2/7+Control_Panel!$D$11*(7-2)/7</f>
        <v>348.57142857142856</v>
      </c>
      <c r="E13" s="83">
        <f>Control_Panel!$D$19*3/7+Control_Panel!$D$11*(7-3)/7</f>
        <v>434.85714285714283</v>
      </c>
      <c r="F13" s="83">
        <f>Control_Panel!$D$19*4/7+Control_Panel!$D$11*(7-4)/7</f>
        <v>521.14285714285711</v>
      </c>
      <c r="G13" s="83">
        <f>Control_Panel!$D$19*5/7+Control_Panel!$D$11*(7-5)/7</f>
        <v>607.42857142857144</v>
      </c>
      <c r="H13" s="83">
        <f>Control_Panel!$D$19*6/7+Control_Panel!$D$11*(7-6)/7</f>
        <v>693.71428571428567</v>
      </c>
      <c r="I13" s="83">
        <f>Control_Panel!$D$19*7/7+Control_Panel!$D$11*(7-7)/7</f>
        <v>780</v>
      </c>
    </row>
    <row r="15" spans="1:9" ht="15" customHeight="1" x14ac:dyDescent="0.25">
      <c r="A15" s="6" t="s">
        <v>167</v>
      </c>
    </row>
    <row r="16" spans="1:9" ht="15" customHeight="1" x14ac:dyDescent="0.25">
      <c r="A16" t="s">
        <v>96</v>
      </c>
      <c r="B16" s="83">
        <f t="shared" ref="B16:I18" si="0">MIN(B6,B11)</f>
        <v>176</v>
      </c>
      <c r="C16" s="83">
        <f t="shared" si="0"/>
        <v>199.28519799703267</v>
      </c>
      <c r="D16" s="83">
        <f t="shared" si="0"/>
        <v>225.65108034498024</v>
      </c>
      <c r="E16" s="83">
        <f t="shared" si="0"/>
        <v>255.5052285499643</v>
      </c>
      <c r="F16" s="83">
        <f t="shared" si="0"/>
        <v>289.30914807304958</v>
      </c>
      <c r="G16" s="83">
        <f t="shared" si="0"/>
        <v>327.58540259142347</v>
      </c>
      <c r="H16" s="83">
        <f t="shared" si="0"/>
        <v>370.92569213846298</v>
      </c>
      <c r="I16" s="83">
        <f t="shared" si="0"/>
        <v>420</v>
      </c>
    </row>
    <row r="17" spans="1:9" ht="15" customHeight="1" x14ac:dyDescent="0.25">
      <c r="A17" t="s">
        <v>97</v>
      </c>
      <c r="B17" s="83">
        <f t="shared" si="0"/>
        <v>176</v>
      </c>
      <c r="C17" s="83">
        <f t="shared" si="0"/>
        <v>208.68948700788201</v>
      </c>
      <c r="D17" s="83">
        <f t="shared" si="0"/>
        <v>247.45057947507357</v>
      </c>
      <c r="E17" s="83">
        <f t="shared" si="0"/>
        <v>293.41099142304677</v>
      </c>
      <c r="F17" s="83">
        <f t="shared" si="0"/>
        <v>347.90789365085055</v>
      </c>
      <c r="G17" s="83">
        <f t="shared" si="0"/>
        <v>412.5268173408453</v>
      </c>
      <c r="H17" s="83">
        <f t="shared" si="0"/>
        <v>489.14778345372287</v>
      </c>
      <c r="I17" s="83">
        <f t="shared" si="0"/>
        <v>580</v>
      </c>
    </row>
    <row r="18" spans="1:9" ht="15" customHeight="1" x14ac:dyDescent="0.25">
      <c r="A18" t="s">
        <v>98</v>
      </c>
      <c r="B18" s="83">
        <f t="shared" si="0"/>
        <v>176</v>
      </c>
      <c r="C18" s="83">
        <f t="shared" si="0"/>
        <v>217.71157299792415</v>
      </c>
      <c r="D18" s="83">
        <f t="shared" si="0"/>
        <v>269.3086875979003</v>
      </c>
      <c r="E18" s="83">
        <f t="shared" si="0"/>
        <v>333.13419317582628</v>
      </c>
      <c r="F18" s="83">
        <f t="shared" si="0"/>
        <v>412.08618872558787</v>
      </c>
      <c r="G18" s="83">
        <f t="shared" si="0"/>
        <v>509.74961567140434</v>
      </c>
      <c r="H18" s="83">
        <f t="shared" si="0"/>
        <v>630.5590378574359</v>
      </c>
      <c r="I18" s="83">
        <f t="shared" si="0"/>
        <v>780</v>
      </c>
    </row>
    <row r="20" spans="1:9" ht="15" customHeight="1" x14ac:dyDescent="0.25">
      <c r="A20" s="6" t="s">
        <v>168</v>
      </c>
    </row>
    <row r="21" spans="1:9" ht="15" customHeight="1" x14ac:dyDescent="0.25">
      <c r="A21" t="s">
        <v>169</v>
      </c>
      <c r="B21" s="83">
        <f>B17*1000/(Control_Panel!$C$16*8760)</f>
        <v>28.701891715590346</v>
      </c>
      <c r="C21" s="83">
        <f>C17*1000/(Control_Panel!$C$16*8760)</f>
        <v>34.032858285695042</v>
      </c>
      <c r="D21" s="83">
        <f>D17*1000/(Control_Panel!$C$16*8760)</f>
        <v>40.353975778713888</v>
      </c>
      <c r="E21" s="83">
        <f>E17*1000/(Control_Panel!$C$16*8760)</f>
        <v>47.849150590842584</v>
      </c>
      <c r="F21" s="83">
        <f>F17*1000/(Control_Panel!$C$16*8760)</f>
        <v>56.736447105487699</v>
      </c>
      <c r="G21" s="83">
        <f>G17*1000/(Control_Panel!$C$16*8760)</f>
        <v>67.274432051670786</v>
      </c>
      <c r="H21" s="83">
        <f>H17*1000/(Control_Panel!$C$16*8760)</f>
        <v>79.769697236419262</v>
      </c>
      <c r="I21" s="83">
        <f>I17*1000/(Control_Panel!$C$16*8760)</f>
        <v>94.585779517286369</v>
      </c>
    </row>
    <row r="22" spans="1:9" ht="15" customHeight="1" x14ac:dyDescent="0.25">
      <c r="A22" t="s">
        <v>170</v>
      </c>
      <c r="B22" s="83">
        <f>0</f>
        <v>0</v>
      </c>
      <c r="C22" s="83">
        <f t="shared" ref="C22:I22" si="1">C21-B21</f>
        <v>5.330966570104696</v>
      </c>
      <c r="D22" s="83">
        <f t="shared" si="1"/>
        <v>6.3211174930188463</v>
      </c>
      <c r="E22" s="83">
        <f t="shared" si="1"/>
        <v>7.4951748121286954</v>
      </c>
      <c r="F22" s="83">
        <f t="shared" si="1"/>
        <v>8.8872965146451151</v>
      </c>
      <c r="G22" s="83">
        <f t="shared" si="1"/>
        <v>10.537984946183087</v>
      </c>
      <c r="H22" s="83">
        <f t="shared" si="1"/>
        <v>12.495265184748476</v>
      </c>
      <c r="I22" s="83">
        <f t="shared" si="1"/>
        <v>14.816082280867107</v>
      </c>
    </row>
    <row r="24" spans="1:9" ht="15" customHeight="1" x14ac:dyDescent="0.25">
      <c r="A24" s="6" t="s">
        <v>171</v>
      </c>
    </row>
    <row r="25" spans="1:9" ht="32.25" customHeight="1" x14ac:dyDescent="0.25">
      <c r="A25" s="1" t="s">
        <v>172</v>
      </c>
    </row>
    <row r="26" spans="1:9" ht="15" customHeight="1" x14ac:dyDescent="0.25">
      <c r="A26" t="s">
        <v>173</v>
      </c>
      <c r="B26" s="9">
        <f>Control_Panel!$C$24</f>
        <v>0.32</v>
      </c>
      <c r="C26" s="9">
        <f>Control_Panel!$C$24</f>
        <v>0.32</v>
      </c>
      <c r="D26" s="9">
        <f>Control_Panel!$C$24</f>
        <v>0.32</v>
      </c>
      <c r="E26" s="9">
        <f>Control_Panel!$C$24+(Control_Panel!$C$25-Control_Panel!$C$24)*0.2</f>
        <v>0.38</v>
      </c>
      <c r="F26" s="9">
        <f>Control_Panel!$C$24+(Control_Panel!$C$25-Control_Panel!$C$24)*0.4</f>
        <v>0.44</v>
      </c>
      <c r="G26" s="9">
        <f>Control_Panel!$C$24+(Control_Panel!$C$25-Control_Panel!$C$24)*0.6</f>
        <v>0.5</v>
      </c>
      <c r="H26" s="9">
        <f>Control_Panel!$C$24+(Control_Panel!$C$25-Control_Panel!$C$24)*0.8</f>
        <v>0.56000000000000005</v>
      </c>
      <c r="I26" s="9">
        <f>Control_Panel!$C$24+(Control_Panel!$C$25-Control_Panel!$C$24)*1</f>
        <v>0.62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50" customWidth="1"/>
    <col min="2" max="11" width="13" customWidth="1"/>
  </cols>
  <sheetData>
    <row r="1" spans="1:8" ht="15.75" customHeight="1" x14ac:dyDescent="0.25">
      <c r="A1" s="5" t="s">
        <v>174</v>
      </c>
    </row>
    <row r="2" spans="1:8" ht="21.75" customHeight="1" x14ac:dyDescent="0.25">
      <c r="A2" s="1" t="s">
        <v>175</v>
      </c>
    </row>
    <row r="4" spans="1:8" ht="26.25" customHeight="1" x14ac:dyDescent="0.25">
      <c r="A4" s="7" t="s">
        <v>176</v>
      </c>
      <c r="B4" s="7" t="s">
        <v>177</v>
      </c>
      <c r="C4" s="7" t="s">
        <v>178</v>
      </c>
      <c r="D4" s="7" t="s">
        <v>179</v>
      </c>
      <c r="E4" s="7" t="s">
        <v>180</v>
      </c>
      <c r="F4" s="7" t="s">
        <v>181</v>
      </c>
      <c r="G4" s="7" t="s">
        <v>182</v>
      </c>
      <c r="H4" s="7" t="s">
        <v>183</v>
      </c>
    </row>
    <row r="5" spans="1:8" ht="15" customHeight="1" x14ac:dyDescent="0.25">
      <c r="A5" t="s">
        <v>184</v>
      </c>
      <c r="B5" s="11">
        <f>Demand_Constrained!C22*0.75</f>
        <v>3.998224927578522</v>
      </c>
      <c r="C5" s="11">
        <f>Demand_Constrained!C22</f>
        <v>5.330966570104696</v>
      </c>
      <c r="D5" s="11">
        <f>Demand_Constrained!C22*1.25</f>
        <v>6.66370821263087</v>
      </c>
      <c r="E5" s="11">
        <f>Demand_Constrained!H22*0.75</f>
        <v>9.3714488885613569</v>
      </c>
      <c r="F5" s="11">
        <f>Demand_Constrained!H22</f>
        <v>12.495265184748476</v>
      </c>
      <c r="G5" s="11">
        <f>Demand_Constrained!H22*1.25</f>
        <v>15.619081480935595</v>
      </c>
      <c r="H5" t="s">
        <v>185</v>
      </c>
    </row>
    <row r="6" spans="1:8" ht="15" customHeight="1" x14ac:dyDescent="0.25">
      <c r="A6" t="s">
        <v>186</v>
      </c>
      <c r="B6" s="12">
        <f>Control_Panel!B22*Control_Panel!B23</f>
        <v>1.4000000000000001</v>
      </c>
      <c r="C6" s="12">
        <f>Control_Panel!C22*Control_Panel!C23</f>
        <v>2.04</v>
      </c>
      <c r="D6" s="12">
        <f>Control_Panel!D22*Control_Panel!D23</f>
        <v>2.8000000000000003</v>
      </c>
      <c r="E6" s="12">
        <f>Control_Panel!B22*Control_Panel!B23</f>
        <v>1.4000000000000001</v>
      </c>
      <c r="F6" s="12">
        <f>Control_Panel!C22*Control_Panel!C23</f>
        <v>2.04</v>
      </c>
      <c r="G6" s="12">
        <f>Control_Panel!D22*Control_Panel!D23</f>
        <v>2.8000000000000003</v>
      </c>
      <c r="H6" t="s">
        <v>187</v>
      </c>
    </row>
    <row r="7" spans="1:8" ht="15" customHeight="1" x14ac:dyDescent="0.25">
      <c r="A7" t="s">
        <v>188</v>
      </c>
      <c r="B7" s="13">
        <f t="shared" ref="B7:G7" si="0">B5*1000*B6/1000</f>
        <v>5.5975148986099308</v>
      </c>
      <c r="C7" s="13">
        <f t="shared" si="0"/>
        <v>10.875171803013579</v>
      </c>
      <c r="D7" s="13">
        <f t="shared" si="0"/>
        <v>18.658382995366434</v>
      </c>
      <c r="E7" s="13">
        <f t="shared" si="0"/>
        <v>13.1200284439859</v>
      </c>
      <c r="F7" s="13">
        <f t="shared" si="0"/>
        <v>25.490340976886891</v>
      </c>
      <c r="G7" s="13">
        <f t="shared" si="0"/>
        <v>43.733428146619673</v>
      </c>
      <c r="H7" t="s">
        <v>189</v>
      </c>
    </row>
    <row r="9" spans="1:8" ht="15" customHeight="1" x14ac:dyDescent="0.25">
      <c r="A9" s="6" t="s">
        <v>190</v>
      </c>
    </row>
    <row r="10" spans="1:8" ht="15" customHeight="1" x14ac:dyDescent="0.25">
      <c r="A10" t="s">
        <v>191</v>
      </c>
      <c r="B10" s="13">
        <f>B7*Control_Panel!B24</f>
        <v>1.3993787246524827</v>
      </c>
      <c r="C10" s="13">
        <f>C7*Control_Panel!C24</f>
        <v>3.4800549769643454</v>
      </c>
      <c r="D10" s="13">
        <f>D7*Control_Panel!D24</f>
        <v>7.4633531981465744</v>
      </c>
      <c r="E10" s="13">
        <f>E7*Control_Panel!B25</f>
        <v>6.56001422199295</v>
      </c>
      <c r="F10" s="13">
        <f>F7*Control_Panel!C25</f>
        <v>15.804011405669872</v>
      </c>
      <c r="G10" s="13">
        <f>G7*Control_Panel!D25</f>
        <v>31.488068265566163</v>
      </c>
    </row>
    <row r="11" spans="1:8" ht="15" customHeight="1" x14ac:dyDescent="0.25">
      <c r="A11" t="s">
        <v>192</v>
      </c>
      <c r="B11" s="13">
        <f>B10*Control_Panel!B26</f>
        <v>0.4198136173957448</v>
      </c>
      <c r="C11" s="13">
        <f>C10*Control_Panel!C26</f>
        <v>1.2180192419375209</v>
      </c>
      <c r="D11" s="13">
        <f>D10*Control_Panel!D26</f>
        <v>2.98534127925863</v>
      </c>
      <c r="E11" s="13">
        <f>E10*Control_Panel!B26</f>
        <v>1.968004266597885</v>
      </c>
      <c r="F11" s="13">
        <f>F10*Control_Panel!C26</f>
        <v>5.5314039919844546</v>
      </c>
      <c r="G11" s="13">
        <f>G10*Control_Panel!D26</f>
        <v>12.595227306226466</v>
      </c>
    </row>
    <row r="12" spans="1:8" ht="15" customHeight="1" x14ac:dyDescent="0.25">
      <c r="A12" t="s">
        <v>193</v>
      </c>
      <c r="B12" s="13">
        <f t="shared" ref="B12:G12" si="1">B7-B10</f>
        <v>4.1981361739574483</v>
      </c>
      <c r="C12" s="13">
        <f t="shared" si="1"/>
        <v>7.3951168260492341</v>
      </c>
      <c r="D12" s="13">
        <f t="shared" si="1"/>
        <v>11.19502979721986</v>
      </c>
      <c r="E12" s="13">
        <f t="shared" si="1"/>
        <v>6.56001422199295</v>
      </c>
      <c r="F12" s="13">
        <f t="shared" si="1"/>
        <v>9.6863295712170192</v>
      </c>
      <c r="G12" s="13">
        <f t="shared" si="1"/>
        <v>12.24535988105351</v>
      </c>
    </row>
    <row r="13" spans="1:8" ht="15" customHeight="1" x14ac:dyDescent="0.25">
      <c r="A13" t="s">
        <v>194</v>
      </c>
      <c r="B13" s="13">
        <f t="shared" ref="B13:G13" si="2">B11+B12</f>
        <v>4.6179497913531931</v>
      </c>
      <c r="C13" s="13">
        <f t="shared" si="2"/>
        <v>8.6131360679867548</v>
      </c>
      <c r="D13" s="13">
        <f t="shared" si="2"/>
        <v>14.18037107647849</v>
      </c>
      <c r="E13" s="13">
        <f t="shared" si="2"/>
        <v>8.5280184885908348</v>
      </c>
      <c r="F13" s="13">
        <f t="shared" si="2"/>
        <v>15.217733563201474</v>
      </c>
      <c r="G13" s="13">
        <f t="shared" si="2"/>
        <v>24.840587187279976</v>
      </c>
    </row>
    <row r="15" spans="1:8" ht="15" customHeight="1" x14ac:dyDescent="0.25">
      <c r="A15" s="6" t="s">
        <v>195</v>
      </c>
    </row>
    <row r="16" spans="1:8" ht="15" customHeight="1" x14ac:dyDescent="0.25">
      <c r="A16" t="s">
        <v>196</v>
      </c>
      <c r="B16" s="13">
        <f>Control_Panel!B30*1000*Control_Panel!B22*Control_Panel!B23/1000</f>
        <v>49.000000000000007</v>
      </c>
      <c r="C16" s="13">
        <f>Control_Panel!C30*1000*Control_Panel!C22*Control_Panel!C23/1000</f>
        <v>71.400000000000006</v>
      </c>
      <c r="D16" s="13">
        <f>Control_Panel!D30*1000*Control_Panel!D22*Control_Panel!D23/1000</f>
        <v>98</v>
      </c>
      <c r="E16" s="13">
        <f>Control_Panel!B30*1000*Control_Panel!B22*Control_Panel!B23/1000</f>
        <v>49.000000000000007</v>
      </c>
      <c r="F16" s="13">
        <f>Control_Panel!C30*1000*Control_Panel!C22*Control_Panel!C23/1000</f>
        <v>71.400000000000006</v>
      </c>
      <c r="G16" s="13">
        <f>Control_Panel!D30*1000*Control_Panel!D22*Control_Panel!D23/1000</f>
        <v>98</v>
      </c>
    </row>
    <row r="17" spans="1:8" ht="15" customHeight="1" x14ac:dyDescent="0.25">
      <c r="A17" t="s">
        <v>197</v>
      </c>
      <c r="B17" s="13">
        <f>B16/Control_Panel!B27</f>
        <v>6.1250000000000009</v>
      </c>
      <c r="C17" s="13">
        <f>C16/Control_Panel!C27</f>
        <v>10.200000000000001</v>
      </c>
      <c r="D17" s="13">
        <f>D16/Control_Panel!D27</f>
        <v>16.333333333333332</v>
      </c>
      <c r="E17" s="13">
        <f>E16/Control_Panel!B27</f>
        <v>6.1250000000000009</v>
      </c>
      <c r="F17" s="13">
        <f>F16/Control_Panel!C27</f>
        <v>10.200000000000001</v>
      </c>
      <c r="G17" s="13">
        <f>G16/Control_Panel!D27</f>
        <v>16.333333333333332</v>
      </c>
    </row>
    <row r="19" spans="1:8" ht="15" customHeight="1" x14ac:dyDescent="0.25">
      <c r="A19" s="6" t="s">
        <v>198</v>
      </c>
    </row>
    <row r="20" spans="1:8" ht="15" customHeight="1" x14ac:dyDescent="0.25">
      <c r="A20" t="s">
        <v>199</v>
      </c>
      <c r="B20" s="13">
        <f t="shared" ref="B20:G20" si="3">B7+B17</f>
        <v>11.722514898609932</v>
      </c>
      <c r="C20" s="13">
        <f t="shared" si="3"/>
        <v>21.075171803013582</v>
      </c>
      <c r="D20" s="13">
        <f t="shared" si="3"/>
        <v>34.991716328699766</v>
      </c>
      <c r="E20" s="13">
        <f t="shared" si="3"/>
        <v>19.245028443985902</v>
      </c>
      <c r="F20" s="13">
        <f t="shared" si="3"/>
        <v>35.690340976886894</v>
      </c>
      <c r="G20" s="13">
        <f t="shared" si="3"/>
        <v>60.066761479953001</v>
      </c>
      <c r="H20" t="s">
        <v>200</v>
      </c>
    </row>
    <row r="22" spans="1:8" ht="42.75" customHeight="1" x14ac:dyDescent="0.25">
      <c r="A22" s="1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zoomScaleNormal="100" workbookViewId="0">
      <selection activeCell="J17" sqref="J17"/>
    </sheetView>
  </sheetViews>
  <sheetFormatPr defaultColWidth="8.7109375" defaultRowHeight="15" x14ac:dyDescent="0.25"/>
  <cols>
    <col min="1" max="1" width="8" customWidth="1"/>
    <col min="2" max="2" width="22" customWidth="1"/>
    <col min="3" max="16" width="13" customWidth="1"/>
  </cols>
  <sheetData>
    <row r="1" spans="1:14" ht="15.75" customHeight="1" x14ac:dyDescent="0.25">
      <c r="A1" s="5" t="s">
        <v>202</v>
      </c>
    </row>
    <row r="2" spans="1:14" ht="53.25" customHeight="1" x14ac:dyDescent="0.25">
      <c r="A2" s="85" t="s">
        <v>203</v>
      </c>
      <c r="B2" s="84"/>
    </row>
    <row r="4" spans="1:14" ht="51.75" customHeight="1" x14ac:dyDescent="0.25">
      <c r="A4" s="7" t="s">
        <v>204</v>
      </c>
      <c r="B4" s="7" t="s">
        <v>205</v>
      </c>
      <c r="C4" s="7" t="s">
        <v>206</v>
      </c>
      <c r="D4" s="7" t="s">
        <v>207</v>
      </c>
      <c r="E4" s="7" t="s">
        <v>208</v>
      </c>
      <c r="F4" s="7" t="s">
        <v>209</v>
      </c>
      <c r="G4" s="7" t="s">
        <v>210</v>
      </c>
      <c r="H4" s="7" t="s">
        <v>211</v>
      </c>
      <c r="I4" s="7" t="s">
        <v>212</v>
      </c>
      <c r="J4" s="7" t="s">
        <v>213</v>
      </c>
      <c r="K4" s="7" t="s">
        <v>214</v>
      </c>
      <c r="L4" s="7" t="s">
        <v>215</v>
      </c>
      <c r="M4" s="7" t="s">
        <v>216</v>
      </c>
      <c r="N4" s="7" t="s">
        <v>217</v>
      </c>
    </row>
    <row r="5" spans="1:14" ht="15" customHeight="1" x14ac:dyDescent="0.25">
      <c r="A5">
        <v>1</v>
      </c>
      <c r="B5" t="s">
        <v>218</v>
      </c>
      <c r="C5" s="8">
        <v>9180</v>
      </c>
      <c r="D5" s="8">
        <v>10200</v>
      </c>
      <c r="E5" s="8">
        <v>70</v>
      </c>
      <c r="F5" s="8">
        <v>0.18</v>
      </c>
      <c r="G5" s="8">
        <v>0.85</v>
      </c>
      <c r="H5" s="8">
        <v>1.3</v>
      </c>
      <c r="I5" s="8">
        <v>0.05</v>
      </c>
      <c r="J5" s="14">
        <f t="shared" ref="J5:J19" si="0">E5*1000*F5*G5*H5-I5*C5</f>
        <v>13464</v>
      </c>
      <c r="K5" s="14">
        <f t="shared" ref="K5:K19" si="1">C5+J5</f>
        <v>22644</v>
      </c>
      <c r="L5" s="9">
        <f t="shared" ref="L5:L19" si="2">IFERROR((K5/C5)^(1/5)-1,0)</f>
        <v>0.19790421488235888</v>
      </c>
      <c r="M5" s="9">
        <f t="shared" ref="M5:M19" si="3">IFERROR(((D5-C5)*(1.04^5)+K5)/D5^1*0+(((D5-C5)*(1.04^5)+K5)/D5)^(1/5)-1,0)</f>
        <v>0.18550929581153897</v>
      </c>
      <c r="N5" s="86" t="s">
        <v>219</v>
      </c>
    </row>
    <row r="6" spans="1:14" ht="15" customHeight="1" x14ac:dyDescent="0.25">
      <c r="A6">
        <v>2</v>
      </c>
      <c r="B6" t="s">
        <v>220</v>
      </c>
      <c r="C6" s="8">
        <v>1419</v>
      </c>
      <c r="D6" s="8">
        <v>2580</v>
      </c>
      <c r="E6" s="8">
        <v>70</v>
      </c>
      <c r="F6" s="8">
        <v>7.0000000000000007E-2</v>
      </c>
      <c r="G6" s="8">
        <v>0.55000000000000004</v>
      </c>
      <c r="H6" s="8">
        <v>1.35</v>
      </c>
      <c r="I6" s="8">
        <v>0.1</v>
      </c>
      <c r="J6" s="14">
        <f t="shared" si="0"/>
        <v>3496.3500000000013</v>
      </c>
      <c r="K6" s="14">
        <f t="shared" si="1"/>
        <v>4915.3500000000013</v>
      </c>
      <c r="L6" s="9">
        <f t="shared" si="2"/>
        <v>0.2820778892435889</v>
      </c>
      <c r="M6" s="9">
        <f t="shared" si="3"/>
        <v>0.19654148610631994</v>
      </c>
      <c r="N6" s="86" t="s">
        <v>221</v>
      </c>
    </row>
    <row r="7" spans="1:14" ht="15" customHeight="1" x14ac:dyDescent="0.25">
      <c r="A7">
        <v>3</v>
      </c>
      <c r="B7" t="s">
        <v>222</v>
      </c>
      <c r="C7" s="8">
        <v>2976</v>
      </c>
      <c r="D7" s="8">
        <v>24800</v>
      </c>
      <c r="E7" s="8">
        <v>70</v>
      </c>
      <c r="F7" s="8">
        <v>0.1</v>
      </c>
      <c r="G7" s="8">
        <v>0.4</v>
      </c>
      <c r="H7" s="8">
        <v>1.25</v>
      </c>
      <c r="I7" s="8">
        <v>0.05</v>
      </c>
      <c r="J7" s="14">
        <f t="shared" si="0"/>
        <v>3351.2</v>
      </c>
      <c r="K7" s="14">
        <f t="shared" si="1"/>
        <v>6327.2</v>
      </c>
      <c r="L7" s="9">
        <f t="shared" si="2"/>
        <v>0.16282865982416017</v>
      </c>
      <c r="M7" s="9">
        <f t="shared" si="3"/>
        <v>5.8021584139089866E-2</v>
      </c>
      <c r="N7" s="86" t="s">
        <v>223</v>
      </c>
    </row>
    <row r="8" spans="1:14" ht="15" customHeight="1" x14ac:dyDescent="0.25">
      <c r="A8">
        <v>4</v>
      </c>
      <c r="B8" t="s">
        <v>224</v>
      </c>
      <c r="C8" s="8">
        <v>6000</v>
      </c>
      <c r="D8" s="8">
        <v>40000</v>
      </c>
      <c r="E8" s="8">
        <v>70</v>
      </c>
      <c r="F8" s="8">
        <v>0.13</v>
      </c>
      <c r="G8" s="8">
        <v>0.55000000000000004</v>
      </c>
      <c r="H8" s="8">
        <v>1.2</v>
      </c>
      <c r="I8" s="8">
        <v>0.08</v>
      </c>
      <c r="J8" s="14">
        <f t="shared" si="0"/>
        <v>5526</v>
      </c>
      <c r="K8" s="14">
        <f t="shared" si="1"/>
        <v>11526</v>
      </c>
      <c r="L8" s="9">
        <f t="shared" si="2"/>
        <v>0.13947676247461227</v>
      </c>
      <c r="M8" s="9">
        <f t="shared" si="3"/>
        <v>5.7465788576935184E-2</v>
      </c>
      <c r="N8" s="86" t="s">
        <v>225</v>
      </c>
    </row>
    <row r="9" spans="1:14" ht="15" customHeight="1" x14ac:dyDescent="0.25">
      <c r="A9">
        <v>5</v>
      </c>
      <c r="B9" t="s">
        <v>226</v>
      </c>
      <c r="C9" s="8">
        <v>1000</v>
      </c>
      <c r="D9" s="8">
        <v>3830</v>
      </c>
      <c r="E9" s="8">
        <v>70</v>
      </c>
      <c r="F9" s="8">
        <v>0.04</v>
      </c>
      <c r="G9" s="8">
        <v>0.6</v>
      </c>
      <c r="H9" s="8">
        <v>1.4</v>
      </c>
      <c r="I9" s="8">
        <v>0.05</v>
      </c>
      <c r="J9" s="14">
        <f t="shared" si="0"/>
        <v>2302</v>
      </c>
      <c r="K9" s="14">
        <f t="shared" si="1"/>
        <v>3302</v>
      </c>
      <c r="L9" s="9">
        <f t="shared" si="2"/>
        <v>0.26985874401513499</v>
      </c>
      <c r="M9" s="9">
        <f t="shared" si="3"/>
        <v>0.11984594212865551</v>
      </c>
      <c r="N9" s="86" t="s">
        <v>227</v>
      </c>
    </row>
    <row r="10" spans="1:14" ht="15" customHeight="1" x14ac:dyDescent="0.25">
      <c r="A10">
        <v>6</v>
      </c>
      <c r="B10" t="s">
        <v>228</v>
      </c>
      <c r="C10" s="8">
        <v>1640</v>
      </c>
      <c r="D10" s="8">
        <v>20500</v>
      </c>
      <c r="E10" s="8">
        <v>70</v>
      </c>
      <c r="F10" s="8">
        <v>0.04</v>
      </c>
      <c r="G10" s="8">
        <v>0.45</v>
      </c>
      <c r="H10" s="8">
        <v>1.2</v>
      </c>
      <c r="I10" s="8">
        <v>0.1</v>
      </c>
      <c r="J10" s="14">
        <f t="shared" si="0"/>
        <v>1348</v>
      </c>
      <c r="K10" s="14">
        <f t="shared" si="1"/>
        <v>2988</v>
      </c>
      <c r="L10" s="9">
        <f t="shared" si="2"/>
        <v>0.12747611156351812</v>
      </c>
      <c r="M10" s="9">
        <f t="shared" si="3"/>
        <v>4.8149848895095326E-2</v>
      </c>
      <c r="N10" s="86" t="s">
        <v>229</v>
      </c>
    </row>
    <row r="11" spans="1:14" ht="15" customHeight="1" x14ac:dyDescent="0.25">
      <c r="A11">
        <v>7</v>
      </c>
      <c r="B11" t="s">
        <v>230</v>
      </c>
      <c r="C11" s="8">
        <v>540</v>
      </c>
      <c r="D11" s="8">
        <v>1200</v>
      </c>
      <c r="E11" s="8">
        <v>70</v>
      </c>
      <c r="F11" s="8">
        <v>0.02</v>
      </c>
      <c r="G11" s="8">
        <v>0.5</v>
      </c>
      <c r="H11" s="8">
        <v>1.2</v>
      </c>
      <c r="I11" s="8">
        <v>0.1</v>
      </c>
      <c r="J11" s="14">
        <f t="shared" si="0"/>
        <v>786</v>
      </c>
      <c r="K11" s="14">
        <f t="shared" si="1"/>
        <v>1326</v>
      </c>
      <c r="L11" s="9">
        <f t="shared" si="2"/>
        <v>0.1968230721320996</v>
      </c>
      <c r="M11" s="9">
        <f t="shared" si="3"/>
        <v>0.12149802329750647</v>
      </c>
      <c r="N11" s="86" t="s">
        <v>231</v>
      </c>
    </row>
    <row r="12" spans="1:14" ht="15" customHeight="1" x14ac:dyDescent="0.25">
      <c r="A12">
        <v>8</v>
      </c>
      <c r="B12" t="s">
        <v>232</v>
      </c>
      <c r="C12" s="8">
        <v>1500</v>
      </c>
      <c r="D12" s="8">
        <v>25000</v>
      </c>
      <c r="E12" s="8">
        <v>70</v>
      </c>
      <c r="F12" s="8">
        <v>0.03</v>
      </c>
      <c r="G12" s="8">
        <v>0.4</v>
      </c>
      <c r="H12" s="8">
        <v>1.1000000000000001</v>
      </c>
      <c r="I12" s="8">
        <v>0.15</v>
      </c>
      <c r="J12" s="14">
        <f t="shared" si="0"/>
        <v>699.00000000000011</v>
      </c>
      <c r="K12" s="14">
        <f t="shared" si="1"/>
        <v>2199</v>
      </c>
      <c r="L12" s="9">
        <f t="shared" si="2"/>
        <v>7.9510308972144061E-2</v>
      </c>
      <c r="M12" s="9">
        <f t="shared" si="3"/>
        <v>4.2545226765208666E-2</v>
      </c>
      <c r="N12" s="86" t="s">
        <v>233</v>
      </c>
    </row>
    <row r="13" spans="1:14" ht="15" customHeight="1" x14ac:dyDescent="0.25">
      <c r="A13">
        <v>9</v>
      </c>
      <c r="B13" t="s">
        <v>234</v>
      </c>
      <c r="C13" s="8">
        <v>1100</v>
      </c>
      <c r="D13" s="8">
        <v>22000</v>
      </c>
      <c r="E13" s="8">
        <v>70</v>
      </c>
      <c r="F13" s="8">
        <v>0.02</v>
      </c>
      <c r="G13" s="8">
        <v>0.35</v>
      </c>
      <c r="H13" s="8">
        <v>1.05</v>
      </c>
      <c r="I13" s="8">
        <v>0.1</v>
      </c>
      <c r="J13" s="14">
        <f t="shared" si="0"/>
        <v>404.5</v>
      </c>
      <c r="K13" s="14">
        <f t="shared" si="1"/>
        <v>1504.5</v>
      </c>
      <c r="L13" s="9">
        <f t="shared" si="2"/>
        <v>6.4632945302196099E-2</v>
      </c>
      <c r="M13" s="9">
        <f t="shared" si="3"/>
        <v>4.1288194851591076E-2</v>
      </c>
      <c r="N13" s="86" t="s">
        <v>235</v>
      </c>
    </row>
    <row r="14" spans="1:14" ht="15" customHeight="1" x14ac:dyDescent="0.25">
      <c r="A14">
        <v>10</v>
      </c>
      <c r="B14" t="s">
        <v>236</v>
      </c>
      <c r="C14" s="8">
        <v>150</v>
      </c>
      <c r="D14" s="8">
        <v>1000</v>
      </c>
      <c r="E14" s="8">
        <v>70</v>
      </c>
      <c r="F14" s="8">
        <v>0.01</v>
      </c>
      <c r="G14" s="8">
        <v>0.5</v>
      </c>
      <c r="H14" s="8">
        <v>1.3</v>
      </c>
      <c r="I14" s="8">
        <v>0.05</v>
      </c>
      <c r="J14" s="14">
        <f t="shared" si="0"/>
        <v>447.5</v>
      </c>
      <c r="K14" s="14">
        <f t="shared" si="1"/>
        <v>597.5</v>
      </c>
      <c r="L14" s="9">
        <f t="shared" si="2"/>
        <v>0.31840648360234391</v>
      </c>
      <c r="M14" s="9">
        <f t="shared" si="3"/>
        <v>0.10287340836163272</v>
      </c>
      <c r="N14" s="86" t="s">
        <v>237</v>
      </c>
    </row>
    <row r="15" spans="1:14" ht="15" customHeight="1" x14ac:dyDescent="0.25">
      <c r="A15">
        <v>11</v>
      </c>
      <c r="B15" t="s">
        <v>238</v>
      </c>
      <c r="C15" s="8">
        <v>2600</v>
      </c>
      <c r="D15" s="8">
        <v>26000</v>
      </c>
      <c r="E15" s="8">
        <v>25</v>
      </c>
      <c r="F15" s="8">
        <v>0.06</v>
      </c>
      <c r="G15" s="8">
        <v>0.55000000000000004</v>
      </c>
      <c r="H15" s="8">
        <v>1.25</v>
      </c>
      <c r="I15" s="8">
        <v>0.05</v>
      </c>
      <c r="J15" s="14">
        <f t="shared" si="0"/>
        <v>901.25000000000023</v>
      </c>
      <c r="K15" s="14">
        <f t="shared" si="1"/>
        <v>3501.25</v>
      </c>
      <c r="L15" s="9">
        <f t="shared" si="2"/>
        <v>6.1328813335414178E-2</v>
      </c>
      <c r="M15" s="9">
        <f t="shared" si="3"/>
        <v>4.2212742380852264E-2</v>
      </c>
      <c r="N15" s="86" t="s">
        <v>239</v>
      </c>
    </row>
    <row r="16" spans="1:14" ht="15" customHeight="1" x14ac:dyDescent="0.25">
      <c r="A16">
        <v>12</v>
      </c>
      <c r="B16" t="s">
        <v>240</v>
      </c>
      <c r="C16" s="8">
        <v>1980</v>
      </c>
      <c r="D16" s="8">
        <v>15000</v>
      </c>
      <c r="E16" s="8">
        <v>25</v>
      </c>
      <c r="F16" s="8">
        <v>0.1</v>
      </c>
      <c r="G16" s="8">
        <v>0.55000000000000004</v>
      </c>
      <c r="H16" s="8">
        <v>1.25</v>
      </c>
      <c r="I16" s="8">
        <v>0.05</v>
      </c>
      <c r="J16" s="14">
        <f t="shared" si="0"/>
        <v>1619.75</v>
      </c>
      <c r="K16" s="14">
        <f t="shared" si="1"/>
        <v>3599.75</v>
      </c>
      <c r="L16" s="9">
        <f t="shared" si="2"/>
        <v>0.12699354875751956</v>
      </c>
      <c r="M16" s="9">
        <f t="shared" si="3"/>
        <v>5.3230799364515136E-2</v>
      </c>
      <c r="N16" s="86" t="s">
        <v>241</v>
      </c>
    </row>
    <row r="17" spans="1:14" ht="15" customHeight="1" x14ac:dyDescent="0.25">
      <c r="A17">
        <v>13</v>
      </c>
      <c r="B17" t="s">
        <v>242</v>
      </c>
      <c r="C17" s="8">
        <v>1050</v>
      </c>
      <c r="D17" s="8">
        <v>7000</v>
      </c>
      <c r="E17" s="8">
        <v>25</v>
      </c>
      <c r="F17" s="8">
        <v>0.06</v>
      </c>
      <c r="G17" s="8">
        <v>0.55000000000000004</v>
      </c>
      <c r="H17" s="8">
        <v>1.25</v>
      </c>
      <c r="I17" s="8">
        <v>0.05</v>
      </c>
      <c r="J17" s="14">
        <f t="shared" si="0"/>
        <v>978.75000000000023</v>
      </c>
      <c r="K17" s="14">
        <f t="shared" si="1"/>
        <v>2028.7500000000002</v>
      </c>
      <c r="L17" s="9">
        <f t="shared" si="2"/>
        <v>0.14079562442156668</v>
      </c>
      <c r="M17" s="9">
        <f t="shared" si="3"/>
        <v>5.773298647721159E-2</v>
      </c>
      <c r="N17" s="86" t="s">
        <v>243</v>
      </c>
    </row>
    <row r="18" spans="1:14" ht="15" customHeight="1" x14ac:dyDescent="0.25">
      <c r="A18">
        <v>14</v>
      </c>
      <c r="B18" t="s">
        <v>244</v>
      </c>
      <c r="C18" s="8">
        <v>390</v>
      </c>
      <c r="D18" s="8">
        <v>7800</v>
      </c>
      <c r="E18" s="8">
        <v>8</v>
      </c>
      <c r="F18" s="8">
        <v>0.05</v>
      </c>
      <c r="G18" s="8">
        <v>0.4</v>
      </c>
      <c r="H18" s="8">
        <v>1.1000000000000001</v>
      </c>
      <c r="I18" s="8">
        <v>0.1</v>
      </c>
      <c r="J18" s="14">
        <f t="shared" si="0"/>
        <v>137</v>
      </c>
      <c r="K18" s="14">
        <f t="shared" si="1"/>
        <v>527</v>
      </c>
      <c r="L18" s="9">
        <f t="shared" si="2"/>
        <v>6.2060364801264978E-2</v>
      </c>
      <c r="M18" s="9">
        <f t="shared" si="3"/>
        <v>4.1148277151151325E-2</v>
      </c>
      <c r="N18" s="86" t="s">
        <v>245</v>
      </c>
    </row>
    <row r="19" spans="1:14" ht="15" customHeight="1" x14ac:dyDescent="0.25">
      <c r="A19">
        <v>15</v>
      </c>
      <c r="B19" t="s">
        <v>246</v>
      </c>
      <c r="C19" s="8">
        <v>84</v>
      </c>
      <c r="D19" s="8">
        <v>2100</v>
      </c>
      <c r="E19" s="8">
        <v>8</v>
      </c>
      <c r="F19" s="8">
        <v>0.02</v>
      </c>
      <c r="G19" s="8">
        <v>0.3</v>
      </c>
      <c r="H19" s="8">
        <v>1.1000000000000001</v>
      </c>
      <c r="I19" s="8">
        <v>0.1</v>
      </c>
      <c r="J19" s="14">
        <f t="shared" si="0"/>
        <v>44.400000000000006</v>
      </c>
      <c r="K19" s="14">
        <f t="shared" si="1"/>
        <v>128.4</v>
      </c>
      <c r="L19" s="9">
        <f t="shared" si="2"/>
        <v>8.8571970505166409E-2</v>
      </c>
      <c r="M19" s="9">
        <f t="shared" si="3"/>
        <v>4.2124337878876927E-2</v>
      </c>
      <c r="N19" s="86" t="s">
        <v>247</v>
      </c>
    </row>
    <row r="22" spans="1:14" ht="49.5" customHeight="1" x14ac:dyDescent="0.25">
      <c r="A22" s="87" t="s">
        <v>248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</row>
  </sheetData>
  <mergeCells count="1"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"/>
  <sheetViews>
    <sheetView zoomScaleNormal="100" workbookViewId="0">
      <selection activeCell="E2" sqref="E2"/>
    </sheetView>
  </sheetViews>
  <sheetFormatPr defaultColWidth="8.7109375" defaultRowHeight="15" x14ac:dyDescent="0.25"/>
  <cols>
    <col min="1" max="1" width="8" customWidth="1"/>
    <col min="2" max="2" width="22" customWidth="1"/>
    <col min="3" max="16" width="13" customWidth="1"/>
  </cols>
  <sheetData>
    <row r="1" spans="1:15" ht="15.75" customHeight="1" x14ac:dyDescent="0.25">
      <c r="A1" s="5" t="s">
        <v>249</v>
      </c>
    </row>
    <row r="2" spans="1:15" ht="147.75" customHeight="1" x14ac:dyDescent="0.25">
      <c r="A2" s="85" t="s">
        <v>250</v>
      </c>
      <c r="B2" s="84"/>
    </row>
    <row r="4" spans="1:15" ht="26.25" customHeight="1" x14ac:dyDescent="0.25">
      <c r="A4" s="7" t="s">
        <v>204</v>
      </c>
      <c r="B4" s="7" t="s">
        <v>205</v>
      </c>
      <c r="C4" s="7" t="s">
        <v>251</v>
      </c>
      <c r="D4" s="7" t="s">
        <v>252</v>
      </c>
      <c r="E4" s="7" t="s">
        <v>253</v>
      </c>
      <c r="F4" s="7" t="s">
        <v>254</v>
      </c>
      <c r="G4" s="7" t="s">
        <v>255</v>
      </c>
      <c r="H4" s="7" t="s">
        <v>256</v>
      </c>
      <c r="I4" s="7" t="s">
        <v>257</v>
      </c>
      <c r="J4" s="7" t="s">
        <v>258</v>
      </c>
      <c r="K4" s="7" t="s">
        <v>259</v>
      </c>
      <c r="L4" s="7" t="s">
        <v>260</v>
      </c>
      <c r="M4" s="7" t="s">
        <v>261</v>
      </c>
      <c r="N4" s="7" t="s">
        <v>262</v>
      </c>
      <c r="O4" s="7" t="s">
        <v>263</v>
      </c>
    </row>
    <row r="5" spans="1:15" ht="15" customHeight="1" x14ac:dyDescent="0.25">
      <c r="A5">
        <v>1</v>
      </c>
      <c r="B5" t="s">
        <v>218</v>
      </c>
      <c r="C5" s="8">
        <v>108</v>
      </c>
      <c r="D5" s="8">
        <v>41</v>
      </c>
      <c r="E5" s="8">
        <v>1.8</v>
      </c>
      <c r="F5" s="13">
        <f t="shared" ref="F5:F19" si="0">D5+E5</f>
        <v>42.8</v>
      </c>
      <c r="G5" s="8">
        <v>2.65</v>
      </c>
      <c r="H5" s="16">
        <f t="shared" ref="H5:H19" si="1">F5/G5</f>
        <v>16.150943396226413</v>
      </c>
      <c r="I5" s="8">
        <v>16</v>
      </c>
      <c r="J5" s="16">
        <f>H5*(1-Control_Panel!$B$8)</f>
        <v>11.305660377358489</v>
      </c>
      <c r="K5" s="16">
        <f t="shared" ref="K5:K19" si="2">(H5+I5)/2</f>
        <v>16.075471698113205</v>
      </c>
      <c r="L5" s="16">
        <f t="shared" ref="L5:L19" si="3">H5*1.15</f>
        <v>18.573584905660375</v>
      </c>
      <c r="M5" s="9">
        <f t="shared" ref="M5:M19" si="4">(J5*G5-E5)/D5-1</f>
        <v>-0.31317073170731724</v>
      </c>
      <c r="N5" s="9">
        <f t="shared" ref="N5:N19" si="5">(K5*G5-E5)/D5-1</f>
        <v>-4.8780487804879202E-3</v>
      </c>
      <c r="O5" s="9">
        <f t="shared" ref="O5:O19" si="6">(L5*G5-E5)/D5-1</f>
        <v>0.15658536585365845</v>
      </c>
    </row>
    <row r="6" spans="1:15" ht="15" customHeight="1" x14ac:dyDescent="0.25">
      <c r="A6">
        <v>2</v>
      </c>
      <c r="B6" t="s">
        <v>220</v>
      </c>
      <c r="C6" s="8">
        <v>95</v>
      </c>
      <c r="D6" s="8">
        <v>5</v>
      </c>
      <c r="E6" s="8">
        <v>0.7</v>
      </c>
      <c r="F6" s="13">
        <f t="shared" si="0"/>
        <v>5.7</v>
      </c>
      <c r="G6" s="8">
        <v>0.5</v>
      </c>
      <c r="H6" s="16">
        <f t="shared" si="1"/>
        <v>11.4</v>
      </c>
      <c r="I6" s="8">
        <v>11</v>
      </c>
      <c r="J6" s="16">
        <f>H6*(1-Control_Panel!$B$8)</f>
        <v>7.9799999999999995</v>
      </c>
      <c r="K6" s="16">
        <f t="shared" si="2"/>
        <v>11.2</v>
      </c>
      <c r="L6" s="16">
        <f t="shared" si="3"/>
        <v>13.11</v>
      </c>
      <c r="M6" s="9">
        <f t="shared" si="4"/>
        <v>-0.34199999999999997</v>
      </c>
      <c r="N6" s="9">
        <f t="shared" si="5"/>
        <v>-2.0000000000000129E-2</v>
      </c>
      <c r="O6" s="9">
        <f t="shared" si="6"/>
        <v>0.17099999999999982</v>
      </c>
    </row>
    <row r="7" spans="1:15" ht="15" customHeight="1" x14ac:dyDescent="0.25">
      <c r="A7">
        <v>3</v>
      </c>
      <c r="B7" t="s">
        <v>222</v>
      </c>
      <c r="C7" s="8">
        <v>320</v>
      </c>
      <c r="D7" s="8">
        <v>127</v>
      </c>
      <c r="E7" s="8">
        <v>8.5</v>
      </c>
      <c r="F7" s="13">
        <f t="shared" si="0"/>
        <v>135.5</v>
      </c>
      <c r="G7" s="8">
        <v>6.2</v>
      </c>
      <c r="H7" s="16">
        <f t="shared" si="1"/>
        <v>21.85483870967742</v>
      </c>
      <c r="I7" s="8">
        <v>16</v>
      </c>
      <c r="J7" s="16">
        <f>H7*(1-Control_Panel!$B$8)</f>
        <v>15.298387096774192</v>
      </c>
      <c r="K7" s="16">
        <f t="shared" si="2"/>
        <v>18.927419354838712</v>
      </c>
      <c r="L7" s="16">
        <f t="shared" si="3"/>
        <v>25.133064516129032</v>
      </c>
      <c r="M7" s="9">
        <f t="shared" si="4"/>
        <v>-0.32007874015748039</v>
      </c>
      <c r="N7" s="9">
        <f t="shared" si="5"/>
        <v>-0.14291338582677149</v>
      </c>
      <c r="O7" s="9">
        <f t="shared" si="6"/>
        <v>0.16003937007874036</v>
      </c>
    </row>
    <row r="8" spans="1:15" ht="15" customHeight="1" x14ac:dyDescent="0.25">
      <c r="A8">
        <v>4</v>
      </c>
      <c r="B8" t="s">
        <v>224</v>
      </c>
      <c r="C8" s="8">
        <v>230</v>
      </c>
      <c r="D8" s="8">
        <v>128</v>
      </c>
      <c r="E8" s="8">
        <v>11</v>
      </c>
      <c r="F8" s="13">
        <f t="shared" si="0"/>
        <v>139</v>
      </c>
      <c r="G8" s="8">
        <v>9.5</v>
      </c>
      <c r="H8" s="16">
        <f t="shared" si="1"/>
        <v>14.631578947368421</v>
      </c>
      <c r="I8" s="8">
        <v>17</v>
      </c>
      <c r="J8" s="16">
        <f>H8*(1-Control_Panel!$B$8)</f>
        <v>10.242105263157894</v>
      </c>
      <c r="K8" s="16">
        <f t="shared" si="2"/>
        <v>15.815789473684211</v>
      </c>
      <c r="L8" s="16">
        <f t="shared" si="3"/>
        <v>16.826315789473682</v>
      </c>
      <c r="M8" s="9">
        <f t="shared" si="4"/>
        <v>-0.32578125000000002</v>
      </c>
      <c r="N8" s="9">
        <f t="shared" si="5"/>
        <v>8.7890625E-2</v>
      </c>
      <c r="O8" s="9">
        <f t="shared" si="6"/>
        <v>0.16289062499999973</v>
      </c>
    </row>
    <row r="9" spans="1:15" ht="15" customHeight="1" x14ac:dyDescent="0.25">
      <c r="A9">
        <v>5</v>
      </c>
      <c r="B9" t="s">
        <v>226</v>
      </c>
      <c r="C9" s="8">
        <v>82</v>
      </c>
      <c r="D9" s="8">
        <v>13.5</v>
      </c>
      <c r="E9" s="8">
        <v>1.5</v>
      </c>
      <c r="F9" s="13">
        <f t="shared" si="0"/>
        <v>15</v>
      </c>
      <c r="G9" s="8">
        <v>1.05</v>
      </c>
      <c r="H9" s="16">
        <f t="shared" si="1"/>
        <v>14.285714285714285</v>
      </c>
      <c r="I9" s="8">
        <v>12</v>
      </c>
      <c r="J9" s="16">
        <f>H9*(1-Control_Panel!$B$8)</f>
        <v>9.9999999999999982</v>
      </c>
      <c r="K9" s="16">
        <f t="shared" si="2"/>
        <v>13.142857142857142</v>
      </c>
      <c r="L9" s="16">
        <f t="shared" si="3"/>
        <v>16.428571428571427</v>
      </c>
      <c r="M9" s="9">
        <f t="shared" si="4"/>
        <v>-0.33333333333333348</v>
      </c>
      <c r="N9" s="9">
        <f t="shared" si="5"/>
        <v>-8.8888888888888795E-2</v>
      </c>
      <c r="O9" s="9">
        <f t="shared" si="6"/>
        <v>0.16666666666666674</v>
      </c>
    </row>
    <row r="10" spans="1:15" ht="15" customHeight="1" x14ac:dyDescent="0.25">
      <c r="A10">
        <v>6</v>
      </c>
      <c r="B10" t="s">
        <v>228</v>
      </c>
      <c r="C10" s="8">
        <v>365</v>
      </c>
      <c r="D10" s="8">
        <v>82</v>
      </c>
      <c r="E10" s="8">
        <v>4.5</v>
      </c>
      <c r="F10" s="13">
        <f t="shared" si="0"/>
        <v>86.5</v>
      </c>
      <c r="G10" s="8">
        <v>4.3</v>
      </c>
      <c r="H10" s="16">
        <f t="shared" si="1"/>
        <v>20.116279069767444</v>
      </c>
      <c r="I10" s="8">
        <v>18</v>
      </c>
      <c r="J10" s="16">
        <f>H10*(1-Control_Panel!$B$8)</f>
        <v>14.08139534883721</v>
      </c>
      <c r="K10" s="16">
        <f t="shared" si="2"/>
        <v>19.058139534883722</v>
      </c>
      <c r="L10" s="16">
        <f t="shared" si="3"/>
        <v>23.13372093023256</v>
      </c>
      <c r="M10" s="9">
        <f t="shared" si="4"/>
        <v>-0.31646341463414629</v>
      </c>
      <c r="N10" s="9">
        <f t="shared" si="5"/>
        <v>-5.5487804878048719E-2</v>
      </c>
      <c r="O10" s="9">
        <f t="shared" si="6"/>
        <v>0.15823170731707337</v>
      </c>
    </row>
    <row r="11" spans="1:15" ht="15" customHeight="1" x14ac:dyDescent="0.25">
      <c r="A11">
        <v>7</v>
      </c>
      <c r="B11" t="s">
        <v>230</v>
      </c>
      <c r="C11" s="8">
        <v>38</v>
      </c>
      <c r="D11" s="8">
        <v>4.8</v>
      </c>
      <c r="E11" s="8">
        <v>0.4</v>
      </c>
      <c r="F11" s="13">
        <f t="shared" si="0"/>
        <v>5.2</v>
      </c>
      <c r="G11" s="8">
        <v>0.22</v>
      </c>
      <c r="H11" s="16">
        <f t="shared" si="1"/>
        <v>23.636363636363637</v>
      </c>
      <c r="I11" s="8">
        <v>12</v>
      </c>
      <c r="J11" s="16">
        <f>H11*(1-Control_Panel!$B$8)</f>
        <v>16.545454545454543</v>
      </c>
      <c r="K11" s="16">
        <f t="shared" si="2"/>
        <v>17.81818181818182</v>
      </c>
      <c r="L11" s="16">
        <f t="shared" si="3"/>
        <v>27.18181818181818</v>
      </c>
      <c r="M11" s="9">
        <f t="shared" si="4"/>
        <v>-0.32500000000000007</v>
      </c>
      <c r="N11" s="9">
        <f t="shared" si="5"/>
        <v>-0.2666666666666665</v>
      </c>
      <c r="O11" s="9">
        <f t="shared" si="6"/>
        <v>0.16249999999999987</v>
      </c>
    </row>
    <row r="12" spans="1:15" ht="15" customHeight="1" x14ac:dyDescent="0.25">
      <c r="A12">
        <v>8</v>
      </c>
      <c r="B12" t="s">
        <v>232</v>
      </c>
      <c r="C12" s="8">
        <v>88</v>
      </c>
      <c r="D12" s="8">
        <v>58</v>
      </c>
      <c r="E12" s="8">
        <v>9</v>
      </c>
      <c r="F12" s="13">
        <f t="shared" si="0"/>
        <v>67</v>
      </c>
      <c r="G12" s="8">
        <v>4.2</v>
      </c>
      <c r="H12" s="16">
        <f t="shared" si="1"/>
        <v>15.952380952380953</v>
      </c>
      <c r="I12" s="8">
        <v>13</v>
      </c>
      <c r="J12" s="16">
        <f>H12*(1-Control_Panel!$B$8)</f>
        <v>11.166666666666666</v>
      </c>
      <c r="K12" s="16">
        <f t="shared" si="2"/>
        <v>14.476190476190476</v>
      </c>
      <c r="L12" s="16">
        <f t="shared" si="3"/>
        <v>18.345238095238095</v>
      </c>
      <c r="M12" s="9">
        <f t="shared" si="4"/>
        <v>-0.34655172413793101</v>
      </c>
      <c r="N12" s="9">
        <f t="shared" si="5"/>
        <v>-0.10689655172413781</v>
      </c>
      <c r="O12" s="9">
        <f t="shared" si="6"/>
        <v>0.17327586206896539</v>
      </c>
    </row>
    <row r="13" spans="1:15" ht="15" customHeight="1" x14ac:dyDescent="0.25">
      <c r="A13">
        <v>9</v>
      </c>
      <c r="B13" t="s">
        <v>234</v>
      </c>
      <c r="C13" s="8">
        <v>65</v>
      </c>
      <c r="D13" s="8">
        <v>56</v>
      </c>
      <c r="E13" s="8">
        <v>8.5</v>
      </c>
      <c r="F13" s="13">
        <f t="shared" si="0"/>
        <v>64.5</v>
      </c>
      <c r="G13" s="8">
        <v>4.0999999999999996</v>
      </c>
      <c r="H13" s="16">
        <f t="shared" si="1"/>
        <v>15.731707317073171</v>
      </c>
      <c r="I13" s="8">
        <v>14</v>
      </c>
      <c r="J13" s="16">
        <f>H13*(1-Control_Panel!$B$8)</f>
        <v>11.012195121951219</v>
      </c>
      <c r="K13" s="16">
        <f t="shared" si="2"/>
        <v>14.865853658536587</v>
      </c>
      <c r="L13" s="16">
        <f t="shared" si="3"/>
        <v>18.091463414634145</v>
      </c>
      <c r="M13" s="9">
        <f t="shared" si="4"/>
        <v>-0.34553571428571439</v>
      </c>
      <c r="N13" s="9">
        <f t="shared" si="5"/>
        <v>-6.339285714285714E-2</v>
      </c>
      <c r="O13" s="9">
        <f t="shared" si="6"/>
        <v>0.17276785714285681</v>
      </c>
    </row>
    <row r="14" spans="1:15" ht="15" customHeight="1" x14ac:dyDescent="0.25">
      <c r="A14">
        <v>10</v>
      </c>
      <c r="B14" t="s">
        <v>236</v>
      </c>
      <c r="C14" s="8">
        <v>135</v>
      </c>
      <c r="D14" s="8">
        <v>11</v>
      </c>
      <c r="E14" s="8">
        <v>-0.1</v>
      </c>
      <c r="F14" s="13">
        <f t="shared" si="0"/>
        <v>10.9</v>
      </c>
      <c r="G14" s="8">
        <v>0.3</v>
      </c>
      <c r="H14" s="16">
        <f t="shared" si="1"/>
        <v>36.333333333333336</v>
      </c>
      <c r="I14" s="8">
        <v>22</v>
      </c>
      <c r="J14" s="16">
        <f>H14*(1-Control_Panel!$B$8)</f>
        <v>25.433333333333334</v>
      </c>
      <c r="K14" s="16">
        <f t="shared" si="2"/>
        <v>29.166666666666668</v>
      </c>
      <c r="L14" s="16">
        <f t="shared" si="3"/>
        <v>41.783333333333331</v>
      </c>
      <c r="M14" s="9">
        <f t="shared" si="4"/>
        <v>-0.29727272727272736</v>
      </c>
      <c r="N14" s="9">
        <f t="shared" si="5"/>
        <v>-0.19545454545454544</v>
      </c>
      <c r="O14" s="9">
        <f t="shared" si="6"/>
        <v>0.14863636363636346</v>
      </c>
    </row>
    <row r="15" spans="1:15" ht="15" customHeight="1" x14ac:dyDescent="0.25">
      <c r="A15">
        <v>11</v>
      </c>
      <c r="B15" t="s">
        <v>238</v>
      </c>
      <c r="C15" s="8">
        <v>350</v>
      </c>
      <c r="D15" s="8">
        <v>52</v>
      </c>
      <c r="E15" s="8">
        <v>4</v>
      </c>
      <c r="F15" s="13">
        <f t="shared" si="0"/>
        <v>56</v>
      </c>
      <c r="G15" s="8">
        <v>3.1</v>
      </c>
      <c r="H15" s="16">
        <f t="shared" si="1"/>
        <v>18.064516129032256</v>
      </c>
      <c r="I15" s="8">
        <v>14</v>
      </c>
      <c r="J15" s="16">
        <f>H15*(1-Control_Panel!$B$8)</f>
        <v>12.645161290322578</v>
      </c>
      <c r="K15" s="16">
        <f t="shared" si="2"/>
        <v>16.032258064516128</v>
      </c>
      <c r="L15" s="16">
        <f t="shared" si="3"/>
        <v>20.774193548387093</v>
      </c>
      <c r="M15" s="9">
        <f t="shared" si="4"/>
        <v>-0.32307692307692315</v>
      </c>
      <c r="N15" s="9">
        <f t="shared" si="5"/>
        <v>-0.12115384615384628</v>
      </c>
      <c r="O15" s="9">
        <f t="shared" si="6"/>
        <v>0.16153846153846141</v>
      </c>
    </row>
    <row r="16" spans="1:15" ht="15" customHeight="1" x14ac:dyDescent="0.25">
      <c r="A16">
        <v>12</v>
      </c>
      <c r="B16" t="s">
        <v>240</v>
      </c>
      <c r="C16" s="8">
        <v>510</v>
      </c>
      <c r="D16" s="8">
        <v>23</v>
      </c>
      <c r="E16" s="8">
        <v>0.4</v>
      </c>
      <c r="F16" s="13">
        <f t="shared" si="0"/>
        <v>23.4</v>
      </c>
      <c r="G16" s="8">
        <v>1.55</v>
      </c>
      <c r="H16" s="16">
        <f t="shared" si="1"/>
        <v>15.096774193548386</v>
      </c>
      <c r="I16" s="8">
        <v>11</v>
      </c>
      <c r="J16" s="16">
        <f>H16*(1-Control_Panel!$B$8)</f>
        <v>10.56774193548387</v>
      </c>
      <c r="K16" s="16">
        <f t="shared" si="2"/>
        <v>13.048387096774192</v>
      </c>
      <c r="L16" s="16">
        <f t="shared" si="3"/>
        <v>17.361290322580643</v>
      </c>
      <c r="M16" s="9">
        <f t="shared" si="4"/>
        <v>-0.30521739130434788</v>
      </c>
      <c r="N16" s="9">
        <f t="shared" si="5"/>
        <v>-0.1380434782608696</v>
      </c>
      <c r="O16" s="9">
        <f t="shared" si="6"/>
        <v>0.15260869565217372</v>
      </c>
    </row>
    <row r="17" spans="1:15" ht="15" customHeight="1" x14ac:dyDescent="0.25">
      <c r="A17">
        <v>13</v>
      </c>
      <c r="B17" t="s">
        <v>242</v>
      </c>
      <c r="C17" s="8">
        <v>565</v>
      </c>
      <c r="D17" s="8">
        <v>19</v>
      </c>
      <c r="E17" s="8">
        <v>0.5</v>
      </c>
      <c r="F17" s="13">
        <f t="shared" si="0"/>
        <v>19.5</v>
      </c>
      <c r="G17" s="8">
        <v>0.8</v>
      </c>
      <c r="H17" s="16">
        <f t="shared" si="1"/>
        <v>24.375</v>
      </c>
      <c r="I17" s="8">
        <v>13</v>
      </c>
      <c r="J17" s="16">
        <f>H17*(1-Control_Panel!$B$8)</f>
        <v>17.0625</v>
      </c>
      <c r="K17" s="16">
        <f t="shared" si="2"/>
        <v>18.6875</v>
      </c>
      <c r="L17" s="16">
        <f t="shared" si="3"/>
        <v>28.031249999999996</v>
      </c>
      <c r="M17" s="9">
        <f t="shared" si="4"/>
        <v>-0.30789473684210522</v>
      </c>
      <c r="N17" s="9">
        <f t="shared" si="5"/>
        <v>-0.23947368421052628</v>
      </c>
      <c r="O17" s="9">
        <f t="shared" si="6"/>
        <v>0.15394736842105239</v>
      </c>
    </row>
    <row r="18" spans="1:15" ht="15" customHeight="1" x14ac:dyDescent="0.25">
      <c r="A18">
        <v>14</v>
      </c>
      <c r="B18" t="s">
        <v>244</v>
      </c>
      <c r="C18" s="8">
        <v>130</v>
      </c>
      <c r="D18" s="8">
        <v>31</v>
      </c>
      <c r="E18" s="8">
        <v>1.5</v>
      </c>
      <c r="F18" s="13">
        <f t="shared" si="0"/>
        <v>32.5</v>
      </c>
      <c r="G18" s="8">
        <v>1.7</v>
      </c>
      <c r="H18" s="16">
        <f t="shared" si="1"/>
        <v>19.117647058823529</v>
      </c>
      <c r="I18" s="8">
        <v>18</v>
      </c>
      <c r="J18" s="16">
        <f>H18*(1-Control_Panel!$B$8)</f>
        <v>13.382352941176469</v>
      </c>
      <c r="K18" s="16">
        <f t="shared" si="2"/>
        <v>18.558823529411764</v>
      </c>
      <c r="L18" s="16">
        <f t="shared" si="3"/>
        <v>21.985294117647058</v>
      </c>
      <c r="M18" s="9">
        <f t="shared" si="4"/>
        <v>-0.31451612903225823</v>
      </c>
      <c r="N18" s="9">
        <f t="shared" si="5"/>
        <v>-3.0645161290322687E-2</v>
      </c>
      <c r="O18" s="9">
        <f t="shared" si="6"/>
        <v>0.157258064516129</v>
      </c>
    </row>
    <row r="19" spans="1:15" ht="15" customHeight="1" x14ac:dyDescent="0.25">
      <c r="A19">
        <v>15</v>
      </c>
      <c r="B19" t="s">
        <v>246</v>
      </c>
      <c r="C19" s="8">
        <v>220</v>
      </c>
      <c r="D19" s="8">
        <v>7.4</v>
      </c>
      <c r="E19" s="8">
        <v>-0.1</v>
      </c>
      <c r="F19" s="13">
        <f t="shared" si="0"/>
        <v>7.3000000000000007</v>
      </c>
      <c r="G19" s="8">
        <v>0.45</v>
      </c>
      <c r="H19" s="16">
        <f t="shared" si="1"/>
        <v>16.222222222222225</v>
      </c>
      <c r="I19" s="8">
        <v>14</v>
      </c>
      <c r="J19" s="16">
        <f>H19*(1-Control_Panel!$B$8)</f>
        <v>11.355555555555556</v>
      </c>
      <c r="K19" s="16">
        <f t="shared" si="2"/>
        <v>15.111111111111112</v>
      </c>
      <c r="L19" s="16">
        <f t="shared" si="3"/>
        <v>18.655555555555559</v>
      </c>
      <c r="M19" s="9">
        <f t="shared" si="4"/>
        <v>-0.29594594594594603</v>
      </c>
      <c r="N19" s="9">
        <f t="shared" si="5"/>
        <v>-6.7567567567567544E-2</v>
      </c>
      <c r="O19" s="9">
        <f t="shared" si="6"/>
        <v>0.14797297297297307</v>
      </c>
    </row>
    <row r="22" spans="1:15" ht="60" customHeight="1" x14ac:dyDescent="0.25">
      <c r="A22" s="88" t="s">
        <v>264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</row>
  </sheetData>
  <mergeCells count="1">
    <mergeCell ref="A22:O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zoomScaleNormal="100" workbookViewId="0">
      <selection activeCell="G19" sqref="G19"/>
    </sheetView>
  </sheetViews>
  <sheetFormatPr defaultColWidth="8.7109375" defaultRowHeight="15" x14ac:dyDescent="0.25"/>
  <cols>
    <col min="1" max="1" width="8" customWidth="1"/>
    <col min="2" max="2" width="22" customWidth="1"/>
    <col min="3" max="14" width="12" customWidth="1"/>
  </cols>
  <sheetData>
    <row r="1" spans="1:12" ht="15.75" customHeight="1" x14ac:dyDescent="0.25">
      <c r="A1" s="5" t="s">
        <v>265</v>
      </c>
    </row>
    <row r="2" spans="1:12" ht="178.5" customHeight="1" x14ac:dyDescent="0.25">
      <c r="A2" s="89" t="s">
        <v>266</v>
      </c>
      <c r="B2" s="89"/>
    </row>
    <row r="3" spans="1:12" ht="15" customHeight="1" x14ac:dyDescent="0.25">
      <c r="A3" s="17" t="s">
        <v>267</v>
      </c>
      <c r="C3" s="18">
        <v>0.2</v>
      </c>
      <c r="D3" s="18">
        <v>0.15</v>
      </c>
      <c r="E3" s="18">
        <v>0.15</v>
      </c>
      <c r="F3" s="18">
        <v>0.1</v>
      </c>
      <c r="G3" s="18">
        <v>0.1</v>
      </c>
      <c r="H3" s="18">
        <v>0.2</v>
      </c>
      <c r="I3" s="18">
        <v>0.1</v>
      </c>
    </row>
    <row r="4" spans="1:12" ht="39" customHeight="1" x14ac:dyDescent="0.25">
      <c r="A4" s="7" t="s">
        <v>204</v>
      </c>
      <c r="B4" s="7" t="s">
        <v>205</v>
      </c>
      <c r="C4" s="7" t="s">
        <v>268</v>
      </c>
      <c r="D4" s="7" t="s">
        <v>269</v>
      </c>
      <c r="E4" s="7" t="s">
        <v>270</v>
      </c>
      <c r="F4" s="7" t="s">
        <v>271</v>
      </c>
      <c r="G4" s="7" t="s">
        <v>272</v>
      </c>
      <c r="H4" s="7" t="s">
        <v>273</v>
      </c>
      <c r="I4" s="7" t="s">
        <v>274</v>
      </c>
      <c r="J4" s="7" t="s">
        <v>275</v>
      </c>
      <c r="K4" s="7" t="s">
        <v>276</v>
      </c>
      <c r="L4" s="7" t="s">
        <v>277</v>
      </c>
    </row>
    <row r="5" spans="1:12" ht="15" customHeight="1" x14ac:dyDescent="0.25">
      <c r="A5">
        <v>1</v>
      </c>
      <c r="B5" t="s">
        <v>218</v>
      </c>
      <c r="C5" s="8">
        <v>95</v>
      </c>
      <c r="D5" s="8">
        <v>92</v>
      </c>
      <c r="E5" s="8">
        <v>88</v>
      </c>
      <c r="F5" s="8">
        <v>80</v>
      </c>
      <c r="G5" s="8">
        <v>70</v>
      </c>
      <c r="H5" s="8">
        <v>35</v>
      </c>
      <c r="I5" s="8">
        <v>70</v>
      </c>
      <c r="J5" s="11">
        <f t="shared" ref="J5:J19" si="0">SUMPRODUCT(C5:I5,$C$3:$I$3)</f>
        <v>75</v>
      </c>
      <c r="K5" s="10">
        <f t="shared" ref="K5:K19" si="1">RANK(J5,$J$5:$J$19)</f>
        <v>2</v>
      </c>
      <c r="L5" s="10" t="str">
        <f t="shared" ref="L5:L19" si="2">IF(K5&lt;=5,"Tier 1",IF(K5&lt;=10,"Tier 2","Tier 3"))</f>
        <v>Tier 1</v>
      </c>
    </row>
    <row r="6" spans="1:12" ht="15" customHeight="1" x14ac:dyDescent="0.25">
      <c r="A6">
        <v>2</v>
      </c>
      <c r="B6" t="s">
        <v>220</v>
      </c>
      <c r="C6" s="8">
        <v>88</v>
      </c>
      <c r="D6" s="8">
        <v>70</v>
      </c>
      <c r="E6" s="8">
        <v>75</v>
      </c>
      <c r="F6" s="8">
        <v>65</v>
      </c>
      <c r="G6" s="8">
        <v>60</v>
      </c>
      <c r="H6" s="8">
        <v>50</v>
      </c>
      <c r="I6" s="8">
        <v>60</v>
      </c>
      <c r="J6" s="11">
        <f t="shared" si="0"/>
        <v>67.849999999999994</v>
      </c>
      <c r="K6" s="10">
        <f t="shared" si="1"/>
        <v>6</v>
      </c>
      <c r="L6" s="10" t="str">
        <f t="shared" si="2"/>
        <v>Tier 2</v>
      </c>
    </row>
    <row r="7" spans="1:12" ht="15" customHeight="1" x14ac:dyDescent="0.25">
      <c r="A7">
        <v>3</v>
      </c>
      <c r="B7" t="s">
        <v>222</v>
      </c>
      <c r="C7" s="8">
        <v>78</v>
      </c>
      <c r="D7" s="8">
        <v>88</v>
      </c>
      <c r="E7" s="8">
        <v>85</v>
      </c>
      <c r="F7" s="8">
        <v>82</v>
      </c>
      <c r="G7" s="8">
        <v>80</v>
      </c>
      <c r="H7" s="8">
        <v>65</v>
      </c>
      <c r="I7" s="8">
        <v>80</v>
      </c>
      <c r="J7" s="11">
        <f t="shared" si="0"/>
        <v>78.75</v>
      </c>
      <c r="K7" s="10">
        <f t="shared" si="1"/>
        <v>1</v>
      </c>
      <c r="L7" s="10" t="str">
        <f t="shared" si="2"/>
        <v>Tier 1</v>
      </c>
    </row>
    <row r="8" spans="1:12" ht="15" customHeight="1" x14ac:dyDescent="0.25">
      <c r="A8">
        <v>4</v>
      </c>
      <c r="B8" t="s">
        <v>224</v>
      </c>
      <c r="C8" s="8">
        <v>72</v>
      </c>
      <c r="D8" s="8">
        <v>78</v>
      </c>
      <c r="E8" s="8">
        <v>82</v>
      </c>
      <c r="F8" s="8">
        <v>70</v>
      </c>
      <c r="G8" s="8">
        <v>75</v>
      </c>
      <c r="H8" s="8">
        <v>70</v>
      </c>
      <c r="I8" s="8">
        <v>78</v>
      </c>
      <c r="J8" s="11">
        <f t="shared" si="0"/>
        <v>74.7</v>
      </c>
      <c r="K8" s="10">
        <f t="shared" si="1"/>
        <v>4</v>
      </c>
      <c r="L8" s="10" t="str">
        <f t="shared" si="2"/>
        <v>Tier 1</v>
      </c>
    </row>
    <row r="9" spans="1:12" ht="15" customHeight="1" x14ac:dyDescent="0.25">
      <c r="A9">
        <v>5</v>
      </c>
      <c r="B9" t="s">
        <v>226</v>
      </c>
      <c r="C9" s="8">
        <v>78</v>
      </c>
      <c r="D9" s="8">
        <v>82</v>
      </c>
      <c r="E9" s="8">
        <v>75</v>
      </c>
      <c r="F9" s="8">
        <v>78</v>
      </c>
      <c r="G9" s="8">
        <v>65</v>
      </c>
      <c r="H9" s="8">
        <v>72</v>
      </c>
      <c r="I9" s="8">
        <v>70</v>
      </c>
      <c r="J9" s="11">
        <f t="shared" si="0"/>
        <v>74.850000000000009</v>
      </c>
      <c r="K9" s="10">
        <f t="shared" si="1"/>
        <v>3</v>
      </c>
      <c r="L9" s="10" t="str">
        <f t="shared" si="2"/>
        <v>Tier 1</v>
      </c>
    </row>
    <row r="10" spans="1:12" ht="15" customHeight="1" x14ac:dyDescent="0.25">
      <c r="A10">
        <v>6</v>
      </c>
      <c r="B10" t="s">
        <v>228</v>
      </c>
      <c r="C10" s="8">
        <v>60</v>
      </c>
      <c r="D10" s="8">
        <v>65</v>
      </c>
      <c r="E10" s="8">
        <v>80</v>
      </c>
      <c r="F10" s="8">
        <v>78</v>
      </c>
      <c r="G10" s="8">
        <v>80</v>
      </c>
      <c r="H10" s="8">
        <v>60</v>
      </c>
      <c r="I10" s="8">
        <v>80</v>
      </c>
      <c r="J10" s="11">
        <f t="shared" si="0"/>
        <v>69.55</v>
      </c>
      <c r="K10" s="10">
        <f t="shared" si="1"/>
        <v>5</v>
      </c>
      <c r="L10" s="10" t="str">
        <f t="shared" si="2"/>
        <v>Tier 1</v>
      </c>
    </row>
    <row r="11" spans="1:12" ht="15" customHeight="1" x14ac:dyDescent="0.25">
      <c r="A11">
        <v>7</v>
      </c>
      <c r="B11" t="s">
        <v>230</v>
      </c>
      <c r="C11" s="8">
        <v>75</v>
      </c>
      <c r="D11" s="8">
        <v>50</v>
      </c>
      <c r="E11" s="8">
        <v>65</v>
      </c>
      <c r="F11" s="8">
        <v>55</v>
      </c>
      <c r="G11" s="8">
        <v>55</v>
      </c>
      <c r="H11" s="8">
        <v>60</v>
      </c>
      <c r="I11" s="8">
        <v>50</v>
      </c>
      <c r="J11" s="11">
        <f t="shared" si="0"/>
        <v>60.25</v>
      </c>
      <c r="K11" s="10">
        <f t="shared" si="1"/>
        <v>8</v>
      </c>
      <c r="L11" s="10" t="str">
        <f t="shared" si="2"/>
        <v>Tier 2</v>
      </c>
    </row>
    <row r="12" spans="1:12" ht="15" customHeight="1" x14ac:dyDescent="0.25">
      <c r="A12">
        <v>8</v>
      </c>
      <c r="B12" t="s">
        <v>232</v>
      </c>
      <c r="C12" s="8">
        <v>45</v>
      </c>
      <c r="D12" s="8">
        <v>55</v>
      </c>
      <c r="E12" s="8">
        <v>60</v>
      </c>
      <c r="F12" s="8">
        <v>50</v>
      </c>
      <c r="G12" s="8">
        <v>50</v>
      </c>
      <c r="H12" s="8">
        <v>75</v>
      </c>
      <c r="I12" s="8">
        <v>60</v>
      </c>
      <c r="J12" s="11">
        <f t="shared" si="0"/>
        <v>57.25</v>
      </c>
      <c r="K12" s="10">
        <f t="shared" si="1"/>
        <v>11</v>
      </c>
      <c r="L12" s="10" t="str">
        <f t="shared" si="2"/>
        <v>Tier 3</v>
      </c>
    </row>
    <row r="13" spans="1:12" ht="15" customHeight="1" x14ac:dyDescent="0.25">
      <c r="A13">
        <v>9</v>
      </c>
      <c r="B13" t="s">
        <v>234</v>
      </c>
      <c r="C13" s="8">
        <v>35</v>
      </c>
      <c r="D13" s="8">
        <v>30</v>
      </c>
      <c r="E13" s="8">
        <v>65</v>
      </c>
      <c r="F13" s="8">
        <v>60</v>
      </c>
      <c r="G13" s="8">
        <v>45</v>
      </c>
      <c r="H13" s="8">
        <v>70</v>
      </c>
      <c r="I13" s="8">
        <v>65</v>
      </c>
      <c r="J13" s="11">
        <f t="shared" si="0"/>
        <v>52.25</v>
      </c>
      <c r="K13" s="10">
        <f t="shared" si="1"/>
        <v>13</v>
      </c>
      <c r="L13" s="10" t="str">
        <f t="shared" si="2"/>
        <v>Tier 3</v>
      </c>
    </row>
    <row r="14" spans="1:12" ht="15" customHeight="1" x14ac:dyDescent="0.25">
      <c r="A14">
        <v>10</v>
      </c>
      <c r="B14" t="s">
        <v>236</v>
      </c>
      <c r="C14" s="8">
        <v>55</v>
      </c>
      <c r="D14" s="8">
        <v>35</v>
      </c>
      <c r="E14" s="8">
        <v>75</v>
      </c>
      <c r="F14" s="8">
        <v>88</v>
      </c>
      <c r="G14" s="8">
        <v>90</v>
      </c>
      <c r="H14" s="8">
        <v>40</v>
      </c>
      <c r="I14" s="8">
        <v>65</v>
      </c>
      <c r="J14" s="11">
        <f t="shared" si="0"/>
        <v>59.8</v>
      </c>
      <c r="K14" s="10">
        <f t="shared" si="1"/>
        <v>10</v>
      </c>
      <c r="L14" s="10" t="str">
        <f t="shared" si="2"/>
        <v>Tier 2</v>
      </c>
    </row>
    <row r="15" spans="1:12" ht="15" customHeight="1" x14ac:dyDescent="0.25">
      <c r="A15">
        <v>11</v>
      </c>
      <c r="B15" t="s">
        <v>238</v>
      </c>
      <c r="C15" s="8">
        <v>55</v>
      </c>
      <c r="D15" s="8">
        <v>18</v>
      </c>
      <c r="E15" s="8">
        <v>72</v>
      </c>
      <c r="F15" s="8">
        <v>50</v>
      </c>
      <c r="G15" s="8">
        <v>65</v>
      </c>
      <c r="H15" s="8">
        <v>55</v>
      </c>
      <c r="I15" s="8">
        <v>70</v>
      </c>
      <c r="J15" s="11">
        <f t="shared" si="0"/>
        <v>54</v>
      </c>
      <c r="K15" s="10">
        <f t="shared" si="1"/>
        <v>12</v>
      </c>
      <c r="L15" s="10" t="str">
        <f t="shared" si="2"/>
        <v>Tier 3</v>
      </c>
    </row>
    <row r="16" spans="1:12" ht="15" customHeight="1" x14ac:dyDescent="0.25">
      <c r="A16">
        <v>12</v>
      </c>
      <c r="B16" t="s">
        <v>240</v>
      </c>
      <c r="C16" s="8">
        <v>60</v>
      </c>
      <c r="D16" s="8">
        <v>22</v>
      </c>
      <c r="E16" s="8">
        <v>78</v>
      </c>
      <c r="F16" s="8">
        <v>55</v>
      </c>
      <c r="G16" s="8">
        <v>92</v>
      </c>
      <c r="H16" s="8">
        <v>78</v>
      </c>
      <c r="I16" s="8">
        <v>80</v>
      </c>
      <c r="J16" s="11">
        <f t="shared" si="0"/>
        <v>65.300000000000011</v>
      </c>
      <c r="K16" s="10">
        <f t="shared" si="1"/>
        <v>7</v>
      </c>
      <c r="L16" s="10" t="str">
        <f t="shared" si="2"/>
        <v>Tier 2</v>
      </c>
    </row>
    <row r="17" spans="1:12" ht="15" customHeight="1" x14ac:dyDescent="0.25">
      <c r="A17">
        <v>13</v>
      </c>
      <c r="B17" t="s">
        <v>242</v>
      </c>
      <c r="C17" s="8">
        <v>60</v>
      </c>
      <c r="D17" s="8">
        <v>18</v>
      </c>
      <c r="E17" s="8">
        <v>72</v>
      </c>
      <c r="F17" s="8">
        <v>60</v>
      </c>
      <c r="G17" s="8">
        <v>85</v>
      </c>
      <c r="H17" s="8">
        <v>65</v>
      </c>
      <c r="I17" s="8">
        <v>70</v>
      </c>
      <c r="J17" s="11">
        <f t="shared" si="0"/>
        <v>60</v>
      </c>
      <c r="K17" s="10">
        <f t="shared" si="1"/>
        <v>9</v>
      </c>
      <c r="L17" s="10" t="str">
        <f t="shared" si="2"/>
        <v>Tier 2</v>
      </c>
    </row>
    <row r="18" spans="1:12" ht="15" customHeight="1" x14ac:dyDescent="0.25">
      <c r="A18">
        <v>14</v>
      </c>
      <c r="B18" t="s">
        <v>244</v>
      </c>
      <c r="C18" s="8">
        <v>28</v>
      </c>
      <c r="D18" s="8">
        <v>12</v>
      </c>
      <c r="E18" s="8">
        <v>65</v>
      </c>
      <c r="F18" s="8">
        <v>65</v>
      </c>
      <c r="G18" s="8">
        <v>70</v>
      </c>
      <c r="H18" s="8">
        <v>65</v>
      </c>
      <c r="I18" s="8">
        <v>70</v>
      </c>
      <c r="J18" s="11">
        <f t="shared" si="0"/>
        <v>50.65</v>
      </c>
      <c r="K18" s="10">
        <f t="shared" si="1"/>
        <v>14</v>
      </c>
      <c r="L18" s="10" t="str">
        <f t="shared" si="2"/>
        <v>Tier 3</v>
      </c>
    </row>
    <row r="19" spans="1:12" ht="15" customHeight="1" x14ac:dyDescent="0.25">
      <c r="A19">
        <v>15</v>
      </c>
      <c r="B19" t="s">
        <v>246</v>
      </c>
      <c r="C19" s="8">
        <v>18</v>
      </c>
      <c r="D19" s="8">
        <v>8</v>
      </c>
      <c r="E19" s="8">
        <v>60</v>
      </c>
      <c r="F19" s="8">
        <v>70</v>
      </c>
      <c r="G19" s="8">
        <v>80</v>
      </c>
      <c r="H19" s="8">
        <v>70</v>
      </c>
      <c r="I19" s="8">
        <v>70</v>
      </c>
      <c r="J19" s="11">
        <f t="shared" si="0"/>
        <v>49.8</v>
      </c>
      <c r="K19" s="10">
        <f t="shared" si="1"/>
        <v>15</v>
      </c>
      <c r="L19" s="10" t="str">
        <f t="shared" si="2"/>
        <v>Tier 3</v>
      </c>
    </row>
    <row r="22" spans="1:12" ht="69.75" customHeight="1" x14ac:dyDescent="0.25">
      <c r="A22" s="88" t="s">
        <v>278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</row>
    <row r="25" spans="1:12" ht="15" customHeight="1" x14ac:dyDescent="0.25">
      <c r="A25" s="6" t="s">
        <v>279</v>
      </c>
    </row>
    <row r="26" spans="1:12" ht="30" customHeight="1" x14ac:dyDescent="0.25">
      <c r="A26" s="17" t="s">
        <v>268</v>
      </c>
      <c r="B26" s="88" t="s">
        <v>280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</row>
    <row r="27" spans="1:12" ht="30" customHeight="1" x14ac:dyDescent="0.25">
      <c r="A27" s="17" t="s">
        <v>269</v>
      </c>
      <c r="B27" s="88" t="s">
        <v>281</v>
      </c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spans="1:12" ht="30" customHeight="1" x14ac:dyDescent="0.25">
      <c r="A28" s="17" t="s">
        <v>270</v>
      </c>
      <c r="B28" s="88" t="s">
        <v>282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</row>
    <row r="29" spans="1:12" ht="30" customHeight="1" x14ac:dyDescent="0.25">
      <c r="A29" s="17" t="s">
        <v>271</v>
      </c>
      <c r="B29" s="88" t="s">
        <v>283</v>
      </c>
      <c r="C29" s="88"/>
      <c r="D29" s="88"/>
      <c r="E29" s="88"/>
      <c r="F29" s="88"/>
      <c r="G29" s="88"/>
      <c r="H29" s="88"/>
      <c r="I29" s="88"/>
      <c r="J29" s="88"/>
      <c r="K29" s="88"/>
      <c r="L29" s="88"/>
    </row>
    <row r="30" spans="1:12" ht="30" customHeight="1" x14ac:dyDescent="0.25">
      <c r="A30" s="17" t="s">
        <v>272</v>
      </c>
      <c r="B30" s="88" t="s">
        <v>284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</row>
    <row r="31" spans="1:12" ht="30" customHeight="1" x14ac:dyDescent="0.25">
      <c r="A31" s="17" t="s">
        <v>273</v>
      </c>
      <c r="B31" s="88" t="s">
        <v>285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</row>
    <row r="32" spans="1:12" ht="30" customHeight="1" x14ac:dyDescent="0.25">
      <c r="A32" s="17" t="s">
        <v>286</v>
      </c>
      <c r="B32" s="88" t="s">
        <v>287</v>
      </c>
      <c r="C32" s="88"/>
      <c r="D32" s="88"/>
      <c r="E32" s="88"/>
      <c r="F32" s="88"/>
      <c r="G32" s="88"/>
      <c r="H32" s="88"/>
      <c r="I32" s="88"/>
      <c r="J32" s="88"/>
      <c r="K32" s="88"/>
      <c r="L32" s="88"/>
    </row>
  </sheetData>
  <mergeCells count="9">
    <mergeCell ref="A2:B2"/>
    <mergeCell ref="B30:L30"/>
    <mergeCell ref="B31:L31"/>
    <mergeCell ref="B32:L32"/>
    <mergeCell ref="A22:L22"/>
    <mergeCell ref="B26:L26"/>
    <mergeCell ref="B27:L27"/>
    <mergeCell ref="B28:L28"/>
    <mergeCell ref="B29:L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7"/>
  <sheetViews>
    <sheetView topLeftCell="A2" zoomScaleNormal="100" workbookViewId="0">
      <selection activeCell="L5" sqref="L5:L6"/>
    </sheetView>
  </sheetViews>
  <sheetFormatPr defaultColWidth="8.7109375" defaultRowHeight="15" x14ac:dyDescent="0.25"/>
  <cols>
    <col min="1" max="1" width="8" customWidth="1"/>
    <col min="2" max="2" width="22" customWidth="1"/>
    <col min="3" max="14" width="13" customWidth="1"/>
  </cols>
  <sheetData>
    <row r="1" spans="1:14" ht="15.75" customHeight="1" x14ac:dyDescent="0.25">
      <c r="A1" s="5" t="s">
        <v>288</v>
      </c>
    </row>
    <row r="2" spans="1:14" ht="210" customHeight="1" x14ac:dyDescent="0.25">
      <c r="A2" s="1" t="s">
        <v>289</v>
      </c>
    </row>
    <row r="4" spans="1:14" ht="39" customHeight="1" x14ac:dyDescent="0.25">
      <c r="A4" s="7" t="s">
        <v>204</v>
      </c>
      <c r="B4" s="7" t="s">
        <v>205</v>
      </c>
      <c r="C4" s="7" t="s">
        <v>290</v>
      </c>
      <c r="D4" s="7" t="s">
        <v>255</v>
      </c>
      <c r="E4" s="7" t="s">
        <v>256</v>
      </c>
      <c r="F4" s="7" t="s">
        <v>291</v>
      </c>
      <c r="G4" s="7" t="s">
        <v>292</v>
      </c>
      <c r="H4" s="7" t="s">
        <v>293</v>
      </c>
      <c r="I4" s="7" t="s">
        <v>294</v>
      </c>
      <c r="J4" s="7" t="s">
        <v>295</v>
      </c>
      <c r="K4" s="7" t="s">
        <v>296</v>
      </c>
      <c r="L4" s="7" t="s">
        <v>297</v>
      </c>
      <c r="M4" s="7" t="s">
        <v>298</v>
      </c>
      <c r="N4" s="7" t="s">
        <v>299</v>
      </c>
    </row>
    <row r="5" spans="1:14" ht="15" customHeight="1" x14ac:dyDescent="0.25">
      <c r="A5">
        <v>1</v>
      </c>
      <c r="B5" t="s">
        <v>218</v>
      </c>
      <c r="C5" s="19">
        <f>Valuation!F5</f>
        <v>42.8</v>
      </c>
      <c r="D5" s="20">
        <f>Valuation!G5</f>
        <v>2.65</v>
      </c>
      <c r="E5" s="21">
        <f>Valuation!H5</f>
        <v>16.150943396226413</v>
      </c>
      <c r="F5" s="22">
        <v>0.08</v>
      </c>
      <c r="G5" s="22">
        <v>0.18</v>
      </c>
      <c r="H5" s="22">
        <v>0.27</v>
      </c>
      <c r="I5" s="22">
        <v>-0.02</v>
      </c>
      <c r="J5" s="22">
        <v>0.01</v>
      </c>
      <c r="K5" s="22">
        <v>0.03</v>
      </c>
      <c r="L5" s="9">
        <f>(D5*(1+F5)^3*(1+I5/E5)*Valuation!J5 - C5)/(C5-Valuation!E5)</f>
        <v>-0.12453082427317068</v>
      </c>
      <c r="M5" s="9">
        <f>(D5*(1+G5)^3*(1+J5/E5)*Valuation!K5 - C5)/(C5-Valuation!E5)</f>
        <v>0.66430488020560707</v>
      </c>
      <c r="N5" s="9">
        <f>(D5*(1+H5)^3*(1+K5/E5)*Valuation!L5 - C5)/(C5-Valuation!E5)</f>
        <v>1.4197240164823162</v>
      </c>
    </row>
    <row r="6" spans="1:14" ht="15" customHeight="1" x14ac:dyDescent="0.25">
      <c r="A6">
        <v>2</v>
      </c>
      <c r="B6" t="s">
        <v>220</v>
      </c>
      <c r="C6" s="19">
        <f>Valuation!F6</f>
        <v>5.7</v>
      </c>
      <c r="D6" s="20">
        <f>Valuation!G6</f>
        <v>0.5</v>
      </c>
      <c r="E6" s="21">
        <f>Valuation!H6</f>
        <v>11.4</v>
      </c>
      <c r="F6" s="22">
        <v>0.05</v>
      </c>
      <c r="G6" s="22">
        <v>0.15</v>
      </c>
      <c r="H6" s="22">
        <v>0.25</v>
      </c>
      <c r="I6" s="22">
        <v>-0.03</v>
      </c>
      <c r="J6" s="22">
        <v>0</v>
      </c>
      <c r="K6" s="22">
        <v>0.02</v>
      </c>
      <c r="L6" s="9">
        <f>(D6*(1+F6)^3*(1+I6/E6)*Valuation!J6 - C6)/(C6-Valuation!E6)</f>
        <v>-0.21864626250000008</v>
      </c>
      <c r="M6" s="9">
        <f>(D6*(1+G6)^3*(1+J6/E6)*Valuation!K6 - C6)/(C6-Valuation!E6)</f>
        <v>0.56337999999999921</v>
      </c>
      <c r="N6" s="9">
        <f>(D6*(1+H6)^3*(1+K6/E6)*Valuation!L6 - C6)/(C6-Valuation!E6)</f>
        <v>1.4250390625</v>
      </c>
    </row>
    <row r="7" spans="1:14" ht="15" customHeight="1" x14ac:dyDescent="0.25">
      <c r="A7">
        <v>3</v>
      </c>
      <c r="B7" t="s">
        <v>222</v>
      </c>
      <c r="C7" s="19">
        <f>Valuation!F7</f>
        <v>135.5</v>
      </c>
      <c r="D7" s="20">
        <f>Valuation!G7</f>
        <v>6.2</v>
      </c>
      <c r="E7" s="21">
        <f>Valuation!H7</f>
        <v>21.85483870967742</v>
      </c>
      <c r="F7" s="22">
        <v>0.04</v>
      </c>
      <c r="G7" s="22">
        <v>0.1</v>
      </c>
      <c r="H7" s="22">
        <v>0.16</v>
      </c>
      <c r="I7" s="22">
        <v>-0.01</v>
      </c>
      <c r="J7" s="22">
        <v>0.01</v>
      </c>
      <c r="K7" s="22">
        <v>0.02</v>
      </c>
      <c r="L7" s="9">
        <f>(D7*(1+F7)^3*(1+I7/E7)*Valuation!J7 - C7)/(C7-Valuation!E7)</f>
        <v>-0.22720841494173219</v>
      </c>
      <c r="M7" s="9">
        <f>(D7*(1+G7)^3*(1+J7/E7)*Valuation!K7 - C7)/(C7-Valuation!E7)</f>
        <v>0.16349856941046617</v>
      </c>
      <c r="N7" s="9">
        <f>(D7*(1+H7)^3*(1+K7/E7)*Valuation!L7 - C7)/(C7-Valuation!E7)</f>
        <v>0.84999372417007835</v>
      </c>
    </row>
    <row r="8" spans="1:14" ht="15" customHeight="1" x14ac:dyDescent="0.25">
      <c r="A8">
        <v>4</v>
      </c>
      <c r="B8" t="s">
        <v>224</v>
      </c>
      <c r="C8" s="19">
        <f>Valuation!F8</f>
        <v>139</v>
      </c>
      <c r="D8" s="20">
        <f>Valuation!G8</f>
        <v>9.5</v>
      </c>
      <c r="E8" s="21">
        <f>Valuation!H8</f>
        <v>14.631578947368421</v>
      </c>
      <c r="F8" s="22">
        <v>0.03</v>
      </c>
      <c r="G8" s="22">
        <v>0.08</v>
      </c>
      <c r="H8" s="22">
        <v>0.14000000000000001</v>
      </c>
      <c r="I8" s="22">
        <v>-0.01</v>
      </c>
      <c r="J8" s="22">
        <v>0</v>
      </c>
      <c r="K8" s="22">
        <v>0.02</v>
      </c>
      <c r="L8" s="9">
        <f>(D8*(1+F8)^3*(1+I8/E8)*Valuation!J8 - C8)/(C8-Valuation!E8)</f>
        <v>-0.25586194723046873</v>
      </c>
      <c r="M8" s="9">
        <f>(D8*(1+G8)^3*(1+J8/E8)*Valuation!K8 - C8)/(C8-Valuation!E8)</f>
        <v>0.39274787500000019</v>
      </c>
      <c r="N8" s="9">
        <f>(D8*(1+H8)^3*(1+K8/E8)*Valuation!L8 - C8)/(C8-Valuation!E8)</f>
        <v>0.76678535753125021</v>
      </c>
    </row>
    <row r="9" spans="1:14" ht="15" customHeight="1" x14ac:dyDescent="0.25">
      <c r="A9">
        <v>5</v>
      </c>
      <c r="B9" t="s">
        <v>226</v>
      </c>
      <c r="C9" s="19">
        <f>Valuation!F9</f>
        <v>15</v>
      </c>
      <c r="D9" s="20">
        <f>Valuation!G9</f>
        <v>1.05</v>
      </c>
      <c r="E9" s="21">
        <f>Valuation!H9</f>
        <v>14.285714285714285</v>
      </c>
      <c r="F9" s="22">
        <v>0.06</v>
      </c>
      <c r="G9" s="22">
        <v>0.14000000000000001</v>
      </c>
      <c r="H9" s="22">
        <v>0.22</v>
      </c>
      <c r="I9" s="22">
        <v>-0.02</v>
      </c>
      <c r="J9" s="22">
        <v>0.01</v>
      </c>
      <c r="K9" s="22">
        <v>0.03</v>
      </c>
      <c r="L9" s="9">
        <f>(D9*(1+F9)^3*(1+I9/E9)*Valuation!J9 - C9)/(C9-Valuation!E9)</f>
        <v>-0.18606221742222204</v>
      </c>
      <c r="M9" s="9">
        <f>(D9*(1+G9)^3*(1+J9/E9)*Valuation!K9 - C9)/(C9-Valuation!E9)</f>
        <v>0.40441621592888916</v>
      </c>
      <c r="N9" s="9">
        <f>(D9*(1+H9)^3*(1+K9/E9)*Valuation!L9 - C9)/(C9-Valuation!E9)</f>
        <v>1.2140116365777773</v>
      </c>
    </row>
    <row r="10" spans="1:14" ht="15" customHeight="1" x14ac:dyDescent="0.25">
      <c r="A10">
        <v>6</v>
      </c>
      <c r="B10" t="s">
        <v>228</v>
      </c>
      <c r="C10" s="19">
        <f>Valuation!F10</f>
        <v>86.5</v>
      </c>
      <c r="D10" s="20">
        <f>Valuation!G10</f>
        <v>4.3</v>
      </c>
      <c r="E10" s="21">
        <f>Valuation!H10</f>
        <v>20.116279069767444</v>
      </c>
      <c r="F10" s="22">
        <v>0.04</v>
      </c>
      <c r="G10" s="22">
        <v>0.09</v>
      </c>
      <c r="H10" s="22">
        <v>0.14000000000000001</v>
      </c>
      <c r="I10" s="22">
        <v>-0.01</v>
      </c>
      <c r="J10" s="22">
        <v>0.01</v>
      </c>
      <c r="K10" s="22">
        <v>0.02</v>
      </c>
      <c r="L10" s="9">
        <f>(D10*(1+F10)^3*(1+I10/E10)*Valuation!J10 - C10)/(C10-Valuation!E10)</f>
        <v>-0.2246749171512194</v>
      </c>
      <c r="M10" s="9">
        <f>(D10*(1+G10)^3*(1+J10/E10)*Valuation!K10 - C10)/(C10-Valuation!E10)</f>
        <v>0.24000467848817855</v>
      </c>
      <c r="N10" s="9">
        <f>(D10*(1+H10)^3*(1+K10/E10)*Valuation!L10 - C10)/(C10-Valuation!E10)</f>
        <v>0.74418431831219534</v>
      </c>
    </row>
    <row r="11" spans="1:14" ht="15" customHeight="1" x14ac:dyDescent="0.25">
      <c r="A11">
        <v>7</v>
      </c>
      <c r="B11" t="s">
        <v>230</v>
      </c>
      <c r="C11" s="19">
        <f>Valuation!F11</f>
        <v>5.2</v>
      </c>
      <c r="D11" s="20">
        <f>Valuation!G11</f>
        <v>0.22</v>
      </c>
      <c r="E11" s="21">
        <f>Valuation!H11</f>
        <v>23.636363636363637</v>
      </c>
      <c r="F11" s="22">
        <v>0.03</v>
      </c>
      <c r="G11" s="22">
        <v>0.1</v>
      </c>
      <c r="H11" s="22">
        <v>0.18</v>
      </c>
      <c r="I11" s="22">
        <v>-0.02</v>
      </c>
      <c r="J11" s="22">
        <v>0</v>
      </c>
      <c r="K11" s="22">
        <v>0.02</v>
      </c>
      <c r="L11" s="9">
        <f>(D11*(1+F11)^3*(1+I11/E11)*Valuation!J11 - C11)/(C11-Valuation!E11)</f>
        <v>-0.25538319149166683</v>
      </c>
      <c r="M11" s="9">
        <f>(D11*(1+G11)^3*(1+J11/E11)*Valuation!K11 - C11)/(C11-Valuation!E11)</f>
        <v>3.6500000000004125E-3</v>
      </c>
      <c r="N11" s="9">
        <f>(D11*(1+H11)^3*(1+K11/E11)*Valuation!L11 - C11)/(C11-Valuation!E11)</f>
        <v>0.96534272956666667</v>
      </c>
    </row>
    <row r="12" spans="1:14" ht="15" customHeight="1" x14ac:dyDescent="0.25">
      <c r="A12">
        <v>8</v>
      </c>
      <c r="B12" t="s">
        <v>232</v>
      </c>
      <c r="C12" s="19">
        <f>Valuation!F12</f>
        <v>67</v>
      </c>
      <c r="D12" s="20">
        <f>Valuation!G12</f>
        <v>4.2</v>
      </c>
      <c r="E12" s="21">
        <f>Valuation!H12</f>
        <v>15.952380952380953</v>
      </c>
      <c r="F12" s="22">
        <v>0.02</v>
      </c>
      <c r="G12" s="22">
        <v>0.06</v>
      </c>
      <c r="H12" s="22">
        <v>0.1</v>
      </c>
      <c r="I12" s="22">
        <v>-0.02</v>
      </c>
      <c r="J12" s="22">
        <v>0</v>
      </c>
      <c r="K12" s="22">
        <v>0.01</v>
      </c>
      <c r="L12" s="9">
        <f>(D12*(1+F12)^3*(1+I12/E12)*Valuation!J12 - C12)/(C12-Valuation!E12)</f>
        <v>-0.29813351431724128</v>
      </c>
      <c r="M12" s="9">
        <f>(D12*(1+G12)^3*(1+J12/E12)*Valuation!K12 - C12)/(C12-Valuation!E12)</f>
        <v>9.3340910344827902E-2</v>
      </c>
      <c r="N12" s="9">
        <f>(D12*(1+H12)^3*(1+K12/E12)*Valuation!L12 - C12)/(C12-Valuation!E12)</f>
        <v>0.61410064310344881</v>
      </c>
    </row>
    <row r="13" spans="1:14" ht="15" customHeight="1" x14ac:dyDescent="0.25">
      <c r="A13">
        <v>9</v>
      </c>
      <c r="B13" t="s">
        <v>234</v>
      </c>
      <c r="C13" s="19">
        <f>Valuation!F13</f>
        <v>64.5</v>
      </c>
      <c r="D13" s="20">
        <f>Valuation!G13</f>
        <v>4.0999999999999996</v>
      </c>
      <c r="E13" s="21">
        <f>Valuation!H13</f>
        <v>15.731707317073171</v>
      </c>
      <c r="F13" s="22">
        <v>0.02</v>
      </c>
      <c r="G13" s="22">
        <v>0.06</v>
      </c>
      <c r="H13" s="22">
        <v>0.1</v>
      </c>
      <c r="I13" s="22">
        <v>-0.01</v>
      </c>
      <c r="J13" s="22">
        <v>0</v>
      </c>
      <c r="K13" s="22">
        <v>0.01</v>
      </c>
      <c r="L13" s="9">
        <f>(D13*(1+F13)^3*(1+I13/E13)*Valuation!J13 - C13)/(C13-Valuation!E13)</f>
        <v>-0.29673063338571443</v>
      </c>
      <c r="M13" s="9">
        <f>(D13*(1+G13)^3*(1+J13/E13)*Valuation!K13 - C13)/(C13-Valuation!E13)</f>
        <v>0.14450759285714326</v>
      </c>
      <c r="N13" s="9">
        <f>(D13*(1+H13)^3*(1+K13/E13)*Valuation!L13 - C13)/(C13-Valuation!E13)</f>
        <v>0.61231574375000031</v>
      </c>
    </row>
    <row r="14" spans="1:14" ht="15" customHeight="1" x14ac:dyDescent="0.25">
      <c r="A14">
        <v>10</v>
      </c>
      <c r="B14" t="s">
        <v>236</v>
      </c>
      <c r="C14" s="19">
        <f>Valuation!F14</f>
        <v>10.9</v>
      </c>
      <c r="D14" s="20">
        <f>Valuation!G14</f>
        <v>0.3</v>
      </c>
      <c r="E14" s="21">
        <f>Valuation!H14</f>
        <v>36.333333333333336</v>
      </c>
      <c r="F14" s="22">
        <v>0.04</v>
      </c>
      <c r="G14" s="22">
        <v>0.1</v>
      </c>
      <c r="H14" s="22">
        <v>0.18</v>
      </c>
      <c r="I14" s="22">
        <v>-0.02</v>
      </c>
      <c r="J14" s="22">
        <v>0</v>
      </c>
      <c r="K14" s="22">
        <v>0.02</v>
      </c>
      <c r="L14" s="9">
        <f>(D14*(1+F14)^3*(1+I14/E14)*Valuation!J14 - C14)/(C14-Valuation!E14)</f>
        <v>-0.21109200989090918</v>
      </c>
      <c r="M14" s="9">
        <f>(D14*(1+G14)^3*(1+J14/E14)*Valuation!K14 - C14)/(C14-Valuation!E14)</f>
        <v>6.7840909090909396E-2</v>
      </c>
      <c r="N14" s="9">
        <f>(D14*(1+H14)^3*(1+K14/E14)*Valuation!L14 - C14)/(C14-Valuation!E14)</f>
        <v>0.88243118552727218</v>
      </c>
    </row>
    <row r="15" spans="1:14" ht="15" customHeight="1" x14ac:dyDescent="0.25">
      <c r="A15">
        <v>11</v>
      </c>
      <c r="B15" t="s">
        <v>238</v>
      </c>
      <c r="C15" s="19">
        <f>Valuation!F15</f>
        <v>56</v>
      </c>
      <c r="D15" s="20">
        <f>Valuation!G15</f>
        <v>3.1</v>
      </c>
      <c r="E15" s="21">
        <f>Valuation!H15</f>
        <v>18.064516129032256</v>
      </c>
      <c r="F15" s="22">
        <v>0.06</v>
      </c>
      <c r="G15" s="22">
        <v>0.12</v>
      </c>
      <c r="H15" s="22">
        <v>0.18</v>
      </c>
      <c r="I15" s="22">
        <v>-0.01</v>
      </c>
      <c r="J15" s="22">
        <v>0.01</v>
      </c>
      <c r="K15" s="22">
        <v>0.02</v>
      </c>
      <c r="L15" s="9">
        <f>(D15*(1+F15)^3*(1+I15/E15)*Valuation!J15 - C15)/(C15-Valuation!E15)</f>
        <v>-0.17957726629230755</v>
      </c>
      <c r="M15" s="9">
        <f>(D15*(1+G15)^3*(1+J15/E15)*Valuation!K15 - C15)/(C15-Valuation!E15)</f>
        <v>0.26660720541538485</v>
      </c>
      <c r="N15" s="9">
        <f>(D15*(1+H15)^3*(1+K15/E15)*Valuation!L15 - C15)/(C15-Valuation!E15)</f>
        <v>0.96016171118461457</v>
      </c>
    </row>
    <row r="16" spans="1:14" ht="15" customHeight="1" x14ac:dyDescent="0.25">
      <c r="A16">
        <v>12</v>
      </c>
      <c r="B16" t="s">
        <v>240</v>
      </c>
      <c r="C16" s="19">
        <f>Valuation!F16</f>
        <v>23.4</v>
      </c>
      <c r="D16" s="20">
        <f>Valuation!G16</f>
        <v>1.55</v>
      </c>
      <c r="E16" s="21">
        <f>Valuation!H16</f>
        <v>15.096774193548386</v>
      </c>
      <c r="F16" s="22">
        <v>0.06</v>
      </c>
      <c r="G16" s="22">
        <v>0.13</v>
      </c>
      <c r="H16" s="22">
        <v>0.2</v>
      </c>
      <c r="I16" s="22">
        <v>-0.01</v>
      </c>
      <c r="J16" s="22">
        <v>0.01</v>
      </c>
      <c r="K16" s="22">
        <v>0.02</v>
      </c>
      <c r="L16" s="9">
        <f>(D16*(1+F16)^3*(1+I16/E16)*Valuation!J16 - C16)/(C16-Valuation!E16)</f>
        <v>-0.16974262798260845</v>
      </c>
      <c r="M16" s="9">
        <f>(D16*(1+G16)^3*(1+J16/E16)*Valuation!K16 - C16)/(C16-Valuation!E16)</f>
        <v>0.2522574858385121</v>
      </c>
      <c r="N16" s="9">
        <f>(D16*(1+H16)^3*(1+K16/E16)*Valuation!L16 - C16)/(C16-Valuation!E16)</f>
        <v>1.0070470956521735</v>
      </c>
    </row>
    <row r="17" spans="1:14" ht="15" customHeight="1" x14ac:dyDescent="0.25">
      <c r="A17">
        <v>13</v>
      </c>
      <c r="B17" t="s">
        <v>242</v>
      </c>
      <c r="C17" s="19">
        <f>Valuation!F17</f>
        <v>19.5</v>
      </c>
      <c r="D17" s="20">
        <f>Valuation!G17</f>
        <v>0.8</v>
      </c>
      <c r="E17" s="21">
        <f>Valuation!H17</f>
        <v>24.375</v>
      </c>
      <c r="F17" s="22">
        <v>0.05</v>
      </c>
      <c r="G17" s="22">
        <v>0.12</v>
      </c>
      <c r="H17" s="22">
        <v>0.2</v>
      </c>
      <c r="I17" s="22">
        <v>-0.01</v>
      </c>
      <c r="J17" s="22">
        <v>0.01</v>
      </c>
      <c r="K17" s="22">
        <v>0.02</v>
      </c>
      <c r="L17" s="9">
        <f>(D17*(1+F17)^3*(1+I17/E17)*Valuation!J17 - C17)/(C17-Valuation!E17)</f>
        <v>-0.19499481315789452</v>
      </c>
      <c r="M17" s="9">
        <f>(D17*(1+G17)^3*(1+J17/E17)*Valuation!K17 - C17)/(C17-Valuation!E17)</f>
        <v>7.9594236407018015E-2</v>
      </c>
      <c r="N17" s="9">
        <f>(D17*(1+H17)^3*(1+K17/E17)*Valuation!L17 - C17)/(C17-Valuation!E17)</f>
        <v>1.0148523789473682</v>
      </c>
    </row>
    <row r="18" spans="1:14" ht="15" customHeight="1" x14ac:dyDescent="0.25">
      <c r="A18">
        <v>14</v>
      </c>
      <c r="B18" t="s">
        <v>244</v>
      </c>
      <c r="C18" s="19">
        <f>Valuation!F18</f>
        <v>32.5</v>
      </c>
      <c r="D18" s="20">
        <f>Valuation!G18</f>
        <v>1.7</v>
      </c>
      <c r="E18" s="21">
        <f>Valuation!H18</f>
        <v>19.117647058823529</v>
      </c>
      <c r="F18" s="22">
        <v>0.03</v>
      </c>
      <c r="G18" s="22">
        <v>0.06</v>
      </c>
      <c r="H18" s="22">
        <v>0.1</v>
      </c>
      <c r="I18" s="22">
        <v>-0.01</v>
      </c>
      <c r="J18" s="22">
        <v>0</v>
      </c>
      <c r="K18" s="22">
        <v>0.01</v>
      </c>
      <c r="L18" s="9">
        <f>(D18*(1+F18)^3*(1+I18/E18)*Valuation!J18 - C18)/(C18-Valuation!E18)</f>
        <v>-0.24688594197741948</v>
      </c>
      <c r="M18" s="9">
        <f>(D18*(1+G18)^3*(1+J18/E18)*Valuation!K18 - C18)/(C18-Valuation!E18)</f>
        <v>0.16375983225806487</v>
      </c>
      <c r="N18" s="9">
        <f>(D18*(1+H18)^3*(1+K18/E18)*Valuation!L18 - C18)/(C18-Valuation!E18)</f>
        <v>0.55716600161290353</v>
      </c>
    </row>
    <row r="19" spans="1:14" ht="15" customHeight="1" x14ac:dyDescent="0.25">
      <c r="A19">
        <v>15</v>
      </c>
      <c r="B19" t="s">
        <v>246</v>
      </c>
      <c r="C19" s="19">
        <f>Valuation!F19</f>
        <v>7.3000000000000007</v>
      </c>
      <c r="D19" s="20">
        <f>Valuation!G19</f>
        <v>0.45</v>
      </c>
      <c r="E19" s="21">
        <f>Valuation!H19</f>
        <v>16.222222222222225</v>
      </c>
      <c r="F19" s="22">
        <v>0.02</v>
      </c>
      <c r="G19" s="22">
        <v>0.05</v>
      </c>
      <c r="H19" s="22">
        <v>0.08</v>
      </c>
      <c r="I19" s="22">
        <v>-0.01</v>
      </c>
      <c r="J19" s="22">
        <v>0</v>
      </c>
      <c r="K19" s="22">
        <v>0.01</v>
      </c>
      <c r="L19" s="9">
        <f>(D19*(1+F19)^3*(1+I19/E19)*Valuation!J19 - C19)/(C19-Valuation!E19)</f>
        <v>-0.25413107097297316</v>
      </c>
      <c r="M19" s="9">
        <f>(D19*(1+G19)^3*(1+J19/E19)*Valuation!K19 - C19)/(C19-Valuation!E19)</f>
        <v>7.7277027027027198E-2</v>
      </c>
      <c r="N19" s="9">
        <f>(D19*(1+H19)^3*(1+K19/E19)*Valuation!L19 - C19)/(C19-Valuation!E19)</f>
        <v>0.4434866553513519</v>
      </c>
    </row>
    <row r="22" spans="1:14" ht="15" customHeight="1" x14ac:dyDescent="0.25">
      <c r="A22" s="6" t="s">
        <v>300</v>
      </c>
    </row>
    <row r="23" spans="1:14" ht="15" customHeight="1" x14ac:dyDescent="0.25">
      <c r="B23" s="7" t="s">
        <v>301</v>
      </c>
      <c r="C23" s="7" t="s">
        <v>302</v>
      </c>
      <c r="D23" s="7" t="s">
        <v>120</v>
      </c>
    </row>
    <row r="24" spans="1:14" ht="15" customHeight="1" x14ac:dyDescent="0.25">
      <c r="B24" t="s">
        <v>96</v>
      </c>
      <c r="C24" s="23">
        <v>0.3</v>
      </c>
      <c r="D24" t="s">
        <v>303</v>
      </c>
    </row>
    <row r="25" spans="1:14" ht="15" customHeight="1" x14ac:dyDescent="0.25">
      <c r="B25" t="s">
        <v>97</v>
      </c>
      <c r="C25" s="23">
        <v>0.5</v>
      </c>
      <c r="D25" t="s">
        <v>304</v>
      </c>
    </row>
    <row r="26" spans="1:14" ht="15" customHeight="1" x14ac:dyDescent="0.25">
      <c r="B26" t="s">
        <v>98</v>
      </c>
      <c r="C26" s="23">
        <v>0.2</v>
      </c>
      <c r="D26" t="s">
        <v>305</v>
      </c>
    </row>
    <row r="27" spans="1:14" ht="15" customHeight="1" x14ac:dyDescent="0.25">
      <c r="B27" s="24" t="s">
        <v>306</v>
      </c>
      <c r="C27" s="25">
        <f>SUM(C24:C26)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zoomScaleNormal="100" workbookViewId="0"/>
  </sheetViews>
  <sheetFormatPr defaultColWidth="8.7109375" defaultRowHeight="15" x14ac:dyDescent="0.25"/>
  <cols>
    <col min="1" max="1" width="8" customWidth="1"/>
    <col min="2" max="2" width="22" customWidth="1"/>
    <col min="3" max="11" width="14" customWidth="1"/>
  </cols>
  <sheetData>
    <row r="1" spans="1:9" ht="15.75" customHeight="1" x14ac:dyDescent="0.25">
      <c r="A1" s="5" t="s">
        <v>307</v>
      </c>
    </row>
    <row r="2" spans="1:9" ht="157.5" customHeight="1" x14ac:dyDescent="0.25">
      <c r="A2" s="1" t="s">
        <v>308</v>
      </c>
    </row>
    <row r="4" spans="1:9" ht="26.25" customHeight="1" x14ac:dyDescent="0.25">
      <c r="A4" s="7" t="s">
        <v>204</v>
      </c>
      <c r="B4" s="7" t="s">
        <v>205</v>
      </c>
      <c r="C4" s="7" t="s">
        <v>309</v>
      </c>
      <c r="D4" s="7" t="s">
        <v>277</v>
      </c>
      <c r="E4" s="7" t="s">
        <v>310</v>
      </c>
      <c r="F4" s="7" t="s">
        <v>311</v>
      </c>
      <c r="G4" s="7" t="s">
        <v>312</v>
      </c>
      <c r="H4" s="7" t="s">
        <v>313</v>
      </c>
      <c r="I4" s="7" t="s">
        <v>314</v>
      </c>
    </row>
    <row r="5" spans="1:9" ht="15" customHeight="1" x14ac:dyDescent="0.25">
      <c r="A5">
        <v>1</v>
      </c>
      <c r="B5" t="s">
        <v>222</v>
      </c>
      <c r="C5" t="s">
        <v>315</v>
      </c>
      <c r="D5" s="20" t="str">
        <f>Scorecard!L7</f>
        <v>Tier 1</v>
      </c>
      <c r="E5" s="22">
        <v>0.13</v>
      </c>
      <c r="F5" s="9">
        <f>Scenario_Returns!L7*Scenario_Returns!$C$24+Scenario_Returns!M7*Scenario_Returns!$C$25+Scenario_Returns!N7*Scenario_Returns!$C$26</f>
        <v>0.1835855050567291</v>
      </c>
      <c r="G5" t="s">
        <v>316</v>
      </c>
      <c r="H5" s="15" t="s">
        <v>317</v>
      </c>
      <c r="I5" s="15" t="s">
        <v>318</v>
      </c>
    </row>
    <row r="6" spans="1:9" ht="15" customHeight="1" x14ac:dyDescent="0.25">
      <c r="A6">
        <v>2</v>
      </c>
      <c r="B6" t="s">
        <v>218</v>
      </c>
      <c r="C6" t="s">
        <v>319</v>
      </c>
      <c r="D6" s="20" t="str">
        <f>Scorecard!L5</f>
        <v>Tier 1</v>
      </c>
      <c r="E6" s="22">
        <v>0.12</v>
      </c>
      <c r="F6" s="9">
        <f>Scenario_Returns!L5*Scenario_Returns!$C$24+Scenario_Returns!M5*Scenario_Returns!$C$25+Scenario_Returns!N5*Scenario_Returns!$C$26</f>
        <v>0.57873799611731558</v>
      </c>
      <c r="G6" t="s">
        <v>316</v>
      </c>
      <c r="H6" s="15" t="s">
        <v>320</v>
      </c>
      <c r="I6" s="15" t="s">
        <v>321</v>
      </c>
    </row>
    <row r="7" spans="1:9" ht="15" customHeight="1" x14ac:dyDescent="0.25">
      <c r="A7">
        <v>3</v>
      </c>
      <c r="B7" t="s">
        <v>226</v>
      </c>
      <c r="C7" t="s">
        <v>315</v>
      </c>
      <c r="D7" s="20" t="str">
        <f>Scorecard!L9</f>
        <v>Tier 1</v>
      </c>
      <c r="E7" s="22">
        <v>0.1</v>
      </c>
      <c r="F7" s="9">
        <f>Scenario_Returns!L9*Scenario_Returns!$C$24+Scenario_Returns!M9*Scenario_Returns!$C$25+Scenario_Returns!N9*Scenario_Returns!$C$26</f>
        <v>0.38919177005333344</v>
      </c>
      <c r="G7" t="s">
        <v>316</v>
      </c>
      <c r="H7" s="15" t="s">
        <v>322</v>
      </c>
      <c r="I7" s="15" t="s">
        <v>323</v>
      </c>
    </row>
    <row r="8" spans="1:9" ht="15" customHeight="1" x14ac:dyDescent="0.25">
      <c r="A8">
        <v>4</v>
      </c>
      <c r="B8" t="s">
        <v>240</v>
      </c>
      <c r="C8" t="s">
        <v>324</v>
      </c>
      <c r="D8" s="20" t="str">
        <f>Scorecard!L16</f>
        <v>Tier 2</v>
      </c>
      <c r="E8" s="22">
        <v>0.1</v>
      </c>
      <c r="F8" s="9">
        <f>Scenario_Returns!L16*Scenario_Returns!$C$24+Scenario_Returns!M16*Scenario_Returns!$C$25+Scenario_Returns!N16*Scenario_Returns!$C$26</f>
        <v>0.27661537365490824</v>
      </c>
      <c r="G8" t="s">
        <v>316</v>
      </c>
      <c r="H8" s="15" t="s">
        <v>325</v>
      </c>
      <c r="I8" s="15" t="s">
        <v>326</v>
      </c>
    </row>
    <row r="9" spans="1:9" ht="15" customHeight="1" x14ac:dyDescent="0.25">
      <c r="A9">
        <v>5</v>
      </c>
      <c r="B9" t="s">
        <v>224</v>
      </c>
      <c r="C9" t="s">
        <v>315</v>
      </c>
      <c r="D9" s="20" t="str">
        <f>Scorecard!L8</f>
        <v>Tier 1</v>
      </c>
      <c r="E9" s="22">
        <v>0.1</v>
      </c>
      <c r="F9" s="9">
        <f>Scenario_Returns!L8*Scenario_Returns!$C$24+Scenario_Returns!M8*Scenario_Returns!$C$25+Scenario_Returns!N8*Scenario_Returns!$C$26</f>
        <v>0.27297242483710954</v>
      </c>
      <c r="G9" t="s">
        <v>316</v>
      </c>
      <c r="H9" s="15" t="s">
        <v>327</v>
      </c>
      <c r="I9" s="15" t="s">
        <v>328</v>
      </c>
    </row>
    <row r="10" spans="1:9" ht="15" customHeight="1" x14ac:dyDescent="0.25">
      <c r="A10">
        <v>6</v>
      </c>
      <c r="B10" t="s">
        <v>220</v>
      </c>
      <c r="C10" t="s">
        <v>319</v>
      </c>
      <c r="D10" s="20" t="str">
        <f>Scorecard!L6</f>
        <v>Tier 2</v>
      </c>
      <c r="E10" s="22">
        <v>7.0000000000000007E-2</v>
      </c>
      <c r="F10" s="9">
        <f>Scenario_Returns!L6*Scenario_Returns!$C$24+Scenario_Returns!M6*Scenario_Returns!$C$25+Scenario_Returns!N6*Scenario_Returns!$C$26</f>
        <v>0.50110393374999962</v>
      </c>
      <c r="G10" t="s">
        <v>329</v>
      </c>
      <c r="H10" s="15" t="s">
        <v>330</v>
      </c>
      <c r="I10" s="15" t="s">
        <v>331</v>
      </c>
    </row>
    <row r="11" spans="1:9" ht="15" customHeight="1" x14ac:dyDescent="0.25">
      <c r="A11">
        <v>7</v>
      </c>
      <c r="B11" t="s">
        <v>228</v>
      </c>
      <c r="C11" t="s">
        <v>332</v>
      </c>
      <c r="D11" s="20" t="str">
        <f>Scorecard!L10</f>
        <v>Tier 1</v>
      </c>
      <c r="E11" s="22">
        <v>7.0000000000000007E-2</v>
      </c>
      <c r="F11" s="9">
        <f>Scenario_Returns!L10*Scenario_Returns!$C$24+Scenario_Returns!M10*Scenario_Returns!$C$25+Scenario_Returns!N10*Scenario_Returns!$C$26</f>
        <v>0.2014367277611625</v>
      </c>
      <c r="G11" t="s">
        <v>329</v>
      </c>
      <c r="H11" s="15" t="s">
        <v>333</v>
      </c>
      <c r="I11" s="15" t="s">
        <v>334</v>
      </c>
    </row>
    <row r="12" spans="1:9" ht="15" customHeight="1" x14ac:dyDescent="0.25">
      <c r="A12">
        <v>8</v>
      </c>
      <c r="B12" t="s">
        <v>242</v>
      </c>
      <c r="C12" t="s">
        <v>324</v>
      </c>
      <c r="D12" s="20" t="str">
        <f>Scorecard!L17</f>
        <v>Tier 2</v>
      </c>
      <c r="E12" s="22">
        <v>0.06</v>
      </c>
      <c r="F12" s="9">
        <f>Scenario_Returns!L17*Scenario_Returns!$C$24+Scenario_Returns!M17*Scenario_Returns!$C$25+Scenario_Returns!N17*Scenario_Returns!$C$26</f>
        <v>0.18426915004561431</v>
      </c>
      <c r="G12" t="s">
        <v>329</v>
      </c>
      <c r="H12" s="15" t="s">
        <v>335</v>
      </c>
      <c r="I12" s="15" t="s">
        <v>336</v>
      </c>
    </row>
    <row r="13" spans="1:9" ht="15" customHeight="1" x14ac:dyDescent="0.25">
      <c r="A13">
        <v>9</v>
      </c>
      <c r="B13" t="s">
        <v>230</v>
      </c>
      <c r="C13" t="s">
        <v>319</v>
      </c>
      <c r="D13" s="20" t="str">
        <f>Scorecard!L11</f>
        <v>Tier 2</v>
      </c>
      <c r="E13" s="22">
        <v>0.05</v>
      </c>
      <c r="F13" s="9">
        <f>Scenario_Returns!L11*Scenario_Returns!$C$24+Scenario_Returns!M11*Scenario_Returns!$C$25+Scenario_Returns!N11*Scenario_Returns!$C$26</f>
        <v>0.11827858846583349</v>
      </c>
      <c r="G13" t="s">
        <v>329</v>
      </c>
      <c r="H13" s="15" t="s">
        <v>337</v>
      </c>
      <c r="I13" s="15" t="s">
        <v>338</v>
      </c>
    </row>
    <row r="14" spans="1:9" ht="15" customHeight="1" x14ac:dyDescent="0.25">
      <c r="A14">
        <v>10</v>
      </c>
      <c r="B14" t="s">
        <v>236</v>
      </c>
      <c r="C14" t="s">
        <v>319</v>
      </c>
      <c r="D14" s="20" t="str">
        <f>Scorecard!L14</f>
        <v>Tier 2</v>
      </c>
      <c r="E14" s="22">
        <v>0.05</v>
      </c>
      <c r="F14" s="9">
        <f>Scenario_Returns!L14*Scenario_Returns!$C$24+Scenario_Returns!M14*Scenario_Returns!$C$25+Scenario_Returns!N14*Scenario_Returns!$C$26</f>
        <v>0.14707908868363639</v>
      </c>
      <c r="G14" t="s">
        <v>329</v>
      </c>
      <c r="H14" s="15" t="s">
        <v>339</v>
      </c>
      <c r="I14" s="15" t="s">
        <v>340</v>
      </c>
    </row>
    <row r="15" spans="1:9" ht="15" customHeight="1" x14ac:dyDescent="0.25">
      <c r="A15">
        <v>11</v>
      </c>
      <c r="B15" t="s">
        <v>238</v>
      </c>
      <c r="C15" t="s">
        <v>324</v>
      </c>
      <c r="D15" s="20" t="str">
        <f>Scorecard!L15</f>
        <v>Tier 3</v>
      </c>
      <c r="E15" s="22">
        <v>0.05</v>
      </c>
      <c r="F15" s="9">
        <f>Scenario_Returns!L15*Scenario_Returns!$C$24+Scenario_Returns!M15*Scenario_Returns!$C$25+Scenario_Returns!N15*Scenario_Returns!$C$26</f>
        <v>0.27146276505692307</v>
      </c>
      <c r="G15" t="s">
        <v>329</v>
      </c>
      <c r="H15" s="15" t="s">
        <v>341</v>
      </c>
      <c r="I15" s="15" t="s">
        <v>342</v>
      </c>
    </row>
    <row r="16" spans="1:9" ht="15" customHeight="1" x14ac:dyDescent="0.25">
      <c r="A16">
        <v>12</v>
      </c>
      <c r="B16" t="s">
        <v>232</v>
      </c>
      <c r="C16" t="s">
        <v>343</v>
      </c>
      <c r="D16" s="20" t="str">
        <f>Scorecard!L12</f>
        <v>Tier 3</v>
      </c>
      <c r="E16" s="22">
        <v>0.04</v>
      </c>
      <c r="F16" s="9">
        <f>Scenario_Returns!L12*Scenario_Returns!$C$24+Scenario_Returns!M12*Scenario_Returns!$C$25+Scenario_Returns!N12*Scenario_Returns!$C$26</f>
        <v>8.0050529497931344E-2</v>
      </c>
      <c r="G16" t="s">
        <v>344</v>
      </c>
      <c r="H16" s="15" t="s">
        <v>345</v>
      </c>
      <c r="I16" s="15" t="s">
        <v>346</v>
      </c>
    </row>
    <row r="17" spans="1:9" ht="15" customHeight="1" x14ac:dyDescent="0.25">
      <c r="A17">
        <v>13</v>
      </c>
      <c r="B17" t="s">
        <v>234</v>
      </c>
      <c r="C17" t="s">
        <v>332</v>
      </c>
      <c r="D17" s="20" t="str">
        <f>Scorecard!L13</f>
        <v>Tier 3</v>
      </c>
      <c r="E17" s="22">
        <v>0.03</v>
      </c>
      <c r="F17" s="9">
        <f>Scenario_Returns!L13*Scenario_Returns!$C$24+Scenario_Returns!M13*Scenario_Returns!$C$25+Scenario_Returns!N13*Scenario_Returns!$C$26</f>
        <v>0.10569775516285737</v>
      </c>
      <c r="G17" t="s">
        <v>344</v>
      </c>
      <c r="H17" s="15" t="s">
        <v>347</v>
      </c>
      <c r="I17" s="15" t="s">
        <v>348</v>
      </c>
    </row>
    <row r="18" spans="1:9" ht="15" customHeight="1" x14ac:dyDescent="0.25">
      <c r="A18">
        <v>14</v>
      </c>
      <c r="B18" t="s">
        <v>244</v>
      </c>
      <c r="C18" t="s">
        <v>349</v>
      </c>
      <c r="D18" s="20" t="str">
        <f>Scorecard!L18</f>
        <v>Tier 3</v>
      </c>
      <c r="E18" s="22">
        <v>0.02</v>
      </c>
      <c r="F18" s="9">
        <f>Scenario_Returns!L18*Scenario_Returns!$C$24+Scenario_Returns!M18*Scenario_Returns!$C$25+Scenario_Returns!N18*Scenario_Returns!$C$26</f>
        <v>0.1192473338583873</v>
      </c>
      <c r="G18" t="s">
        <v>344</v>
      </c>
      <c r="H18" s="15" t="s">
        <v>350</v>
      </c>
      <c r="I18" s="15" t="s">
        <v>351</v>
      </c>
    </row>
    <row r="19" spans="1:9" ht="15" customHeight="1" x14ac:dyDescent="0.25">
      <c r="A19">
        <v>15</v>
      </c>
      <c r="B19" t="s">
        <v>246</v>
      </c>
      <c r="C19" t="s">
        <v>349</v>
      </c>
      <c r="D19" s="20" t="str">
        <f>Scorecard!L19</f>
        <v>Tier 3</v>
      </c>
      <c r="E19" s="22">
        <v>0.01</v>
      </c>
      <c r="F19" s="9">
        <f>Scenario_Returns!L19*Scenario_Returns!$C$24+Scenario_Returns!M19*Scenario_Returns!$C$25+Scenario_Returns!N19*Scenario_Returns!$C$26</f>
        <v>5.109652329189205E-2</v>
      </c>
      <c r="G19" t="s">
        <v>344</v>
      </c>
      <c r="H19" s="15" t="s">
        <v>352</v>
      </c>
      <c r="I19" s="15" t="s">
        <v>353</v>
      </c>
    </row>
    <row r="21" spans="1:9" ht="15" customHeight="1" x14ac:dyDescent="0.25">
      <c r="D21" s="24" t="s">
        <v>354</v>
      </c>
      <c r="E21" s="9">
        <f>SUM(E5:E20)</f>
        <v>1.0000000000000002</v>
      </c>
    </row>
    <row r="22" spans="1:9" ht="15" customHeight="1" x14ac:dyDescent="0.25">
      <c r="D22" s="24" t="s">
        <v>355</v>
      </c>
      <c r="F22" s="9">
        <f>SUMPRODUCT(E5:E20,F5:F20)</f>
        <v>0.28353651520971535</v>
      </c>
    </row>
    <row r="25" spans="1:9" ht="15" customHeight="1" x14ac:dyDescent="0.25">
      <c r="A25" s="6" t="s">
        <v>356</v>
      </c>
    </row>
    <row r="26" spans="1:9" ht="15" customHeight="1" x14ac:dyDescent="0.25">
      <c r="A26" s="7" t="s">
        <v>309</v>
      </c>
      <c r="B26" s="7" t="s">
        <v>357</v>
      </c>
      <c r="C26" s="7" t="s">
        <v>120</v>
      </c>
    </row>
    <row r="27" spans="1:9" ht="15" customHeight="1" x14ac:dyDescent="0.25">
      <c r="A27" t="s">
        <v>324</v>
      </c>
      <c r="B27" s="9">
        <f>E8+E12+E15</f>
        <v>0.21000000000000002</v>
      </c>
    </row>
    <row r="28" spans="1:9" ht="15" customHeight="1" x14ac:dyDescent="0.25">
      <c r="A28" t="s">
        <v>332</v>
      </c>
      <c r="B28" s="9">
        <f>E11+E17</f>
        <v>0.1</v>
      </c>
    </row>
    <row r="29" spans="1:9" ht="15" customHeight="1" x14ac:dyDescent="0.25">
      <c r="A29" t="s">
        <v>343</v>
      </c>
      <c r="B29" s="9">
        <f>E16</f>
        <v>0.04</v>
      </c>
    </row>
    <row r="30" spans="1:9" ht="15" customHeight="1" x14ac:dyDescent="0.25">
      <c r="A30" t="s">
        <v>315</v>
      </c>
      <c r="B30" s="9">
        <f>E5+E7+E9</f>
        <v>0.33</v>
      </c>
    </row>
    <row r="31" spans="1:9" ht="15" customHeight="1" x14ac:dyDescent="0.25">
      <c r="A31" t="s">
        <v>319</v>
      </c>
      <c r="B31" s="9">
        <f>E6+E10+E13+E14</f>
        <v>0.28999999999999998</v>
      </c>
    </row>
    <row r="32" spans="1:9" ht="15" customHeight="1" x14ac:dyDescent="0.25">
      <c r="A32" t="s">
        <v>349</v>
      </c>
      <c r="B32" s="9">
        <f>E18+E19</f>
        <v>0.03</v>
      </c>
    </row>
    <row r="34" spans="1:9" ht="49.5" customHeight="1" x14ac:dyDescent="0.25">
      <c r="A34" s="88" t="s">
        <v>358</v>
      </c>
      <c r="B34" s="88"/>
      <c r="C34" s="88"/>
      <c r="D34" s="88"/>
      <c r="E34" s="88"/>
      <c r="F34" s="88"/>
      <c r="G34" s="88"/>
      <c r="H34" s="88"/>
      <c r="I34" s="88"/>
    </row>
  </sheetData>
  <mergeCells count="1">
    <mergeCell ref="A34:I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zoomScaleNormal="100" workbookViewId="0">
      <selection activeCell="E19" sqref="E19"/>
    </sheetView>
  </sheetViews>
  <sheetFormatPr defaultColWidth="8.7109375" defaultRowHeight="15" x14ac:dyDescent="0.25"/>
  <cols>
    <col min="1" max="1" width="26" customWidth="1"/>
    <col min="2" max="2" width="60" customWidth="1"/>
    <col min="3" max="4" width="12" customWidth="1"/>
    <col min="5" max="5" width="45" customWidth="1"/>
  </cols>
  <sheetData>
    <row r="1" spans="1:5" ht="15.75" customHeight="1" x14ac:dyDescent="0.25">
      <c r="A1" s="5" t="s">
        <v>359</v>
      </c>
    </row>
    <row r="3" spans="1:5" ht="15" customHeight="1" x14ac:dyDescent="0.25">
      <c r="A3" s="7" t="s">
        <v>360</v>
      </c>
      <c r="B3" s="7" t="s">
        <v>361</v>
      </c>
      <c r="C3" s="7" t="s">
        <v>362</v>
      </c>
      <c r="D3" s="7" t="s">
        <v>302</v>
      </c>
      <c r="E3" s="7" t="s">
        <v>363</v>
      </c>
    </row>
    <row r="4" spans="1:5" ht="31.5" customHeight="1" x14ac:dyDescent="0.25">
      <c r="A4" t="s">
        <v>364</v>
      </c>
      <c r="B4" s="3" t="s">
        <v>365</v>
      </c>
      <c r="C4" s="8">
        <v>9</v>
      </c>
      <c r="D4" s="8">
        <v>4</v>
      </c>
      <c r="E4" s="3" t="s">
        <v>366</v>
      </c>
    </row>
    <row r="5" spans="1:5" ht="31.5" customHeight="1" x14ac:dyDescent="0.25">
      <c r="A5" t="s">
        <v>367</v>
      </c>
      <c r="B5" s="3" t="s">
        <v>368</v>
      </c>
      <c r="C5" s="8">
        <v>7</v>
      </c>
      <c r="D5" s="8">
        <v>5</v>
      </c>
      <c r="E5" s="3" t="s">
        <v>369</v>
      </c>
    </row>
    <row r="6" spans="1:5" ht="31.5" customHeight="1" x14ac:dyDescent="0.25">
      <c r="A6" t="s">
        <v>370</v>
      </c>
      <c r="B6" s="3" t="s">
        <v>371</v>
      </c>
      <c r="C6" s="8">
        <v>6</v>
      </c>
      <c r="D6" s="8">
        <v>4</v>
      </c>
      <c r="E6" s="3" t="s">
        <v>372</v>
      </c>
    </row>
    <row r="7" spans="1:5" ht="31.5" customHeight="1" x14ac:dyDescent="0.25">
      <c r="A7" t="s">
        <v>373</v>
      </c>
      <c r="B7" s="3" t="s">
        <v>374</v>
      </c>
      <c r="C7" s="8">
        <v>6</v>
      </c>
      <c r="D7" s="8">
        <v>3</v>
      </c>
      <c r="E7" s="3" t="s">
        <v>375</v>
      </c>
    </row>
    <row r="8" spans="1:5" ht="31.5" customHeight="1" x14ac:dyDescent="0.25">
      <c r="A8" t="s">
        <v>376</v>
      </c>
      <c r="B8" s="3" t="s">
        <v>377</v>
      </c>
      <c r="C8" s="8">
        <v>8</v>
      </c>
      <c r="D8" s="8">
        <v>4</v>
      </c>
      <c r="E8" s="3" t="s">
        <v>378</v>
      </c>
    </row>
    <row r="9" spans="1:5" ht="31.5" customHeight="1" x14ac:dyDescent="0.25">
      <c r="A9" t="s">
        <v>379</v>
      </c>
      <c r="B9" s="3" t="s">
        <v>380</v>
      </c>
      <c r="C9" s="8">
        <v>4</v>
      </c>
      <c r="D9" s="8">
        <v>5</v>
      </c>
      <c r="E9" s="3" t="s">
        <v>381</v>
      </c>
    </row>
    <row r="10" spans="1:5" ht="31.5" customHeight="1" x14ac:dyDescent="0.25">
      <c r="A10" t="s">
        <v>382</v>
      </c>
      <c r="B10" s="3" t="s">
        <v>383</v>
      </c>
      <c r="C10" s="8">
        <v>7</v>
      </c>
      <c r="D10" s="8">
        <v>4</v>
      </c>
      <c r="E10" s="3" t="s">
        <v>384</v>
      </c>
    </row>
    <row r="11" spans="1:5" ht="31.5" customHeight="1" x14ac:dyDescent="0.25">
      <c r="A11" t="s">
        <v>385</v>
      </c>
      <c r="B11" s="3" t="s">
        <v>386</v>
      </c>
      <c r="C11" s="8">
        <v>8</v>
      </c>
      <c r="D11" s="8">
        <v>5</v>
      </c>
      <c r="E11" s="3" t="s">
        <v>387</v>
      </c>
    </row>
    <row r="12" spans="1:5" ht="31.5" customHeight="1" x14ac:dyDescent="0.25">
      <c r="A12" t="s">
        <v>388</v>
      </c>
      <c r="B12" s="3" t="s">
        <v>389</v>
      </c>
      <c r="C12" s="8">
        <v>5</v>
      </c>
      <c r="D12" s="8">
        <v>4</v>
      </c>
      <c r="E12" s="3" t="s">
        <v>390</v>
      </c>
    </row>
    <row r="13" spans="1:5" ht="31.5" customHeight="1" x14ac:dyDescent="0.25">
      <c r="A13" t="s">
        <v>391</v>
      </c>
      <c r="B13" s="3" t="s">
        <v>392</v>
      </c>
      <c r="C13" s="8">
        <v>3</v>
      </c>
      <c r="D13" s="8">
        <v>3</v>
      </c>
      <c r="E13" s="3" t="s">
        <v>393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62"/>
  <sheetViews>
    <sheetView tabSelected="1" topLeftCell="A103" zoomScale="115" zoomScaleNormal="115" workbookViewId="0">
      <selection activeCell="C104" sqref="C104"/>
    </sheetView>
  </sheetViews>
  <sheetFormatPr defaultColWidth="8.7109375" defaultRowHeight="15" x14ac:dyDescent="0.25"/>
  <cols>
    <col min="1" max="1" width="35.42578125" customWidth="1"/>
    <col min="2" max="2" width="12" customWidth="1"/>
    <col min="3" max="3" width="18.42578125" bestFit="1" customWidth="1"/>
    <col min="9" max="9" width="14" customWidth="1"/>
    <col min="13" max="13" width="18" customWidth="1"/>
  </cols>
  <sheetData>
    <row r="1" spans="1:6" ht="63" x14ac:dyDescent="0.25">
      <c r="A1" s="26" t="s">
        <v>394</v>
      </c>
    </row>
    <row r="2" spans="1:6" ht="51" x14ac:dyDescent="0.25">
      <c r="A2" s="27" t="s">
        <v>395</v>
      </c>
    </row>
    <row r="4" spans="1:6" ht="31.5" customHeight="1" x14ac:dyDescent="0.25">
      <c r="A4" s="92" t="s">
        <v>396</v>
      </c>
    </row>
    <row r="5" spans="1:6" ht="23.25" customHeight="1" x14ac:dyDescent="0.25">
      <c r="A5" s="29" t="s">
        <v>397</v>
      </c>
      <c r="B5" s="30" t="s">
        <v>96</v>
      </c>
      <c r="C5" s="31" t="s">
        <v>97</v>
      </c>
      <c r="D5" s="32" t="s">
        <v>98</v>
      </c>
      <c r="E5" s="33" t="s">
        <v>398</v>
      </c>
      <c r="F5" s="33" t="s">
        <v>100</v>
      </c>
    </row>
    <row r="6" spans="1:6" ht="15" customHeight="1" x14ac:dyDescent="0.25">
      <c r="A6" s="34" t="s">
        <v>399</v>
      </c>
      <c r="B6" s="35">
        <v>4.2999999999999997E-2</v>
      </c>
      <c r="C6" s="35">
        <v>4.2999999999999997E-2</v>
      </c>
      <c r="D6" s="35">
        <v>4.2999999999999997E-2</v>
      </c>
      <c r="F6" s="36" t="s">
        <v>400</v>
      </c>
    </row>
    <row r="7" spans="1:6" ht="15" customHeight="1" x14ac:dyDescent="0.25">
      <c r="A7" s="37" t="s">
        <v>401</v>
      </c>
      <c r="B7" s="35">
        <v>5.5E-2</v>
      </c>
      <c r="C7" s="35">
        <v>5.5E-2</v>
      </c>
      <c r="D7" s="35">
        <v>5.5E-2</v>
      </c>
      <c r="F7" s="38" t="s">
        <v>402</v>
      </c>
    </row>
    <row r="8" spans="1:6" ht="15" customHeight="1" x14ac:dyDescent="0.25">
      <c r="A8" s="34" t="s">
        <v>403</v>
      </c>
      <c r="B8" s="39">
        <v>1.25</v>
      </c>
      <c r="C8" s="39">
        <v>1.1499999999999999</v>
      </c>
      <c r="D8" s="39">
        <v>1.05</v>
      </c>
      <c r="F8" s="36" t="s">
        <v>404</v>
      </c>
    </row>
    <row r="9" spans="1:6" ht="15" customHeight="1" x14ac:dyDescent="0.25">
      <c r="A9" s="37" t="s">
        <v>405</v>
      </c>
      <c r="B9" s="40">
        <f>B6+B8*B7</f>
        <v>0.11175</v>
      </c>
      <c r="C9" s="40">
        <f>C6+C8*C7</f>
        <v>0.10625</v>
      </c>
      <c r="D9" s="40">
        <f>D6+D8*D7</f>
        <v>0.10075000000000001</v>
      </c>
      <c r="F9" s="38" t="s">
        <v>406</v>
      </c>
    </row>
    <row r="10" spans="1:6" ht="15" customHeight="1" x14ac:dyDescent="0.25">
      <c r="A10" s="34" t="s">
        <v>407</v>
      </c>
      <c r="B10" s="35">
        <v>2.5000000000000001E-2</v>
      </c>
      <c r="C10" s="35">
        <v>0.03</v>
      </c>
      <c r="D10" s="35">
        <v>3.5000000000000003E-2</v>
      </c>
      <c r="F10" s="36" t="s">
        <v>408</v>
      </c>
    </row>
    <row r="11" spans="1:6" ht="15" customHeight="1" x14ac:dyDescent="0.25">
      <c r="A11" s="37" t="s">
        <v>409</v>
      </c>
      <c r="B11" s="41">
        <v>5</v>
      </c>
      <c r="C11" s="41">
        <v>5</v>
      </c>
      <c r="D11" s="41">
        <v>5</v>
      </c>
      <c r="F11" s="38" t="s">
        <v>410</v>
      </c>
    </row>
    <row r="12" spans="1:6" ht="15" customHeight="1" x14ac:dyDescent="0.25">
      <c r="A12" s="34" t="s">
        <v>411</v>
      </c>
      <c r="B12" s="41">
        <v>1</v>
      </c>
      <c r="C12" s="41">
        <v>1</v>
      </c>
      <c r="D12" s="41">
        <v>1</v>
      </c>
      <c r="F12" s="36" t="s">
        <v>412</v>
      </c>
    </row>
    <row r="14" spans="1:6" ht="15" customHeight="1" x14ac:dyDescent="0.25">
      <c r="A14" s="42" t="s">
        <v>413</v>
      </c>
    </row>
    <row r="15" spans="1:6" ht="38.25" x14ac:dyDescent="0.25">
      <c r="A15" s="92" t="s">
        <v>414</v>
      </c>
    </row>
    <row r="16" spans="1:6" ht="15" customHeight="1" x14ac:dyDescent="0.25">
      <c r="A16" s="43" t="s">
        <v>415</v>
      </c>
    </row>
    <row r="17" spans="1:9" ht="15" customHeight="1" x14ac:dyDescent="0.25">
      <c r="A17" s="44" t="s">
        <v>416</v>
      </c>
      <c r="B17" s="45" t="s">
        <v>96</v>
      </c>
      <c r="C17" s="46" t="s">
        <v>97</v>
      </c>
      <c r="D17" s="47" t="s">
        <v>98</v>
      </c>
      <c r="E17" s="48" t="s">
        <v>417</v>
      </c>
      <c r="F17" s="48" t="s">
        <v>418</v>
      </c>
      <c r="G17" s="48" t="s">
        <v>419</v>
      </c>
      <c r="H17" s="48" t="s">
        <v>420</v>
      </c>
      <c r="I17" s="48" t="s">
        <v>421</v>
      </c>
    </row>
    <row r="18" spans="1:9" ht="15" customHeight="1" x14ac:dyDescent="0.25">
      <c r="A18" s="49" t="s">
        <v>422</v>
      </c>
      <c r="B18" s="35">
        <v>0.12</v>
      </c>
      <c r="C18" s="35">
        <v>0.18</v>
      </c>
      <c r="D18" s="35">
        <v>0.26</v>
      </c>
    </row>
    <row r="19" spans="1:9" ht="15" customHeight="1" x14ac:dyDescent="0.25">
      <c r="A19" s="49" t="s">
        <v>423</v>
      </c>
      <c r="B19" s="35">
        <v>0.1</v>
      </c>
      <c r="C19" s="35">
        <v>0.13</v>
      </c>
      <c r="D19" s="35">
        <v>0.16</v>
      </c>
    </row>
    <row r="20" spans="1:9" ht="15" customHeight="1" x14ac:dyDescent="0.25">
      <c r="A20" s="49" t="s">
        <v>424</v>
      </c>
      <c r="B20" s="50">
        <v>10200</v>
      </c>
      <c r="C20" s="50">
        <v>10200</v>
      </c>
      <c r="D20" s="50">
        <v>10200</v>
      </c>
    </row>
    <row r="21" spans="1:9" ht="15" customHeight="1" x14ac:dyDescent="0.25">
      <c r="A21" s="49" t="s">
        <v>425</v>
      </c>
      <c r="B21" s="50">
        <v>1800</v>
      </c>
      <c r="C21" s="50">
        <v>1800</v>
      </c>
      <c r="D21" s="50">
        <v>1800</v>
      </c>
    </row>
    <row r="22" spans="1:9" ht="15" customHeight="1" x14ac:dyDescent="0.25">
      <c r="A22" s="49" t="s">
        <v>426</v>
      </c>
      <c r="B22" s="51">
        <v>380</v>
      </c>
      <c r="C22" s="51">
        <v>380</v>
      </c>
      <c r="D22" s="51">
        <v>380</v>
      </c>
    </row>
    <row r="23" spans="1:9" ht="15" customHeight="1" x14ac:dyDescent="0.25">
      <c r="A23" s="52" t="s">
        <v>427</v>
      </c>
    </row>
    <row r="24" spans="1:9" ht="15" customHeight="1" x14ac:dyDescent="0.25">
      <c r="A24" s="53" t="s">
        <v>428</v>
      </c>
      <c r="E24" s="54">
        <f>C20*(1+C18)</f>
        <v>12036</v>
      </c>
      <c r="F24" s="54">
        <f>E24*(1+C18)</f>
        <v>14202.48</v>
      </c>
      <c r="G24" s="54">
        <f>F24*(1+C18)</f>
        <v>16758.9264</v>
      </c>
      <c r="H24" s="54">
        <f>G24*(1+C18)</f>
        <v>19775.533152</v>
      </c>
      <c r="I24" s="54">
        <f>H24*(1+C18)</f>
        <v>23335.129119359997</v>
      </c>
    </row>
    <row r="25" spans="1:9" ht="15" customHeight="1" x14ac:dyDescent="0.25">
      <c r="A25" s="53" t="s">
        <v>429</v>
      </c>
      <c r="E25" s="54">
        <f>E24*C19</f>
        <v>1564.68</v>
      </c>
      <c r="F25" s="54">
        <f>F24*C19</f>
        <v>1846.3224</v>
      </c>
      <c r="G25" s="54">
        <f>G24*C19</f>
        <v>2178.6604320000001</v>
      </c>
      <c r="H25" s="54">
        <f>H24*C19</f>
        <v>2570.8193097600001</v>
      </c>
      <c r="I25" s="54">
        <f>I24*C19</f>
        <v>3033.5667855167999</v>
      </c>
    </row>
    <row r="26" spans="1:9" ht="15" customHeight="1" x14ac:dyDescent="0.25">
      <c r="A26" s="53" t="s">
        <v>430</v>
      </c>
      <c r="E26" s="54">
        <f>E25/((1+C9)^1)</f>
        <v>1414.4</v>
      </c>
      <c r="F26" s="54">
        <f>F25/((1+C9)^2)</f>
        <v>1508.6933333333336</v>
      </c>
      <c r="G26" s="54">
        <f>G25/((1+C9)^3)</f>
        <v>1609.2728888888892</v>
      </c>
      <c r="H26" s="54">
        <f>H25/((1+C9)^4)</f>
        <v>1716.5577481481487</v>
      </c>
      <c r="I26" s="54">
        <f>I25/((1+C9)^5)</f>
        <v>1830.994931358025</v>
      </c>
    </row>
    <row r="27" spans="1:9" ht="15" customHeight="1" x14ac:dyDescent="0.25">
      <c r="A27" s="55" t="s">
        <v>431</v>
      </c>
      <c r="B27" s="56">
        <f>(B20*(1+B18)^1*B19/((1+B9)^1))+(B20*(1+B18)^2*B19/((1+B9)^2))+(B20*(1+B18)^3*B19/((1+B9)^3))+(B20*(1+B18)^4*B19/((1+B9)^4))+(B20*(1+B18)^5*B19/((1+B9)^5))</f>
        <v>5214.6668593678305</v>
      </c>
      <c r="C27" s="56">
        <f>(C20*(1+C18)^1*C19/((1+C9)^1))+(C20*(1+C18)^2*C19/((1+C9)^2))+(C20*(1+C18)^3*C19/((1+C9)^3))+(C20*(1+C18)^4*C19/((1+C9)^4))+(C20*(1+C18)^5*C19/((1+C9)^5))</f>
        <v>8079.9189017283952</v>
      </c>
      <c r="D27" s="56">
        <f>(D20*(1+D18)^1*D19/((1+D9)^1))+(D20*(1+D18)^2*D19/((1+D9)^2))+(D20*(1+D18)^3*D19/((1+D9)^3))+(D20*(1+D18)^4*D19/((1+D9)^4))+(D20*(1+D18)^5*D19/((1+D9)^5))</f>
        <v>12463.317560038755</v>
      </c>
    </row>
    <row r="28" spans="1:9" ht="15" customHeight="1" x14ac:dyDescent="0.25">
      <c r="A28" s="55" t="s">
        <v>432</v>
      </c>
      <c r="B28" s="56">
        <f>(B20*(1+B18)^5*B19*(1+B10))/(B9-B10)</f>
        <v>21239.518498969461</v>
      </c>
      <c r="C28" s="56">
        <f>(C20*(1+C18)^5*C19*(1+C10))/(C9-C10)</f>
        <v>40978.016905997414</v>
      </c>
      <c r="D28" s="56">
        <f>(D20*(1+D18)^5*D19*(1+D10))/(D9-D10)</f>
        <v>81586.344079679271</v>
      </c>
    </row>
    <row r="29" spans="1:9" ht="15" customHeight="1" x14ac:dyDescent="0.25">
      <c r="A29" s="55" t="s">
        <v>433</v>
      </c>
      <c r="B29" s="56">
        <f>B28/((1+B9)^5)</f>
        <v>12505.727939785198</v>
      </c>
      <c r="C29" s="56">
        <f>C28/((1+C9)^5)</f>
        <v>24733.439728508398</v>
      </c>
      <c r="D29" s="56">
        <f>D28/((1+D9)^5)</f>
        <v>50486.353282472526</v>
      </c>
    </row>
    <row r="30" spans="1:9" ht="15" customHeight="1" x14ac:dyDescent="0.25">
      <c r="A30" s="55" t="s">
        <v>434</v>
      </c>
      <c r="B30" s="56">
        <f>B27+B29</f>
        <v>17720.394799153029</v>
      </c>
      <c r="C30" s="56">
        <f>C27+C29</f>
        <v>32813.358630236791</v>
      </c>
      <c r="D30" s="56">
        <f>D27+D29</f>
        <v>62949.670842511281</v>
      </c>
    </row>
    <row r="31" spans="1:9" ht="15" customHeight="1" x14ac:dyDescent="0.25">
      <c r="A31" s="55" t="s">
        <v>435</v>
      </c>
      <c r="B31" s="57">
        <f>B21</f>
        <v>1800</v>
      </c>
      <c r="C31" s="57">
        <f>C21</f>
        <v>1800</v>
      </c>
      <c r="D31" s="57">
        <f>D21</f>
        <v>1800</v>
      </c>
    </row>
    <row r="32" spans="1:9" ht="15" customHeight="1" x14ac:dyDescent="0.25">
      <c r="A32" s="55" t="s">
        <v>436</v>
      </c>
      <c r="B32" s="56">
        <f>B30-B31</f>
        <v>15920.394799153029</v>
      </c>
      <c r="C32" s="56">
        <f>C30-C31</f>
        <v>31013.358630236791</v>
      </c>
      <c r="D32" s="56">
        <f>D30-D31</f>
        <v>61149.670842511281</v>
      </c>
    </row>
    <row r="33" spans="1:9" ht="15" customHeight="1" x14ac:dyDescent="0.25">
      <c r="A33" s="58" t="s">
        <v>437</v>
      </c>
      <c r="B33" s="59">
        <f>B32/(B22)</f>
        <v>41.895775787244816</v>
      </c>
      <c r="C33" s="59">
        <f>C32/(C22)</f>
        <v>81.614101658517868</v>
      </c>
      <c r="D33" s="59">
        <f>D32/(D22)</f>
        <v>160.92018642766126</v>
      </c>
    </row>
    <row r="34" spans="1:9" ht="15" customHeight="1" x14ac:dyDescent="0.25">
      <c r="A34" s="60" t="s">
        <v>438</v>
      </c>
      <c r="B34" s="61">
        <v>108</v>
      </c>
      <c r="C34" s="61">
        <v>108</v>
      </c>
      <c r="D34" s="61">
        <v>108</v>
      </c>
    </row>
    <row r="35" spans="1:9" ht="15" customHeight="1" x14ac:dyDescent="0.25">
      <c r="A35" s="62" t="s">
        <v>439</v>
      </c>
      <c r="B35" s="63">
        <f>(B33/B34)-1</f>
        <v>-0.61207615011810357</v>
      </c>
      <c r="C35" s="63">
        <f>(C33/C34)-1</f>
        <v>-0.24431387353224199</v>
      </c>
      <c r="D35" s="63">
        <f>(D33/D34)-1</f>
        <v>0.49000172618204885</v>
      </c>
    </row>
    <row r="38" spans="1:9" ht="15" customHeight="1" x14ac:dyDescent="0.25">
      <c r="A38" s="64"/>
    </row>
    <row r="39" spans="1:9" ht="15" customHeight="1" x14ac:dyDescent="0.25">
      <c r="A39" s="43" t="s">
        <v>440</v>
      </c>
    </row>
    <row r="40" spans="1:9" ht="15" customHeight="1" x14ac:dyDescent="0.25">
      <c r="A40" s="44" t="s">
        <v>416</v>
      </c>
      <c r="B40" s="45" t="s">
        <v>96</v>
      </c>
      <c r="C40" s="46" t="s">
        <v>97</v>
      </c>
      <c r="D40" s="47" t="s">
        <v>98</v>
      </c>
      <c r="E40" s="48" t="s">
        <v>417</v>
      </c>
      <c r="F40" s="48" t="s">
        <v>418</v>
      </c>
      <c r="G40" s="48" t="s">
        <v>419</v>
      </c>
      <c r="H40" s="48" t="s">
        <v>420</v>
      </c>
      <c r="I40" s="48" t="s">
        <v>421</v>
      </c>
    </row>
    <row r="41" spans="1:9" ht="15" customHeight="1" x14ac:dyDescent="0.25">
      <c r="A41" s="49" t="s">
        <v>422</v>
      </c>
      <c r="B41" s="35">
        <v>0.1</v>
      </c>
      <c r="C41" s="35">
        <v>0.18</v>
      </c>
      <c r="D41" s="35">
        <v>0.28000000000000003</v>
      </c>
    </row>
    <row r="42" spans="1:9" ht="15" customHeight="1" x14ac:dyDescent="0.25">
      <c r="A42" s="49" t="s">
        <v>423</v>
      </c>
      <c r="B42" s="35">
        <v>7.0000000000000007E-2</v>
      </c>
      <c r="C42" s="35">
        <v>0.09</v>
      </c>
      <c r="D42" s="35">
        <v>0.12</v>
      </c>
    </row>
    <row r="43" spans="1:9" ht="15" customHeight="1" x14ac:dyDescent="0.25">
      <c r="A43" s="49" t="s">
        <v>424</v>
      </c>
      <c r="B43" s="50">
        <v>2580</v>
      </c>
      <c r="C43" s="50">
        <v>2580</v>
      </c>
      <c r="D43" s="50">
        <v>2580</v>
      </c>
    </row>
    <row r="44" spans="1:9" ht="15" customHeight="1" x14ac:dyDescent="0.25">
      <c r="A44" s="49" t="s">
        <v>425</v>
      </c>
      <c r="B44" s="50">
        <v>420</v>
      </c>
      <c r="C44" s="50">
        <v>420</v>
      </c>
      <c r="D44" s="50">
        <v>420</v>
      </c>
    </row>
    <row r="45" spans="1:9" ht="15" customHeight="1" x14ac:dyDescent="0.25">
      <c r="A45" s="49" t="s">
        <v>426</v>
      </c>
      <c r="B45" s="51">
        <v>51</v>
      </c>
      <c r="C45" s="51">
        <v>51</v>
      </c>
      <c r="D45" s="51">
        <v>51</v>
      </c>
    </row>
    <row r="46" spans="1:9" ht="15" customHeight="1" x14ac:dyDescent="0.25">
      <c r="A46" s="52" t="s">
        <v>427</v>
      </c>
    </row>
    <row r="47" spans="1:9" ht="15" customHeight="1" x14ac:dyDescent="0.25">
      <c r="A47" s="53" t="s">
        <v>428</v>
      </c>
      <c r="E47" s="54">
        <f>C43*(1+C41)</f>
        <v>3044.3999999999996</v>
      </c>
      <c r="F47" s="54">
        <f>E47*(1+C41)</f>
        <v>3592.3919999999994</v>
      </c>
      <c r="G47" s="54">
        <f>F47*(1+C41)</f>
        <v>4239.0225599999994</v>
      </c>
      <c r="H47" s="54">
        <f>G47*(1+C41)</f>
        <v>5002.0466207999989</v>
      </c>
      <c r="I47" s="54">
        <f>H47*(1+C41)</f>
        <v>5902.4150125439983</v>
      </c>
    </row>
    <row r="48" spans="1:9" ht="15" customHeight="1" x14ac:dyDescent="0.25">
      <c r="A48" s="53" t="s">
        <v>429</v>
      </c>
      <c r="E48" s="54">
        <f>E47*C42</f>
        <v>273.99599999999998</v>
      </c>
      <c r="F48" s="54">
        <f>F47*C42</f>
        <v>323.31527999999992</v>
      </c>
      <c r="G48" s="54">
        <f>G47*C42</f>
        <v>381.51203039999996</v>
      </c>
      <c r="H48" s="54">
        <f>H47*C42</f>
        <v>450.18419587199986</v>
      </c>
      <c r="I48" s="54">
        <f>I47*C42</f>
        <v>531.21735112895988</v>
      </c>
    </row>
    <row r="49" spans="1:9" ht="15" customHeight="1" x14ac:dyDescent="0.25">
      <c r="A49" s="53" t="s">
        <v>430</v>
      </c>
      <c r="E49" s="54">
        <f>E48/((1+C9)^1)</f>
        <v>247.68</v>
      </c>
      <c r="F49" s="54">
        <f>F48/((1+C9)^2)</f>
        <v>264.19199999999995</v>
      </c>
      <c r="G49" s="54">
        <f>G48/((1+C9)^3)</f>
        <v>281.8048</v>
      </c>
      <c r="H49" s="54">
        <f>H48/((1+C9)^4)</f>
        <v>300.59178666666668</v>
      </c>
      <c r="I49" s="54">
        <f>I48/((1+C9)^5)</f>
        <v>320.63123911111114</v>
      </c>
    </row>
    <row r="50" spans="1:9" ht="15" customHeight="1" x14ac:dyDescent="0.25">
      <c r="A50" s="55" t="s">
        <v>431</v>
      </c>
      <c r="B50" s="56">
        <f>(B43*(1+B41)^1*B42/((1+B9)^1))+(B43*(1+B41)^2*B42/((1+B9)^2))+(B43*(1+B41)^3*B42/((1+B9)^3))+(B43*(1+B41)^4*B42/((1+B9)^4))+(B43*(1+B41)^5*B42/((1+B9)^5))</f>
        <v>874.76907137199316</v>
      </c>
      <c r="C50" s="56">
        <f>(C43*(1+C41)^1*C42/((1+C9)^1))+(C43*(1+C41)^2*C42/((1+C9)^2))+(C43*(1+C41)^3*C42/((1+C9)^3))+(C43*(1+C41)^4*C42/((1+C9)^4))+(C43*(1+C41)^5*C42/((1+C9)^5))</f>
        <v>1414.8998257777776</v>
      </c>
      <c r="D50" s="56">
        <f>(D43*(1+D41)^1*D42/((1+D9)^1))+(D43*(1+D41)^2*D42/((1+D9)^2))+(D43*(1+D41)^3*D42/((1+D9)^3))+(D43*(1+D41)^4*D42/((1+D9)^4))+(D43*(1+D41)^5*D42/((1+D9)^5))</f>
        <v>2489.8406561396964</v>
      </c>
    </row>
    <row r="51" spans="1:9" ht="15" customHeight="1" x14ac:dyDescent="0.25">
      <c r="A51" s="55" t="s">
        <v>432</v>
      </c>
      <c r="B51" s="56">
        <f>(B43*(1+B41)^5*B42*(1+B10))/(B9-B10)</f>
        <v>3436.651972910664</v>
      </c>
      <c r="C51" s="56">
        <f>(C43*(1+C41)^5*C42*(1+C10))/(C9-C10)</f>
        <v>7175.7884808239814</v>
      </c>
      <c r="D51" s="56">
        <f>(D43*(1+D41)^5*D42*(1+D10))/(D9-D10)</f>
        <v>16745.394864925394</v>
      </c>
    </row>
    <row r="52" spans="1:9" ht="15" customHeight="1" x14ac:dyDescent="0.25">
      <c r="A52" s="55" t="s">
        <v>433</v>
      </c>
      <c r="B52" s="56">
        <f>B51/((1+B9)^5)</f>
        <v>2023.4844118067974</v>
      </c>
      <c r="C52" s="56">
        <f>C51/((1+C9)^5)</f>
        <v>4331.1498529107466</v>
      </c>
      <c r="D52" s="56">
        <f>D51/((1+D9)^5)</f>
        <v>10362.198852536796</v>
      </c>
    </row>
    <row r="53" spans="1:9" ht="15" customHeight="1" x14ac:dyDescent="0.25">
      <c r="A53" s="55" t="s">
        <v>434</v>
      </c>
      <c r="B53" s="56">
        <f>B50+B52</f>
        <v>2898.2534831787907</v>
      </c>
      <c r="C53" s="56">
        <f>C50+C52</f>
        <v>5746.0496786885242</v>
      </c>
      <c r="D53" s="56">
        <f>D50+D52</f>
        <v>12852.039508676493</v>
      </c>
    </row>
    <row r="54" spans="1:9" ht="15" customHeight="1" x14ac:dyDescent="0.25">
      <c r="A54" s="55" t="s">
        <v>435</v>
      </c>
      <c r="B54" s="57">
        <f>B44</f>
        <v>420</v>
      </c>
      <c r="C54" s="57">
        <f>C44</f>
        <v>420</v>
      </c>
      <c r="D54" s="57">
        <f>D44</f>
        <v>420</v>
      </c>
    </row>
    <row r="55" spans="1:9" ht="15" customHeight="1" x14ac:dyDescent="0.25">
      <c r="A55" s="55" t="s">
        <v>436</v>
      </c>
      <c r="B55" s="56">
        <f>B53-B54</f>
        <v>2478.2534831787907</v>
      </c>
      <c r="C55" s="56">
        <f>C53-C54</f>
        <v>5326.0496786885242</v>
      </c>
      <c r="D55" s="56">
        <f>D53-D54</f>
        <v>12432.039508676493</v>
      </c>
    </row>
    <row r="56" spans="1:9" ht="15" customHeight="1" x14ac:dyDescent="0.25">
      <c r="A56" s="58" t="s">
        <v>437</v>
      </c>
      <c r="B56" s="59">
        <f>B55/(B45)</f>
        <v>48.593205552525305</v>
      </c>
      <c r="C56" s="59">
        <f>C55/(C45)</f>
        <v>104.43234664095145</v>
      </c>
      <c r="D56" s="59">
        <f>D55/(D45)</f>
        <v>243.76548056228418</v>
      </c>
    </row>
    <row r="57" spans="1:9" ht="15" customHeight="1" x14ac:dyDescent="0.25">
      <c r="A57" s="60" t="s">
        <v>438</v>
      </c>
      <c r="B57" s="61">
        <v>97</v>
      </c>
      <c r="C57" s="61">
        <v>97</v>
      </c>
      <c r="D57" s="61">
        <v>97</v>
      </c>
    </row>
    <row r="58" spans="1:9" ht="15" customHeight="1" x14ac:dyDescent="0.25">
      <c r="A58" s="62" t="s">
        <v>439</v>
      </c>
      <c r="B58" s="63">
        <f>(B56/B57)-1</f>
        <v>-0.49903911801520306</v>
      </c>
      <c r="C58" s="63">
        <f>(C56/C57)-1</f>
        <v>7.6622130319087045E-2</v>
      </c>
      <c r="D58" s="63">
        <f>(D56/D57)-1</f>
        <v>1.5130461913637543</v>
      </c>
    </row>
    <row r="61" spans="1:9" ht="15" customHeight="1" x14ac:dyDescent="0.25">
      <c r="A61" s="64"/>
    </row>
    <row r="62" spans="1:9" ht="15" customHeight="1" x14ac:dyDescent="0.25">
      <c r="A62" s="43" t="s">
        <v>441</v>
      </c>
    </row>
    <row r="63" spans="1:9" ht="15" customHeight="1" x14ac:dyDescent="0.25">
      <c r="A63" s="44" t="s">
        <v>416</v>
      </c>
      <c r="B63" s="45" t="s">
        <v>96</v>
      </c>
      <c r="C63" s="46" t="s">
        <v>97</v>
      </c>
      <c r="D63" s="47" t="s">
        <v>98</v>
      </c>
      <c r="E63" s="48" t="s">
        <v>417</v>
      </c>
      <c r="F63" s="48" t="s">
        <v>418</v>
      </c>
      <c r="G63" s="48" t="s">
        <v>419</v>
      </c>
      <c r="H63" s="48" t="s">
        <v>420</v>
      </c>
      <c r="I63" s="48" t="s">
        <v>421</v>
      </c>
    </row>
    <row r="64" spans="1:9" ht="15" customHeight="1" x14ac:dyDescent="0.25">
      <c r="A64" s="49" t="s">
        <v>422</v>
      </c>
      <c r="B64" s="35">
        <v>0.06</v>
      </c>
      <c r="C64" s="35">
        <v>0.1</v>
      </c>
      <c r="D64" s="35">
        <v>0.14000000000000001</v>
      </c>
    </row>
    <row r="65" spans="1:9" ht="15" customHeight="1" x14ac:dyDescent="0.25">
      <c r="A65" s="49" t="s">
        <v>423</v>
      </c>
      <c r="B65" s="35">
        <v>0.12</v>
      </c>
      <c r="C65" s="35">
        <v>0.14000000000000001</v>
      </c>
      <c r="D65" s="35">
        <v>0.16</v>
      </c>
    </row>
    <row r="66" spans="1:9" ht="15" customHeight="1" x14ac:dyDescent="0.25">
      <c r="A66" s="49" t="s">
        <v>424</v>
      </c>
      <c r="B66" s="50">
        <v>24800</v>
      </c>
      <c r="C66" s="50">
        <v>24800</v>
      </c>
      <c r="D66" s="50">
        <v>24800</v>
      </c>
    </row>
    <row r="67" spans="1:9" ht="15" customHeight="1" x14ac:dyDescent="0.25">
      <c r="A67" s="49" t="s">
        <v>425</v>
      </c>
      <c r="B67" s="50">
        <v>5200</v>
      </c>
      <c r="C67" s="50">
        <v>5200</v>
      </c>
      <c r="D67" s="50">
        <v>5200</v>
      </c>
    </row>
    <row r="68" spans="1:9" ht="15" customHeight="1" x14ac:dyDescent="0.25">
      <c r="A68" s="49" t="s">
        <v>426</v>
      </c>
      <c r="B68" s="51">
        <v>399</v>
      </c>
      <c r="C68" s="51">
        <v>399</v>
      </c>
      <c r="D68" s="51">
        <v>399</v>
      </c>
    </row>
    <row r="69" spans="1:9" ht="15" customHeight="1" x14ac:dyDescent="0.25">
      <c r="A69" s="52" t="s">
        <v>427</v>
      </c>
    </row>
    <row r="70" spans="1:9" ht="15" customHeight="1" x14ac:dyDescent="0.25">
      <c r="A70" s="53" t="s">
        <v>428</v>
      </c>
      <c r="E70" s="54">
        <f>C66*(1+C64)</f>
        <v>27280.000000000004</v>
      </c>
      <c r="F70" s="54">
        <f>E70*(1+C64)</f>
        <v>30008.000000000007</v>
      </c>
      <c r="G70" s="54">
        <f>F70*(1+C64)</f>
        <v>33008.80000000001</v>
      </c>
      <c r="H70" s="54">
        <f>G70*(1+C64)</f>
        <v>36309.680000000015</v>
      </c>
      <c r="I70" s="54">
        <f>H70*(1+C64)</f>
        <v>39940.648000000023</v>
      </c>
    </row>
    <row r="71" spans="1:9" ht="15" customHeight="1" x14ac:dyDescent="0.25">
      <c r="A71" s="53" t="s">
        <v>429</v>
      </c>
      <c r="E71" s="54">
        <f>E70*C65</f>
        <v>3819.2000000000007</v>
      </c>
      <c r="F71" s="54">
        <f>F70*C65</f>
        <v>4201.1200000000017</v>
      </c>
      <c r="G71" s="54">
        <f>G70*C65</f>
        <v>4621.2320000000018</v>
      </c>
      <c r="H71" s="54">
        <f>H70*C65</f>
        <v>5083.3552000000027</v>
      </c>
      <c r="I71" s="54">
        <f>I70*C65</f>
        <v>5591.6907200000041</v>
      </c>
    </row>
    <row r="72" spans="1:9" ht="15" customHeight="1" x14ac:dyDescent="0.25">
      <c r="A72" s="53" t="s">
        <v>430</v>
      </c>
      <c r="E72" s="54">
        <f>E71/((1+C9)^1)</f>
        <v>3452.3841807909612</v>
      </c>
      <c r="F72" s="54">
        <f>F71/((1+C9)^2)</f>
        <v>3432.8791854192618</v>
      </c>
      <c r="G72" s="54">
        <f>G71/((1+C9)^3)</f>
        <v>3413.4843877615258</v>
      </c>
      <c r="H72" s="54">
        <f>H71/((1+C9)^4)</f>
        <v>3394.1991652318006</v>
      </c>
      <c r="I72" s="54">
        <f>I71/((1+C9)^5)</f>
        <v>3375.0228987615651</v>
      </c>
    </row>
    <row r="73" spans="1:9" ht="15" customHeight="1" x14ac:dyDescent="0.25">
      <c r="A73" s="55" t="s">
        <v>431</v>
      </c>
      <c r="B73" s="56">
        <f>(B66*(1+B64)^1*B65/((1+B9)^1))+(B66*(1+B64)^2*B65/((1+B9)^2))+(B66*(1+B64)^3*B65/((1+B9)^3))+(B66*(1+B64)^4*B65/((1+B9)^4))+(B66*(1+B64)^5*B65/((1+B9)^5))</f>
        <v>12926.631940713867</v>
      </c>
      <c r="C73" s="56">
        <f>(C66*(1+C64)^1*C65/((1+C9)^1))+(C66*(1+C64)^2*C65/((1+C9)^2))+(C66*(1+C64)^3*C65/((1+C9)^3))+(C66*(1+C64)^4*C65/((1+C9)^4))+(C66*(1+C64)^5*C65/((1+C9)^5))</f>
        <v>17067.96981796511</v>
      </c>
      <c r="D73" s="56">
        <f>(D66*(1+D64)^1*D65/((1+D9)^1))+(D66*(1+D64)^2*D65/((1+D9)^2))+(D66*(1+D64)^3*D65/((1+D9)^3))+(D66*(1+D64)^4*D65/((1+D9)^4))+(D66*(1+D64)^5*D65/((1+D9)^5))</f>
        <v>22065.974834775036</v>
      </c>
    </row>
    <row r="74" spans="1:9" ht="15" customHeight="1" x14ac:dyDescent="0.25">
      <c r="A74" s="55" t="s">
        <v>432</v>
      </c>
      <c r="B74" s="56">
        <f>(B66*(1+B64)^5*B65*(1+B10))/(B9-B10)</f>
        <v>47056.17639090537</v>
      </c>
      <c r="C74" s="56">
        <f>(C66*(1+C64)^5*C65*(1+C10))/(C9-C10)</f>
        <v>75533.658250491833</v>
      </c>
      <c r="D74" s="56">
        <f>(D66*(1+D64)^5*D65*(1+D10))/(D9-D10)</f>
        <v>120265.34813942079</v>
      </c>
    </row>
    <row r="75" spans="1:9" ht="15" customHeight="1" x14ac:dyDescent="0.25">
      <c r="A75" s="55" t="s">
        <v>433</v>
      </c>
      <c r="B75" s="56">
        <f>B74/((1+B9)^5)</f>
        <v>27706.453884995484</v>
      </c>
      <c r="C75" s="56">
        <f>C74/((1+C9)^5)</f>
        <v>45590.47325540211</v>
      </c>
      <c r="D75" s="56">
        <f>D74/((1+D9)^5)</f>
        <v>74421.264027672514</v>
      </c>
    </row>
    <row r="76" spans="1:9" ht="15" customHeight="1" x14ac:dyDescent="0.25">
      <c r="A76" s="55" t="s">
        <v>434</v>
      </c>
      <c r="B76" s="56">
        <f>B73+B75</f>
        <v>40633.08582570935</v>
      </c>
      <c r="C76" s="56">
        <f>C73+C75</f>
        <v>62658.44307336722</v>
      </c>
      <c r="D76" s="56">
        <f>D73+D75</f>
        <v>96487.238862447557</v>
      </c>
    </row>
    <row r="77" spans="1:9" ht="15" customHeight="1" x14ac:dyDescent="0.25">
      <c r="A77" s="55" t="s">
        <v>435</v>
      </c>
      <c r="B77" s="57">
        <f>B67</f>
        <v>5200</v>
      </c>
      <c r="C77" s="57">
        <f>C67</f>
        <v>5200</v>
      </c>
      <c r="D77" s="57">
        <f>D67</f>
        <v>5200</v>
      </c>
    </row>
    <row r="78" spans="1:9" ht="15" customHeight="1" x14ac:dyDescent="0.25">
      <c r="A78" s="55" t="s">
        <v>436</v>
      </c>
      <c r="B78" s="56">
        <f>B76-B77</f>
        <v>35433.08582570935</v>
      </c>
      <c r="C78" s="56">
        <f>C76-C77</f>
        <v>57458.44307336722</v>
      </c>
      <c r="D78" s="56">
        <f>D76-D77</f>
        <v>91287.238862447557</v>
      </c>
    </row>
    <row r="79" spans="1:9" ht="15" customHeight="1" x14ac:dyDescent="0.25">
      <c r="A79" s="58" t="s">
        <v>437</v>
      </c>
      <c r="B79" s="59">
        <f>B78/(B68)</f>
        <v>88.80472638022394</v>
      </c>
      <c r="C79" s="59">
        <f>C78/(C68)</f>
        <v>144.00612299089528</v>
      </c>
      <c r="D79" s="59">
        <f>D78/(D68)</f>
        <v>228.79007233696129</v>
      </c>
    </row>
    <row r="80" spans="1:9" ht="15" customHeight="1" x14ac:dyDescent="0.25">
      <c r="A80" s="60" t="s">
        <v>438</v>
      </c>
      <c r="B80" s="61">
        <v>320</v>
      </c>
      <c r="C80" s="61">
        <v>320</v>
      </c>
      <c r="D80" s="61">
        <v>320</v>
      </c>
    </row>
    <row r="81" spans="1:9" ht="15" customHeight="1" x14ac:dyDescent="0.25">
      <c r="A81" s="62" t="s">
        <v>439</v>
      </c>
      <c r="B81" s="63">
        <f>(B79/B80)-1</f>
        <v>-0.72248523006180021</v>
      </c>
      <c r="C81" s="63">
        <f>(C79/C80)-1</f>
        <v>-0.54998086565345228</v>
      </c>
      <c r="D81" s="63">
        <f>(D79/D80)-1</f>
        <v>-0.28503102394699598</v>
      </c>
    </row>
    <row r="84" spans="1:9" ht="15" customHeight="1" x14ac:dyDescent="0.25">
      <c r="A84" s="64"/>
    </row>
    <row r="85" spans="1:9" ht="15" customHeight="1" x14ac:dyDescent="0.25">
      <c r="A85" s="43" t="s">
        <v>442</v>
      </c>
    </row>
    <row r="86" spans="1:9" ht="15" customHeight="1" x14ac:dyDescent="0.25">
      <c r="A86" s="44" t="s">
        <v>416</v>
      </c>
      <c r="B86" s="45" t="s">
        <v>96</v>
      </c>
      <c r="C86" s="46" t="s">
        <v>97</v>
      </c>
      <c r="D86" s="47" t="s">
        <v>98</v>
      </c>
      <c r="E86" s="48" t="s">
        <v>417</v>
      </c>
      <c r="F86" s="48" t="s">
        <v>418</v>
      </c>
      <c r="G86" s="48" t="s">
        <v>419</v>
      </c>
      <c r="H86" s="48" t="s">
        <v>420</v>
      </c>
      <c r="I86" s="48" t="s">
        <v>421</v>
      </c>
    </row>
    <row r="87" spans="1:9" ht="15" customHeight="1" x14ac:dyDescent="0.25">
      <c r="A87" s="49" t="s">
        <v>422</v>
      </c>
      <c r="B87" s="35">
        <v>0.08</v>
      </c>
      <c r="C87" s="35">
        <v>0.14000000000000001</v>
      </c>
      <c r="D87" s="35">
        <v>0.2</v>
      </c>
    </row>
    <row r="88" spans="1:9" ht="15" customHeight="1" x14ac:dyDescent="0.25">
      <c r="A88" s="49" t="s">
        <v>423</v>
      </c>
      <c r="B88" s="35">
        <v>0.11</v>
      </c>
      <c r="C88" s="35">
        <v>0.13</v>
      </c>
      <c r="D88" s="35">
        <v>0.15</v>
      </c>
    </row>
    <row r="89" spans="1:9" ht="15" customHeight="1" x14ac:dyDescent="0.25">
      <c r="A89" s="49" t="s">
        <v>424</v>
      </c>
      <c r="B89" s="50">
        <v>3330</v>
      </c>
      <c r="C89" s="50">
        <v>3330</v>
      </c>
      <c r="D89" s="50">
        <v>3330</v>
      </c>
    </row>
    <row r="90" spans="1:9" ht="15" customHeight="1" x14ac:dyDescent="0.25">
      <c r="A90" s="49" t="s">
        <v>425</v>
      </c>
      <c r="B90" s="50">
        <v>900</v>
      </c>
      <c r="C90" s="50">
        <v>900</v>
      </c>
      <c r="D90" s="50">
        <v>900</v>
      </c>
    </row>
    <row r="91" spans="1:9" ht="15" customHeight="1" x14ac:dyDescent="0.25">
      <c r="A91" s="49" t="s">
        <v>426</v>
      </c>
      <c r="B91" s="51">
        <v>168</v>
      </c>
      <c r="C91" s="51">
        <v>168</v>
      </c>
      <c r="D91" s="51">
        <v>168</v>
      </c>
    </row>
    <row r="92" spans="1:9" ht="15" customHeight="1" x14ac:dyDescent="0.25">
      <c r="A92" s="52" t="s">
        <v>427</v>
      </c>
    </row>
    <row r="93" spans="1:9" ht="15" customHeight="1" x14ac:dyDescent="0.25">
      <c r="A93" s="53" t="s">
        <v>428</v>
      </c>
      <c r="E93" s="54">
        <f>C89*(1+C87)</f>
        <v>3796.2000000000003</v>
      </c>
      <c r="F93" s="54">
        <f>E93*(1+C87)</f>
        <v>4327.6680000000006</v>
      </c>
      <c r="G93" s="54">
        <f>F93*(1+C87)</f>
        <v>4933.5415200000016</v>
      </c>
      <c r="H93" s="54">
        <f>G93*(1+C87)</f>
        <v>5624.2373328000022</v>
      </c>
      <c r="I93" s="54">
        <f>H93*(1+C87)</f>
        <v>6411.6305593920033</v>
      </c>
    </row>
    <row r="94" spans="1:9" ht="15" customHeight="1" x14ac:dyDescent="0.25">
      <c r="A94" s="53" t="s">
        <v>429</v>
      </c>
      <c r="E94" s="54">
        <f>E93*C88</f>
        <v>493.50600000000003</v>
      </c>
      <c r="F94" s="54">
        <f>F93*C88</f>
        <v>562.59684000000004</v>
      </c>
      <c r="G94" s="54">
        <f>G93*C88</f>
        <v>641.36039760000028</v>
      </c>
      <c r="H94" s="54">
        <f>H93*C88</f>
        <v>731.15085326400026</v>
      </c>
      <c r="I94" s="54">
        <f>I93*C88</f>
        <v>833.51197272096044</v>
      </c>
    </row>
    <row r="95" spans="1:9" ht="15" customHeight="1" x14ac:dyDescent="0.25">
      <c r="A95" s="53" t="s">
        <v>430</v>
      </c>
      <c r="E95" s="54">
        <f>E94/((1+C9)^1)</f>
        <v>446.10711864406784</v>
      </c>
      <c r="F95" s="54">
        <f>F94/((1+C9)^2)</f>
        <v>459.71716633151402</v>
      </c>
      <c r="G95" s="54">
        <f>G94/((1+C9)^3)</f>
        <v>473.74243581281462</v>
      </c>
      <c r="H95" s="54">
        <f>H94/((1+C9)^4)</f>
        <v>488.19559487151071</v>
      </c>
      <c r="I95" s="54">
        <f>I94/((1+C9)^5)</f>
        <v>503.08969776589583</v>
      </c>
    </row>
    <row r="96" spans="1:9" ht="15" customHeight="1" x14ac:dyDescent="0.25">
      <c r="A96" s="55" t="s">
        <v>431</v>
      </c>
      <c r="B96" s="56">
        <f>(B89*(1+B87)^1*B88/((1+B9)^1))+(B89*(1+B87)^2*B88/((1+B9)^2))+(B89*(1+B87)^3*B88/((1+B9)^3))+(B89*(1+B87)^4*B88/((1+B9)^4))+(B89*(1+B87)^5*B88/((1+B9)^5))</f>
        <v>1680.4333950098576</v>
      </c>
      <c r="C96" s="56">
        <f>(C89*(1+C87)^1*C88/((1+C9)^1))+(C89*(1+C87)^2*C88/((1+C9)^2))+(C89*(1+C87)^3*C88/((1+C9)^3))+(C89*(1+C87)^4*C88/((1+C9)^4))+(C89*(1+C87)^5*C88/((1+C9)^5))</f>
        <v>2370.8520134258033</v>
      </c>
      <c r="D96" s="56">
        <f>(D89*(1+D87)^1*D88/((1+D9)^1))+(D89*(1+D87)^2*D88/((1+D9)^2))+(D89*(1+D87)^3*D88/((1+D9)^3))+(D89*(1+D87)^4*D88/((1+D9)^4))+(D89*(1+D87)^5*D88/((1+D9)^5))</f>
        <v>3259.9779730862315</v>
      </c>
    </row>
    <row r="97" spans="1:9" ht="15" customHeight="1" x14ac:dyDescent="0.25">
      <c r="A97" s="55" t="s">
        <v>432</v>
      </c>
      <c r="B97" s="56">
        <f>(B89*(1+B87)^5*B88*(1+B10))/(B9-B10)</f>
        <v>6359.3111976384571</v>
      </c>
      <c r="C97" s="56">
        <f>(C89*(1+C87)^5*C88*(1+C10))/(C9-C10)</f>
        <v>11259.243697083139</v>
      </c>
      <c r="D97" s="56">
        <f>(D89*(1+D87)^5*D88*(1+D10))/(D9-D10)</f>
        <v>19565.291169581746</v>
      </c>
    </row>
    <row r="98" spans="1:9" ht="15" customHeight="1" x14ac:dyDescent="0.25">
      <c r="A98" s="55" t="s">
        <v>433</v>
      </c>
      <c r="B98" s="56">
        <f>B97/((1+B9)^5)</f>
        <v>3744.332326834754</v>
      </c>
      <c r="C98" s="56">
        <f>C97/((1+C9)^5)</f>
        <v>6795.8346058868556</v>
      </c>
      <c r="D98" s="56">
        <f>D97/((1+D9)^5)</f>
        <v>12107.175694712501</v>
      </c>
    </row>
    <row r="99" spans="1:9" ht="15" customHeight="1" x14ac:dyDescent="0.25">
      <c r="A99" s="55" t="s">
        <v>434</v>
      </c>
      <c r="B99" s="56">
        <f>B96+B98</f>
        <v>5424.7657218446111</v>
      </c>
      <c r="C99" s="56">
        <f>C96+C98</f>
        <v>9166.6866193126589</v>
      </c>
      <c r="D99" s="56">
        <f>D96+D98</f>
        <v>15367.153667798733</v>
      </c>
    </row>
    <row r="100" spans="1:9" ht="15" customHeight="1" x14ac:dyDescent="0.25">
      <c r="A100" s="55" t="s">
        <v>435</v>
      </c>
      <c r="B100" s="57">
        <f>B90</f>
        <v>900</v>
      </c>
      <c r="C100" s="57">
        <f>C90</f>
        <v>900</v>
      </c>
      <c r="D100" s="57">
        <f>D90</f>
        <v>900</v>
      </c>
    </row>
    <row r="101" spans="1:9" ht="15" customHeight="1" x14ac:dyDescent="0.25">
      <c r="A101" s="55" t="s">
        <v>436</v>
      </c>
      <c r="B101" s="56">
        <f>B99-B100</f>
        <v>4524.7657218446111</v>
      </c>
      <c r="C101" s="56">
        <f>C99-C100</f>
        <v>8266.6866193126589</v>
      </c>
      <c r="D101" s="56">
        <f>D99-D100</f>
        <v>14467.153667798733</v>
      </c>
    </row>
    <row r="102" spans="1:9" ht="15" customHeight="1" x14ac:dyDescent="0.25">
      <c r="A102" s="58" t="s">
        <v>437</v>
      </c>
      <c r="B102" s="59">
        <f>B101/(B91)</f>
        <v>26.933129296694112</v>
      </c>
      <c r="C102" s="59">
        <f>C101/(C91)</f>
        <v>49.206467972099162</v>
      </c>
      <c r="D102" s="59">
        <f>D101/(D91)</f>
        <v>86.114009927373417</v>
      </c>
    </row>
    <row r="103" spans="1:9" ht="15" customHeight="1" x14ac:dyDescent="0.25">
      <c r="A103" s="60" t="s">
        <v>438</v>
      </c>
      <c r="B103" s="61">
        <v>57</v>
      </c>
      <c r="C103" s="61">
        <v>57</v>
      </c>
      <c r="D103" s="61">
        <v>57</v>
      </c>
    </row>
    <row r="104" spans="1:9" ht="15" customHeight="1" x14ac:dyDescent="0.25">
      <c r="A104" s="62" t="s">
        <v>439</v>
      </c>
      <c r="B104" s="63">
        <f>(B102/B103)-1</f>
        <v>-0.52748895970712084</v>
      </c>
      <c r="C104" s="63">
        <f>(C102/C103)-1</f>
        <v>-0.13672863206843577</v>
      </c>
      <c r="D104" s="63">
        <f>(D102/D103)-1</f>
        <v>0.51077210398900741</v>
      </c>
    </row>
    <row r="107" spans="1:9" ht="15" customHeight="1" x14ac:dyDescent="0.25">
      <c r="A107" s="64"/>
    </row>
    <row r="108" spans="1:9" ht="15" customHeight="1" x14ac:dyDescent="0.25">
      <c r="A108" s="43" t="s">
        <v>443</v>
      </c>
    </row>
    <row r="109" spans="1:9" ht="15" customHeight="1" x14ac:dyDescent="0.25">
      <c r="A109" s="44" t="s">
        <v>416</v>
      </c>
      <c r="B109" s="45" t="s">
        <v>96</v>
      </c>
      <c r="C109" s="46" t="s">
        <v>97</v>
      </c>
      <c r="D109" s="47" t="s">
        <v>98</v>
      </c>
      <c r="E109" s="48" t="s">
        <v>417</v>
      </c>
      <c r="F109" s="48" t="s">
        <v>418</v>
      </c>
      <c r="G109" s="48" t="s">
        <v>419</v>
      </c>
      <c r="H109" s="48" t="s">
        <v>420</v>
      </c>
      <c r="I109" s="48" t="s">
        <v>421</v>
      </c>
    </row>
    <row r="110" spans="1:9" ht="15" customHeight="1" x14ac:dyDescent="0.25">
      <c r="A110" s="49" t="s">
        <v>422</v>
      </c>
      <c r="B110" s="35">
        <v>7.0000000000000007E-2</v>
      </c>
      <c r="C110" s="35">
        <v>0.11</v>
      </c>
      <c r="D110" s="35">
        <v>0.15</v>
      </c>
    </row>
    <row r="111" spans="1:9" ht="15" customHeight="1" x14ac:dyDescent="0.25">
      <c r="A111" s="49" t="s">
        <v>423</v>
      </c>
      <c r="B111" s="35">
        <v>0.1</v>
      </c>
      <c r="C111" s="35">
        <v>0.12</v>
      </c>
      <c r="D111" s="35">
        <v>0.14000000000000001</v>
      </c>
    </row>
    <row r="112" spans="1:9" ht="15" customHeight="1" x14ac:dyDescent="0.25">
      <c r="A112" s="49" t="s">
        <v>424</v>
      </c>
      <c r="B112" s="50">
        <v>40000</v>
      </c>
      <c r="C112" s="50">
        <v>40000</v>
      </c>
      <c r="D112" s="50">
        <v>40000</v>
      </c>
    </row>
    <row r="113" spans="1:9" ht="15" customHeight="1" x14ac:dyDescent="0.25">
      <c r="A113" s="49" t="s">
        <v>425</v>
      </c>
      <c r="B113" s="50">
        <v>4500</v>
      </c>
      <c r="C113" s="50">
        <v>4500</v>
      </c>
      <c r="D113" s="50">
        <v>4500</v>
      </c>
    </row>
    <row r="114" spans="1:9" ht="15" customHeight="1" x14ac:dyDescent="0.25">
      <c r="A114" s="49" t="s">
        <v>426</v>
      </c>
      <c r="B114" s="51">
        <v>580</v>
      </c>
      <c r="C114" s="51">
        <v>580</v>
      </c>
      <c r="D114" s="51">
        <v>580</v>
      </c>
    </row>
    <row r="115" spans="1:9" ht="15" customHeight="1" x14ac:dyDescent="0.25">
      <c r="A115" s="52" t="s">
        <v>427</v>
      </c>
    </row>
    <row r="116" spans="1:9" ht="15" customHeight="1" x14ac:dyDescent="0.25">
      <c r="A116" s="53" t="s">
        <v>428</v>
      </c>
      <c r="E116" s="54">
        <f>C112*(1+C110)</f>
        <v>44400.000000000007</v>
      </c>
      <c r="F116" s="54">
        <f>E116*(1+C110)</f>
        <v>49284.000000000015</v>
      </c>
      <c r="G116" s="54">
        <f>F116*(1+C110)</f>
        <v>54705.24000000002</v>
      </c>
      <c r="H116" s="54">
        <f>G116*(1+C110)</f>
        <v>60722.816400000025</v>
      </c>
      <c r="I116" s="54">
        <f>H116*(1+C110)</f>
        <v>67402.326204000041</v>
      </c>
    </row>
    <row r="117" spans="1:9" ht="15" customHeight="1" x14ac:dyDescent="0.25">
      <c r="A117" s="53" t="s">
        <v>429</v>
      </c>
      <c r="E117" s="54">
        <f>E116*C111</f>
        <v>5328.0000000000009</v>
      </c>
      <c r="F117" s="54">
        <f>F116*C111</f>
        <v>5914.0800000000017</v>
      </c>
      <c r="G117" s="54">
        <f>G116*C111</f>
        <v>6564.6288000000022</v>
      </c>
      <c r="H117" s="54">
        <f>H116*C111</f>
        <v>7286.7379680000031</v>
      </c>
      <c r="I117" s="54">
        <f>I116*C111</f>
        <v>8088.279144480005</v>
      </c>
    </row>
    <row r="118" spans="1:9" ht="15" customHeight="1" x14ac:dyDescent="0.25">
      <c r="A118" s="53" t="s">
        <v>430</v>
      </c>
      <c r="E118" s="54">
        <f>E117/((1+C9)^1)</f>
        <v>4816.2711864406792</v>
      </c>
      <c r="F118" s="54">
        <f>F117/((1+C9)^2)</f>
        <v>4832.5975294455639</v>
      </c>
      <c r="G118" s="54">
        <f>G117/((1+C9)^3)</f>
        <v>4848.9792159860572</v>
      </c>
      <c r="H118" s="54">
        <f>H117/((1+C9)^4)</f>
        <v>4865.4164336673675</v>
      </c>
      <c r="I118" s="54">
        <f>I117/((1+C9)^5)</f>
        <v>4881.9093707306474</v>
      </c>
    </row>
    <row r="119" spans="1:9" ht="15" customHeight="1" x14ac:dyDescent="0.25">
      <c r="A119" s="55" t="s">
        <v>431</v>
      </c>
      <c r="B119" s="56">
        <f>(B112*(1+B110)^1*B111/((1+B9)^1))+(B112*(1+B110)^2*B111/((1+B9)^2))+(B112*(1+B110)^3*B111/((1+B9)^3))+(B112*(1+B110)^4*B111/((1+B9)^4))+(B112*(1+B110)^5*B111/((1+B9)^5))</f>
        <v>17856.486094245982</v>
      </c>
      <c r="C119" s="56">
        <f>(C112*(1+C110)^1*C111/((1+C9)^1))+(C112*(1+C110)^2*C111/((1+C9)^2))+(C112*(1+C110)^3*C111/((1+C9)^3))+(C112*(1+C110)^4*C111/((1+C9)^4))+(C112*(1+C110)^5*C111/((1+C9)^5))</f>
        <v>24245.17373627031</v>
      </c>
      <c r="D119" s="56">
        <f>(D112*(1+D110)^1*D111/((1+D9)^1))+(D112*(1+D110)^2*D111/((1+D9)^2))+(D112*(1+D110)^3*D111/((1+D9)^3))+(D112*(1+D110)^4*D111/((1+D9)^4))+(D112*(1+D110)^5*D111/((1+D9)^5))</f>
        <v>31990.214976731015</v>
      </c>
    </row>
    <row r="120" spans="1:9" ht="15" customHeight="1" x14ac:dyDescent="0.25">
      <c r="A120" s="55" t="s">
        <v>432</v>
      </c>
      <c r="B120" s="56">
        <f>(B112*(1+B110)^5*B111*(1+B10))/(B9-B10)</f>
        <v>66287.747502824219</v>
      </c>
      <c r="C120" s="56">
        <f>(C112*(1+C110)^5*C111*(1+C10))/(C9-C10)</f>
        <v>109258.06582051677</v>
      </c>
      <c r="D120" s="56">
        <f>(D112*(1+D110)^5*D111*(1+D10))/(D9-D10)</f>
        <v>177305.34233840299</v>
      </c>
    </row>
    <row r="121" spans="1:9" ht="15" customHeight="1" x14ac:dyDescent="0.25">
      <c r="A121" s="55" t="s">
        <v>433</v>
      </c>
      <c r="B121" s="56">
        <f>B120/((1+B9)^5)</f>
        <v>39029.911909336231</v>
      </c>
      <c r="C121" s="56">
        <f>C120/((1+C9)^5)</f>
        <v>65945.792155443487</v>
      </c>
      <c r="D121" s="56">
        <f>D120/((1+D9)^5)</f>
        <v>109718.11830940834</v>
      </c>
    </row>
    <row r="122" spans="1:9" ht="15" customHeight="1" x14ac:dyDescent="0.25">
      <c r="A122" s="55" t="s">
        <v>434</v>
      </c>
      <c r="B122" s="56">
        <f>B119+B121</f>
        <v>56886.398003582217</v>
      </c>
      <c r="C122" s="56">
        <f>C119+C121</f>
        <v>90190.9658917138</v>
      </c>
      <c r="D122" s="56">
        <f>D119+D121</f>
        <v>141708.33328613936</v>
      </c>
    </row>
    <row r="123" spans="1:9" ht="15" customHeight="1" x14ac:dyDescent="0.25">
      <c r="A123" s="55" t="s">
        <v>435</v>
      </c>
      <c r="B123" s="57">
        <f>B113</f>
        <v>4500</v>
      </c>
      <c r="C123" s="57">
        <f>C113</f>
        <v>4500</v>
      </c>
      <c r="D123" s="57">
        <f>D113</f>
        <v>4500</v>
      </c>
    </row>
    <row r="124" spans="1:9" ht="15" customHeight="1" x14ac:dyDescent="0.25">
      <c r="A124" s="55" t="s">
        <v>436</v>
      </c>
      <c r="B124" s="56">
        <f>B122-B123</f>
        <v>52386.398003582217</v>
      </c>
      <c r="C124" s="56">
        <f>C122-C123</f>
        <v>85690.9658917138</v>
      </c>
      <c r="D124" s="56">
        <f>D122-D123</f>
        <v>137208.33328613936</v>
      </c>
    </row>
    <row r="125" spans="1:9" ht="15" customHeight="1" x14ac:dyDescent="0.25">
      <c r="A125" s="58" t="s">
        <v>437</v>
      </c>
      <c r="B125" s="59">
        <f>B124/(B114)</f>
        <v>90.321375868245198</v>
      </c>
      <c r="C125" s="59">
        <f>C124/(C114)</f>
        <v>147.74304464088587</v>
      </c>
      <c r="D125" s="59">
        <f>D124/(D114)</f>
        <v>236.56609187265406</v>
      </c>
    </row>
    <row r="126" spans="1:9" ht="15" customHeight="1" x14ac:dyDescent="0.25">
      <c r="A126" s="60" t="s">
        <v>438</v>
      </c>
      <c r="B126" s="61">
        <v>230</v>
      </c>
      <c r="C126" s="61">
        <v>230</v>
      </c>
      <c r="D126" s="61">
        <v>230</v>
      </c>
    </row>
    <row r="127" spans="1:9" ht="15" customHeight="1" x14ac:dyDescent="0.25">
      <c r="A127" s="62" t="s">
        <v>439</v>
      </c>
      <c r="B127" s="63">
        <f>(B125/B126)-1</f>
        <v>-0.60729836579023821</v>
      </c>
      <c r="C127" s="63">
        <f>(C125/C126)-1</f>
        <v>-0.35763893634397448</v>
      </c>
      <c r="D127" s="63">
        <f>(D125/D126)-1</f>
        <v>2.8548225533278515E-2</v>
      </c>
    </row>
    <row r="130" spans="1:9" ht="15" customHeight="1" x14ac:dyDescent="0.25">
      <c r="A130" s="64"/>
    </row>
    <row r="131" spans="1:9" ht="15" customHeight="1" x14ac:dyDescent="0.25">
      <c r="A131" s="43" t="s">
        <v>444</v>
      </c>
    </row>
    <row r="132" spans="1:9" ht="15" customHeight="1" x14ac:dyDescent="0.25">
      <c r="A132" s="44" t="s">
        <v>416</v>
      </c>
      <c r="B132" s="45" t="s">
        <v>96</v>
      </c>
      <c r="C132" s="46" t="s">
        <v>97</v>
      </c>
      <c r="D132" s="47" t="s">
        <v>98</v>
      </c>
      <c r="E132" s="48" t="s">
        <v>417</v>
      </c>
      <c r="F132" s="48" t="s">
        <v>418</v>
      </c>
      <c r="G132" s="48" t="s">
        <v>419</v>
      </c>
      <c r="H132" s="48" t="s">
        <v>420</v>
      </c>
      <c r="I132" s="48" t="s">
        <v>421</v>
      </c>
    </row>
    <row r="133" spans="1:9" ht="15" customHeight="1" x14ac:dyDescent="0.25">
      <c r="A133" s="49" t="s">
        <v>422</v>
      </c>
      <c r="B133" s="35">
        <v>0.06</v>
      </c>
      <c r="C133" s="35">
        <v>0.1</v>
      </c>
      <c r="D133" s="35">
        <v>0.14000000000000001</v>
      </c>
    </row>
    <row r="134" spans="1:9" ht="15" customHeight="1" x14ac:dyDescent="0.25">
      <c r="A134" s="49" t="s">
        <v>423</v>
      </c>
      <c r="B134" s="35">
        <v>0.11</v>
      </c>
      <c r="C134" s="35">
        <v>0.13</v>
      </c>
      <c r="D134" s="35">
        <v>0.15</v>
      </c>
    </row>
    <row r="135" spans="1:9" ht="15" customHeight="1" x14ac:dyDescent="0.25">
      <c r="A135" s="49" t="s">
        <v>424</v>
      </c>
      <c r="B135" s="50">
        <v>20500</v>
      </c>
      <c r="C135" s="50">
        <v>20500</v>
      </c>
      <c r="D135" s="50">
        <v>20500</v>
      </c>
    </row>
    <row r="136" spans="1:9" ht="15" customHeight="1" x14ac:dyDescent="0.25">
      <c r="A136" s="49" t="s">
        <v>425</v>
      </c>
      <c r="B136" s="50">
        <v>3100</v>
      </c>
      <c r="C136" s="50">
        <v>3100</v>
      </c>
      <c r="D136" s="50">
        <v>3100</v>
      </c>
    </row>
    <row r="137" spans="1:9" ht="15" customHeight="1" x14ac:dyDescent="0.25">
      <c r="A137" s="49" t="s">
        <v>426</v>
      </c>
      <c r="B137" s="51">
        <v>228</v>
      </c>
      <c r="C137" s="51">
        <v>228</v>
      </c>
      <c r="D137" s="51">
        <v>228</v>
      </c>
    </row>
    <row r="138" spans="1:9" ht="15" customHeight="1" x14ac:dyDescent="0.25">
      <c r="A138" s="52" t="s">
        <v>427</v>
      </c>
    </row>
    <row r="139" spans="1:9" ht="15" customHeight="1" x14ac:dyDescent="0.25">
      <c r="A139" s="53" t="s">
        <v>428</v>
      </c>
      <c r="E139" s="54">
        <f>C135*(1+C133)</f>
        <v>22550.000000000004</v>
      </c>
      <c r="F139" s="54">
        <f>E139*(1+C133)</f>
        <v>24805.000000000007</v>
      </c>
      <c r="G139" s="54">
        <f>F139*(1+C133)</f>
        <v>27285.500000000011</v>
      </c>
      <c r="H139" s="54">
        <f>G139*(1+C133)</f>
        <v>30014.050000000014</v>
      </c>
      <c r="I139" s="54">
        <f>H139*(1+C133)</f>
        <v>33015.455000000016</v>
      </c>
    </row>
    <row r="140" spans="1:9" ht="15" customHeight="1" x14ac:dyDescent="0.25">
      <c r="A140" s="53" t="s">
        <v>429</v>
      </c>
      <c r="E140" s="54">
        <f>E139*C134</f>
        <v>2931.5000000000005</v>
      </c>
      <c r="F140" s="54">
        <f>F139*C134</f>
        <v>3224.650000000001</v>
      </c>
      <c r="G140" s="54">
        <f>G139*C134</f>
        <v>3547.1150000000016</v>
      </c>
      <c r="H140" s="54">
        <f>H139*C134</f>
        <v>3901.8265000000019</v>
      </c>
      <c r="I140" s="54">
        <f>I139*C134</f>
        <v>4292.0091500000026</v>
      </c>
    </row>
    <row r="141" spans="1:9" ht="15" customHeight="1" x14ac:dyDescent="0.25">
      <c r="A141" s="53" t="s">
        <v>430</v>
      </c>
      <c r="E141" s="54">
        <f>E140/((1+C9)^1)</f>
        <v>2649.9435028248595</v>
      </c>
      <c r="F141" s="54">
        <f>F140/((1+C9)^2)</f>
        <v>2634.9720706055105</v>
      </c>
      <c r="G141" s="54">
        <f>G140/((1+C9)^3)</f>
        <v>2620.0852227489827</v>
      </c>
      <c r="H141" s="54">
        <f>H140/((1+C9)^4)</f>
        <v>2605.2824813775201</v>
      </c>
      <c r="I141" s="54">
        <f>I140/((1+C9)^5)</f>
        <v>2590.5633713132402</v>
      </c>
    </row>
    <row r="142" spans="1:9" ht="15" customHeight="1" x14ac:dyDescent="0.25">
      <c r="A142" s="55" t="s">
        <v>431</v>
      </c>
      <c r="B142" s="56">
        <f>(B135*(1+B133)^1*B134/((1+B9)^1))+(B135*(1+B133)^2*B134/((1+B9)^2))+(B135*(1+B133)^3*B134/((1+B9)^3))+(B135*(1+B133)^4*B134/((1+B9)^4))+(B135*(1+B133)^5*B134/((1+B9)^5))</f>
        <v>9794.8773609911877</v>
      </c>
      <c r="C142" s="56">
        <f>(C135*(1+C133)^1*C134/((1+C9)^1))+(C135*(1+C133)^2*C134/((1+C9)^2))+(C135*(1+C133)^3*C134/((1+C9)^3))+(C135*(1+C133)^4*C134/((1+C9)^4))+(C135*(1+C133)^5*C134/((1+C9)^5))</f>
        <v>13100.846648870111</v>
      </c>
      <c r="D142" s="56">
        <f>(D135*(1+D133)^1*D134/((1+D9)^1))+(D135*(1+D133)^2*D134/((1+D9)^2))+(D135*(1+D133)^3*D134/((1+D9)^3))+(D135*(1+D133)^4*D134/((1+D9)^4))+(D135*(1+D133)^5*D134/((1+D9)^5))</f>
        <v>17100.018300638418</v>
      </c>
    </row>
    <row r="143" spans="1:9" ht="15" customHeight="1" x14ac:dyDescent="0.25">
      <c r="A143" s="55" t="s">
        <v>432</v>
      </c>
      <c r="B143" s="56">
        <f>(B135*(1+B133)^5*B134*(1+B10))/(B9-B10)</f>
        <v>35655.805699425953</v>
      </c>
      <c r="C143" s="56">
        <f>(C135*(1+C133)^5*C134*(1+C10))/(C9-C10)</f>
        <v>57977.303927868881</v>
      </c>
      <c r="D143" s="56">
        <f>(D135*(1+D133)^5*D134*(1+D10))/(D9-D10)</f>
        <v>93199.583046552129</v>
      </c>
    </row>
    <row r="144" spans="1:9" ht="15" customHeight="1" x14ac:dyDescent="0.25">
      <c r="A144" s="55" t="s">
        <v>433</v>
      </c>
      <c r="B144" s="56">
        <f>B143/((1+B9)^5)</f>
        <v>20993.969593637376</v>
      </c>
      <c r="C144" s="56">
        <f>C143/((1+C9)^5)</f>
        <v>34993.839638723111</v>
      </c>
      <c r="D144" s="56">
        <f>D143/((1+D9)^5)</f>
        <v>57672.728549670603</v>
      </c>
    </row>
    <row r="145" spans="1:9" ht="15" customHeight="1" x14ac:dyDescent="0.25">
      <c r="A145" s="55" t="s">
        <v>434</v>
      </c>
      <c r="B145" s="56">
        <f>B142+B144</f>
        <v>30788.846954628563</v>
      </c>
      <c r="C145" s="56">
        <f>C142+C144</f>
        <v>48094.68628759322</v>
      </c>
      <c r="D145" s="56">
        <f>D142+D144</f>
        <v>74772.74685030902</v>
      </c>
    </row>
    <row r="146" spans="1:9" ht="15" customHeight="1" x14ac:dyDescent="0.25">
      <c r="A146" s="55" t="s">
        <v>435</v>
      </c>
      <c r="B146" s="57">
        <f>B136</f>
        <v>3100</v>
      </c>
      <c r="C146" s="57">
        <f>C136</f>
        <v>3100</v>
      </c>
      <c r="D146" s="57">
        <f>D136</f>
        <v>3100</v>
      </c>
    </row>
    <row r="147" spans="1:9" ht="15" customHeight="1" x14ac:dyDescent="0.25">
      <c r="A147" s="55" t="s">
        <v>436</v>
      </c>
      <c r="B147" s="56">
        <f>B145-B146</f>
        <v>27688.846954628563</v>
      </c>
      <c r="C147" s="56">
        <f>C145-C146</f>
        <v>44994.68628759322</v>
      </c>
      <c r="D147" s="56">
        <f>D145-D146</f>
        <v>71672.74685030902</v>
      </c>
    </row>
    <row r="148" spans="1:9" ht="15" customHeight="1" x14ac:dyDescent="0.25">
      <c r="A148" s="58" t="s">
        <v>437</v>
      </c>
      <c r="B148" s="59">
        <f>B147/(B137)</f>
        <v>121.44231120451124</v>
      </c>
      <c r="C148" s="59">
        <f>C147/(C137)</f>
        <v>197.3451152964615</v>
      </c>
      <c r="D148" s="59">
        <f>D147/(D137)</f>
        <v>314.35415285223257</v>
      </c>
    </row>
    <row r="149" spans="1:9" ht="15" customHeight="1" x14ac:dyDescent="0.25">
      <c r="A149" s="60" t="s">
        <v>438</v>
      </c>
      <c r="B149" s="61">
        <v>390</v>
      </c>
      <c r="C149" s="61">
        <v>390</v>
      </c>
      <c r="D149" s="61">
        <v>390</v>
      </c>
    </row>
    <row r="150" spans="1:9" ht="15" customHeight="1" x14ac:dyDescent="0.25">
      <c r="A150" s="62" t="s">
        <v>439</v>
      </c>
      <c r="B150" s="63">
        <f>(B148/B149)-1</f>
        <v>-0.68860945844997112</v>
      </c>
      <c r="C150" s="63">
        <f>(C148/C149)-1</f>
        <v>-0.49398688385522693</v>
      </c>
      <c r="D150" s="63">
        <f>(D148/D149)-1</f>
        <v>-0.19396371063530105</v>
      </c>
    </row>
    <row r="153" spans="1:9" ht="15" customHeight="1" x14ac:dyDescent="0.25">
      <c r="A153" s="64"/>
    </row>
    <row r="154" spans="1:9" ht="15" customHeight="1" x14ac:dyDescent="0.25">
      <c r="A154" s="43" t="s">
        <v>445</v>
      </c>
    </row>
    <row r="155" spans="1:9" ht="15" customHeight="1" x14ac:dyDescent="0.25">
      <c r="A155" s="44" t="s">
        <v>416</v>
      </c>
      <c r="B155" s="45" t="s">
        <v>96</v>
      </c>
      <c r="C155" s="46" t="s">
        <v>97</v>
      </c>
      <c r="D155" s="47" t="s">
        <v>98</v>
      </c>
      <c r="E155" s="48" t="s">
        <v>417</v>
      </c>
      <c r="F155" s="48" t="s">
        <v>418</v>
      </c>
      <c r="G155" s="48" t="s">
        <v>419</v>
      </c>
      <c r="H155" s="48" t="s">
        <v>420</v>
      </c>
      <c r="I155" s="48" t="s">
        <v>421</v>
      </c>
    </row>
    <row r="156" spans="1:9" ht="15" customHeight="1" x14ac:dyDescent="0.25">
      <c r="A156" s="49" t="s">
        <v>422</v>
      </c>
      <c r="B156" s="35">
        <v>0.08</v>
      </c>
      <c r="C156" s="35">
        <v>0.15</v>
      </c>
      <c r="D156" s="35">
        <v>0.22</v>
      </c>
    </row>
    <row r="157" spans="1:9" ht="15" customHeight="1" x14ac:dyDescent="0.25">
      <c r="A157" s="49" t="s">
        <v>423</v>
      </c>
      <c r="B157" s="35">
        <v>0.08</v>
      </c>
      <c r="C157" s="35">
        <v>0.11</v>
      </c>
      <c r="D157" s="35">
        <v>0.14000000000000001</v>
      </c>
    </row>
    <row r="158" spans="1:9" ht="15" customHeight="1" x14ac:dyDescent="0.25">
      <c r="A158" s="49" t="s">
        <v>424</v>
      </c>
      <c r="B158" s="50">
        <v>1200</v>
      </c>
      <c r="C158" s="50">
        <v>1200</v>
      </c>
      <c r="D158" s="50">
        <v>1200</v>
      </c>
    </row>
    <row r="159" spans="1:9" ht="15" customHeight="1" x14ac:dyDescent="0.25">
      <c r="A159" s="49" t="s">
        <v>425</v>
      </c>
      <c r="B159" s="50">
        <v>180</v>
      </c>
      <c r="C159" s="50">
        <v>180</v>
      </c>
      <c r="D159" s="50">
        <v>180</v>
      </c>
    </row>
    <row r="160" spans="1:9" ht="15" customHeight="1" x14ac:dyDescent="0.25">
      <c r="A160" s="49" t="s">
        <v>426</v>
      </c>
      <c r="B160" s="51">
        <v>147</v>
      </c>
      <c r="C160" s="51">
        <v>147</v>
      </c>
      <c r="D160" s="51">
        <v>147</v>
      </c>
    </row>
    <row r="161" spans="1:9" ht="15" customHeight="1" x14ac:dyDescent="0.25">
      <c r="A161" s="52" t="s">
        <v>427</v>
      </c>
    </row>
    <row r="162" spans="1:9" ht="15" customHeight="1" x14ac:dyDescent="0.25">
      <c r="A162" s="53" t="s">
        <v>428</v>
      </c>
      <c r="E162" s="54">
        <f>C158*(1+C156)</f>
        <v>1380</v>
      </c>
      <c r="F162" s="54">
        <f>E162*(1+C156)</f>
        <v>1586.9999999999998</v>
      </c>
      <c r="G162" s="54">
        <f>F162*(1+C156)</f>
        <v>1825.0499999999995</v>
      </c>
      <c r="H162" s="54">
        <f>G162*(1+C156)</f>
        <v>2098.8074999999994</v>
      </c>
      <c r="I162" s="54">
        <f>H162*(1+C156)</f>
        <v>2413.6286249999994</v>
      </c>
    </row>
    <row r="163" spans="1:9" ht="15" customHeight="1" x14ac:dyDescent="0.25">
      <c r="A163" s="53" t="s">
        <v>429</v>
      </c>
      <c r="E163" s="54">
        <f>E162*C157</f>
        <v>151.80000000000001</v>
      </c>
      <c r="F163" s="54">
        <f>F162*C157</f>
        <v>174.56999999999996</v>
      </c>
      <c r="G163" s="54">
        <f>G162*C157</f>
        <v>200.75549999999996</v>
      </c>
      <c r="H163" s="54">
        <f>H162*C157</f>
        <v>230.86882499999993</v>
      </c>
      <c r="I163" s="54">
        <f>I162*C157</f>
        <v>265.49914874999996</v>
      </c>
    </row>
    <row r="164" spans="1:9" ht="15" customHeight="1" x14ac:dyDescent="0.25">
      <c r="A164" s="53" t="s">
        <v>430</v>
      </c>
      <c r="E164" s="54">
        <f>E163/((1+C9)^1)</f>
        <v>137.22033898305085</v>
      </c>
      <c r="F164" s="54">
        <f>F163/((1+C9)^2)</f>
        <v>142.64713205017713</v>
      </c>
      <c r="G164" s="54">
        <f>G163/((1+C9)^3)</f>
        <v>148.28854405216154</v>
      </c>
      <c r="H164" s="54">
        <f>H163/((1+C9)^4)</f>
        <v>154.15306274348998</v>
      </c>
      <c r="I164" s="54">
        <f>I163/((1+C9)^5)</f>
        <v>160.24951155255457</v>
      </c>
    </row>
    <row r="165" spans="1:9" ht="15" customHeight="1" x14ac:dyDescent="0.25">
      <c r="A165" s="55" t="s">
        <v>431</v>
      </c>
      <c r="B165" s="56">
        <f>(B158*(1+B156)^1*B157/((1+B9)^1))+(B158*(1+B156)^2*B157/((1+B9)^2))+(B158*(1+B156)^3*B157/((1+B9)^3))+(B158*(1+B156)^4*B157/((1+B9)^4))+(B158*(1+B156)^5*B157/((1+B9)^5))</f>
        <v>440.40842457260806</v>
      </c>
      <c r="C165" s="56">
        <f>(C158*(1+C156)^1*C157/((1+C9)^1))+(C158*(1+C156)^2*C157/((1+C9)^2))+(C158*(1+C156)^3*C157/((1+C9)^3))+(C158*(1+C156)^4*C157/((1+C9)^4))+(C158*(1+C156)^5*C157/((1+C9)^5))</f>
        <v>742.5585893814341</v>
      </c>
      <c r="D165" s="56">
        <f>(D158*(1+D156)^1*D157/((1+D9)^1))+(D158*(1+D156)^2*D157/((1+D9)^2))+(D158*(1+D156)^3*D157/((1+D9)^3))+(D158*(1+D156)^4*D157/((1+D9)^4))+(D158*(1+D156)^5*D157/((1+D9)^5))</f>
        <v>1155.7849618474738</v>
      </c>
    </row>
    <row r="166" spans="1:9" ht="15" customHeight="1" x14ac:dyDescent="0.25">
      <c r="A166" s="55" t="s">
        <v>432</v>
      </c>
      <c r="B166" s="56">
        <f>(B158*(1+B156)^5*B157*(1+B10))/(B9-B10)</f>
        <v>1666.6499453270319</v>
      </c>
      <c r="C166" s="56">
        <f>(C158*(1+C156)^5*C157*(1+C10))/(C9-C10)</f>
        <v>3586.414730655737</v>
      </c>
      <c r="D166" s="56">
        <f>(D158*(1+D156)^5*D157*(1+D10))/(D9-D10)</f>
        <v>7147.4812991211547</v>
      </c>
    </row>
    <row r="167" spans="1:9" ht="15" customHeight="1" x14ac:dyDescent="0.25">
      <c r="A167" s="55" t="s">
        <v>433</v>
      </c>
      <c r="B167" s="56">
        <f>B166/((1+B9)^5)</f>
        <v>981.31559753244971</v>
      </c>
      <c r="C167" s="56">
        <f>C166/((1+C9)^5)</f>
        <v>2164.6819265459831</v>
      </c>
      <c r="D167" s="56">
        <f>D166/((1+D9)^5)</f>
        <v>4422.924816864951</v>
      </c>
    </row>
    <row r="168" spans="1:9" ht="15" customHeight="1" x14ac:dyDescent="0.25">
      <c r="A168" s="55" t="s">
        <v>434</v>
      </c>
      <c r="B168" s="56">
        <f>B165+B167</f>
        <v>1421.7240221050579</v>
      </c>
      <c r="C168" s="56">
        <f>C165+C167</f>
        <v>2907.2405159274172</v>
      </c>
      <c r="D168" s="56">
        <f>D165+D167</f>
        <v>5578.7097787124248</v>
      </c>
    </row>
    <row r="169" spans="1:9" ht="15" customHeight="1" x14ac:dyDescent="0.25">
      <c r="A169" s="55" t="s">
        <v>435</v>
      </c>
      <c r="B169" s="57">
        <f>B159</f>
        <v>180</v>
      </c>
      <c r="C169" s="57">
        <f>C159</f>
        <v>180</v>
      </c>
      <c r="D169" s="57">
        <f>D159</f>
        <v>180</v>
      </c>
    </row>
    <row r="170" spans="1:9" ht="15" customHeight="1" x14ac:dyDescent="0.25">
      <c r="A170" s="55" t="s">
        <v>436</v>
      </c>
      <c r="B170" s="56">
        <f>B168-B169</f>
        <v>1241.7240221050579</v>
      </c>
      <c r="C170" s="56">
        <f>C168-C169</f>
        <v>2727.2405159274172</v>
      </c>
      <c r="D170" s="56">
        <f>D168-D169</f>
        <v>5398.7097787124248</v>
      </c>
    </row>
    <row r="171" spans="1:9" ht="15" customHeight="1" x14ac:dyDescent="0.25">
      <c r="A171" s="58" t="s">
        <v>437</v>
      </c>
      <c r="B171" s="59">
        <f>B170/(B160)</f>
        <v>8.4471021911908704</v>
      </c>
      <c r="C171" s="59">
        <f>C170/(C160)</f>
        <v>18.552656570934811</v>
      </c>
      <c r="D171" s="59">
        <f>D170/(D160)</f>
        <v>36.725916861989283</v>
      </c>
    </row>
    <row r="172" spans="1:9" ht="15" customHeight="1" x14ac:dyDescent="0.25">
      <c r="A172" s="60" t="s">
        <v>438</v>
      </c>
      <c r="B172" s="61">
        <v>18</v>
      </c>
      <c r="C172" s="61">
        <v>18</v>
      </c>
      <c r="D172" s="61">
        <v>18</v>
      </c>
    </row>
    <row r="173" spans="1:9" ht="15" customHeight="1" x14ac:dyDescent="0.25">
      <c r="A173" s="62" t="s">
        <v>439</v>
      </c>
      <c r="B173" s="63">
        <f>(B171/B172)-1</f>
        <v>-0.53071654493384046</v>
      </c>
      <c r="C173" s="63">
        <f>(C171/C172)-1</f>
        <v>3.070314282971176E-2</v>
      </c>
      <c r="D173" s="63">
        <f>(D171/D172)-1</f>
        <v>1.0403287145549602</v>
      </c>
    </row>
    <row r="176" spans="1:9" ht="15" customHeight="1" x14ac:dyDescent="0.25">
      <c r="A176" s="64"/>
    </row>
    <row r="177" spans="1:9" ht="15" customHeight="1" x14ac:dyDescent="0.25">
      <c r="A177" s="43" t="s">
        <v>446</v>
      </c>
    </row>
    <row r="178" spans="1:9" ht="15" customHeight="1" x14ac:dyDescent="0.25">
      <c r="A178" s="44" t="s">
        <v>416</v>
      </c>
      <c r="B178" s="45" t="s">
        <v>96</v>
      </c>
      <c r="C178" s="46" t="s">
        <v>97</v>
      </c>
      <c r="D178" s="47" t="s">
        <v>98</v>
      </c>
      <c r="E178" s="48" t="s">
        <v>417</v>
      </c>
      <c r="F178" s="48" t="s">
        <v>418</v>
      </c>
      <c r="G178" s="48" t="s">
        <v>419</v>
      </c>
      <c r="H178" s="48" t="s">
        <v>420</v>
      </c>
      <c r="I178" s="48" t="s">
        <v>421</v>
      </c>
    </row>
    <row r="179" spans="1:9" ht="15" customHeight="1" x14ac:dyDescent="0.25">
      <c r="A179" s="49" t="s">
        <v>422</v>
      </c>
      <c r="B179" s="35">
        <v>7.0000000000000007E-2</v>
      </c>
      <c r="C179" s="35">
        <v>0.11</v>
      </c>
      <c r="D179" s="35">
        <v>0.15</v>
      </c>
    </row>
    <row r="180" spans="1:9" ht="15" customHeight="1" x14ac:dyDescent="0.25">
      <c r="A180" s="49" t="s">
        <v>423</v>
      </c>
      <c r="B180" s="35">
        <v>0.05</v>
      </c>
      <c r="C180" s="35">
        <v>7.0000000000000007E-2</v>
      </c>
      <c r="D180" s="35">
        <v>0.09</v>
      </c>
    </row>
    <row r="181" spans="1:9" ht="15" customHeight="1" x14ac:dyDescent="0.25">
      <c r="A181" s="49" t="s">
        <v>424</v>
      </c>
      <c r="B181" s="50">
        <v>16500</v>
      </c>
      <c r="C181" s="50">
        <v>16500</v>
      </c>
      <c r="D181" s="50">
        <v>16500</v>
      </c>
    </row>
    <row r="182" spans="1:9" ht="15" customHeight="1" x14ac:dyDescent="0.25">
      <c r="A182" s="49" t="s">
        <v>425</v>
      </c>
      <c r="B182" s="50">
        <v>300</v>
      </c>
      <c r="C182" s="50">
        <v>300</v>
      </c>
      <c r="D182" s="50">
        <v>300</v>
      </c>
    </row>
    <row r="183" spans="1:9" ht="15" customHeight="1" x14ac:dyDescent="0.25">
      <c r="A183" s="49" t="s">
        <v>426</v>
      </c>
      <c r="B183" s="51">
        <v>47</v>
      </c>
      <c r="C183" s="51">
        <v>47</v>
      </c>
      <c r="D183" s="51">
        <v>47</v>
      </c>
    </row>
    <row r="184" spans="1:9" ht="15" customHeight="1" x14ac:dyDescent="0.25">
      <c r="A184" s="52" t="s">
        <v>427</v>
      </c>
    </row>
    <row r="185" spans="1:9" ht="15" customHeight="1" x14ac:dyDescent="0.25">
      <c r="A185" s="53" t="s">
        <v>428</v>
      </c>
      <c r="E185" s="54">
        <f>C181*(1+C179)</f>
        <v>18315</v>
      </c>
      <c r="F185" s="54">
        <f>E185*(1+C179)</f>
        <v>20329.650000000001</v>
      </c>
      <c r="G185" s="54">
        <f>F185*(1+C179)</f>
        <v>22565.911500000002</v>
      </c>
      <c r="H185" s="54">
        <f>G185*(1+C179)</f>
        <v>25048.161765000004</v>
      </c>
      <c r="I185" s="54">
        <f>H185*(1+C179)</f>
        <v>27803.459559150007</v>
      </c>
    </row>
    <row r="186" spans="1:9" ht="15" customHeight="1" x14ac:dyDescent="0.25">
      <c r="A186" s="53" t="s">
        <v>429</v>
      </c>
      <c r="E186" s="54">
        <f>E185*C180</f>
        <v>1282.0500000000002</v>
      </c>
      <c r="F186" s="54">
        <f>F185*C180</f>
        <v>1423.0755000000001</v>
      </c>
      <c r="G186" s="54">
        <f>G185*C180</f>
        <v>1579.6138050000002</v>
      </c>
      <c r="H186" s="54">
        <f>H185*C180</f>
        <v>1753.3713235500004</v>
      </c>
      <c r="I186" s="54">
        <f>I185*C180</f>
        <v>1946.2421691405007</v>
      </c>
    </row>
    <row r="187" spans="1:9" ht="15" customHeight="1" x14ac:dyDescent="0.25">
      <c r="A187" s="53" t="s">
        <v>430</v>
      </c>
      <c r="E187" s="54">
        <f>E186/((1+C9)^1)</f>
        <v>1158.9152542372883</v>
      </c>
      <c r="F187" s="54">
        <f>F186/((1+C9)^2)</f>
        <v>1162.8437805228384</v>
      </c>
      <c r="G187" s="54">
        <f>G186/((1+C9)^3)</f>
        <v>1166.7856238466447</v>
      </c>
      <c r="H187" s="54">
        <f>H186/((1+C9)^4)</f>
        <v>1170.7408293512101</v>
      </c>
      <c r="I187" s="54">
        <f>I186/((1+C9)^5)</f>
        <v>1174.7094423320616</v>
      </c>
    </row>
    <row r="188" spans="1:9" ht="15" customHeight="1" x14ac:dyDescent="0.25">
      <c r="A188" s="55" t="s">
        <v>431</v>
      </c>
      <c r="B188" s="56">
        <f>(B181*(1+B179)^1*B180/((1+B9)^1))+(B181*(1+B179)^2*B180/((1+B9)^2))+(B181*(1+B179)^3*B180/((1+B9)^3))+(B181*(1+B179)^4*B180/((1+B9)^4))+(B181*(1+B179)^5*B180/((1+B9)^5))</f>
        <v>3682.9002569382342</v>
      </c>
      <c r="C188" s="56">
        <f>(C181*(1+C179)^1*C180/((1+C9)^1))+(C181*(1+C179)^2*C180/((1+C9)^2))+(C181*(1+C179)^3*C180/((1+C9)^3))+(C181*(1+C179)^4*C180/((1+C9)^4))+(C181*(1+C179)^5*C180/((1+C9)^5))</f>
        <v>5833.9949302900441</v>
      </c>
      <c r="D188" s="56">
        <f>(D181*(1+D179)^1*D180/((1+D9)^1))+(D181*(1+D179)^2*D180/((1+D9)^2))+(D181*(1+D179)^3*D180/((1+D9)^3))+(D181*(1+D179)^4*D180/((1+D9)^4))+(D181*(1+D179)^5*D180/((1+D9)^5))</f>
        <v>8483.1195072224218</v>
      </c>
    </row>
    <row r="189" spans="1:9" ht="15" customHeight="1" x14ac:dyDescent="0.25">
      <c r="A189" s="55" t="s">
        <v>432</v>
      </c>
      <c r="B189" s="56">
        <f>(B181*(1+B179)^5*B180*(1+B10))/(B9-B10)</f>
        <v>13671.847922457497</v>
      </c>
      <c r="C189" s="56">
        <f>(C181*(1+C179)^5*C180*(1+C10))/(C9-C10)</f>
        <v>26290.222088061848</v>
      </c>
      <c r="D189" s="56">
        <f>(D181*(1+D179)^5*D180*(1+D10))/(D9-D10)</f>
        <v>47017.577387951504</v>
      </c>
    </row>
    <row r="190" spans="1:9" ht="15" customHeight="1" x14ac:dyDescent="0.25">
      <c r="A190" s="55" t="s">
        <v>433</v>
      </c>
      <c r="B190" s="56">
        <f>B189/((1+B9)^5)</f>
        <v>8049.9193313005981</v>
      </c>
      <c r="C190" s="56">
        <f>C189/((1+C9)^5)</f>
        <v>15868.206237403589</v>
      </c>
      <c r="D190" s="56">
        <f>D189/((1+D9)^5)</f>
        <v>29094.893873119887</v>
      </c>
    </row>
    <row r="191" spans="1:9" ht="15" customHeight="1" x14ac:dyDescent="0.25">
      <c r="A191" s="55" t="s">
        <v>434</v>
      </c>
      <c r="B191" s="56">
        <f>B188+B190</f>
        <v>11732.819588238832</v>
      </c>
      <c r="C191" s="56">
        <f>C188+C190</f>
        <v>21702.201167693631</v>
      </c>
      <c r="D191" s="56">
        <f>D188+D190</f>
        <v>37578.013380342309</v>
      </c>
    </row>
    <row r="192" spans="1:9" ht="15" customHeight="1" x14ac:dyDescent="0.25">
      <c r="A192" s="55" t="s">
        <v>435</v>
      </c>
      <c r="B192" s="57">
        <f>B182</f>
        <v>300</v>
      </c>
      <c r="C192" s="57">
        <f>C182</f>
        <v>300</v>
      </c>
      <c r="D192" s="57">
        <f>D182</f>
        <v>300</v>
      </c>
    </row>
    <row r="193" spans="1:9" ht="15" customHeight="1" x14ac:dyDescent="0.25">
      <c r="A193" s="55" t="s">
        <v>436</v>
      </c>
      <c r="B193" s="56">
        <f>B191-B192</f>
        <v>11432.819588238832</v>
      </c>
      <c r="C193" s="56">
        <f>C191-C192</f>
        <v>21402.201167693631</v>
      </c>
      <c r="D193" s="56">
        <f>D191-D192</f>
        <v>37278.013380342309</v>
      </c>
    </row>
    <row r="194" spans="1:9" ht="15" customHeight="1" x14ac:dyDescent="0.25">
      <c r="A194" s="58" t="s">
        <v>437</v>
      </c>
      <c r="B194" s="59">
        <f>B193/(B183)</f>
        <v>243.2514806008262</v>
      </c>
      <c r="C194" s="59">
        <f>C193/(C183)</f>
        <v>455.36598229135387</v>
      </c>
      <c r="D194" s="59">
        <f>D193/(D183)</f>
        <v>793.14922085834701</v>
      </c>
    </row>
    <row r="195" spans="1:9" ht="15" customHeight="1" x14ac:dyDescent="0.25">
      <c r="A195" s="60" t="s">
        <v>438</v>
      </c>
      <c r="B195" s="61">
        <v>430</v>
      </c>
      <c r="C195" s="61">
        <v>430</v>
      </c>
      <c r="D195" s="61">
        <v>430</v>
      </c>
    </row>
    <row r="196" spans="1:9" ht="15" customHeight="1" x14ac:dyDescent="0.25">
      <c r="A196" s="62" t="s">
        <v>439</v>
      </c>
      <c r="B196" s="63">
        <f>(B194/B195)-1</f>
        <v>-0.43429888232365998</v>
      </c>
      <c r="C196" s="63">
        <f>(C194/C195)-1</f>
        <v>5.8990656491520577E-2</v>
      </c>
      <c r="D196" s="63">
        <f>(D194/D195)-1</f>
        <v>0.84453307176359771</v>
      </c>
    </row>
    <row r="199" spans="1:9" ht="15" customHeight="1" x14ac:dyDescent="0.25">
      <c r="A199" s="64"/>
    </row>
    <row r="200" spans="1:9" ht="15" customHeight="1" x14ac:dyDescent="0.25">
      <c r="A200" s="43" t="s">
        <v>447</v>
      </c>
    </row>
    <row r="201" spans="1:9" ht="15" customHeight="1" x14ac:dyDescent="0.25">
      <c r="A201" s="44" t="s">
        <v>416</v>
      </c>
      <c r="B201" s="45" t="s">
        <v>96</v>
      </c>
      <c r="C201" s="46" t="s">
        <v>97</v>
      </c>
      <c r="D201" s="47" t="s">
        <v>98</v>
      </c>
      <c r="E201" s="48" t="s">
        <v>417</v>
      </c>
      <c r="F201" s="48" t="s">
        <v>418</v>
      </c>
      <c r="G201" s="48" t="s">
        <v>419</v>
      </c>
      <c r="H201" s="48" t="s">
        <v>420</v>
      </c>
      <c r="I201" s="48" t="s">
        <v>421</v>
      </c>
    </row>
    <row r="202" spans="1:9" ht="15" customHeight="1" x14ac:dyDescent="0.25">
      <c r="A202" s="49" t="s">
        <v>422</v>
      </c>
      <c r="B202" s="35">
        <v>7.0000000000000007E-2</v>
      </c>
      <c r="C202" s="35">
        <v>0.12</v>
      </c>
      <c r="D202" s="35">
        <v>0.17</v>
      </c>
    </row>
    <row r="203" spans="1:9" ht="15" customHeight="1" x14ac:dyDescent="0.25">
      <c r="A203" s="49" t="s">
        <v>423</v>
      </c>
      <c r="B203" s="35">
        <v>0.06</v>
      </c>
      <c r="C203" s="35">
        <v>0.08</v>
      </c>
      <c r="D203" s="35">
        <v>0.1</v>
      </c>
    </row>
    <row r="204" spans="1:9" ht="15" customHeight="1" x14ac:dyDescent="0.25">
      <c r="A204" s="49" t="s">
        <v>424</v>
      </c>
      <c r="B204" s="50">
        <v>7500</v>
      </c>
      <c r="C204" s="50">
        <v>7500</v>
      </c>
      <c r="D204" s="50">
        <v>7500</v>
      </c>
    </row>
    <row r="205" spans="1:9" ht="15" customHeight="1" x14ac:dyDescent="0.25">
      <c r="A205" s="49" t="s">
        <v>425</v>
      </c>
      <c r="B205" s="50">
        <v>200</v>
      </c>
      <c r="C205" s="50">
        <v>200</v>
      </c>
      <c r="D205" s="50">
        <v>200</v>
      </c>
    </row>
    <row r="206" spans="1:9" ht="15" customHeight="1" x14ac:dyDescent="0.25">
      <c r="A206" s="49" t="s">
        <v>426</v>
      </c>
      <c r="B206" s="51">
        <v>37</v>
      </c>
      <c r="C206" s="51">
        <v>37</v>
      </c>
      <c r="D206" s="51">
        <v>37</v>
      </c>
    </row>
    <row r="207" spans="1:9" ht="15" customHeight="1" x14ac:dyDescent="0.25">
      <c r="A207" s="52" t="s">
        <v>427</v>
      </c>
    </row>
    <row r="208" spans="1:9" ht="15" customHeight="1" x14ac:dyDescent="0.25">
      <c r="A208" s="53" t="s">
        <v>428</v>
      </c>
      <c r="E208" s="54">
        <f>C204*(1+C202)</f>
        <v>8400</v>
      </c>
      <c r="F208" s="54">
        <f>E208*(1+C202)</f>
        <v>9408</v>
      </c>
      <c r="G208" s="54">
        <f>F208*(1+C202)</f>
        <v>10536.960000000001</v>
      </c>
      <c r="H208" s="54">
        <f>G208*(1+C202)</f>
        <v>11801.395200000003</v>
      </c>
      <c r="I208" s="54">
        <f>H208*(1+C202)</f>
        <v>13217.562624000004</v>
      </c>
    </row>
    <row r="209" spans="1:9" ht="15" customHeight="1" x14ac:dyDescent="0.25">
      <c r="A209" s="53" t="s">
        <v>429</v>
      </c>
      <c r="E209" s="54">
        <f>E208*C203</f>
        <v>672</v>
      </c>
      <c r="F209" s="54">
        <f>F208*C203</f>
        <v>752.64</v>
      </c>
      <c r="G209" s="54">
        <f>G208*C203</f>
        <v>842.95680000000004</v>
      </c>
      <c r="H209" s="54">
        <f>H208*C203</f>
        <v>944.11161600000025</v>
      </c>
      <c r="I209" s="54">
        <f>I208*C203</f>
        <v>1057.4050099200003</v>
      </c>
    </row>
    <row r="210" spans="1:9" ht="15" customHeight="1" x14ac:dyDescent="0.25">
      <c r="A210" s="53" t="s">
        <v>430</v>
      </c>
      <c r="E210" s="54">
        <f>E209/((1+C9)^1)</f>
        <v>607.45762711864404</v>
      </c>
      <c r="F210" s="54">
        <f>F209/((1+C9)^2)</f>
        <v>615.00794790768941</v>
      </c>
      <c r="G210" s="54">
        <f>G209/((1+C9)^3)</f>
        <v>622.6521144918529</v>
      </c>
      <c r="H210" s="54">
        <f>H209/((1+C9)^4)</f>
        <v>630.39129331604556</v>
      </c>
      <c r="I210" s="54">
        <f>I209/((1+C9)^5)</f>
        <v>638.2266653233637</v>
      </c>
    </row>
    <row r="211" spans="1:9" ht="15" customHeight="1" x14ac:dyDescent="0.25">
      <c r="A211" s="55" t="s">
        <v>431</v>
      </c>
      <c r="B211" s="56">
        <f>(B204*(1+B202)^1*B203/((1+B9)^1))+(B204*(1+B202)^2*B203/((1+B9)^2))+(B204*(1+B202)^3*B203/((1+B9)^3))+(B204*(1+B202)^4*B203/((1+B9)^4))+(B204*(1+B202)^5*B203/((1+B9)^5))</f>
        <v>2008.8546856026728</v>
      </c>
      <c r="C211" s="56">
        <f>(C204*(1+C202)^1*C203/((1+C9)^1))+(C204*(1+C202)^2*C203/((1+C9)^2))+(C204*(1+C202)^3*C203/((1+C9)^3))+(C204*(1+C202)^4*C203/((1+C9)^4))+(C204*(1+C202)^5*C203/((1+C9)^5))</f>
        <v>3113.7356481575957</v>
      </c>
      <c r="D211" s="56">
        <f>(D204*(1+D202)^1*D203/((1+D9)^1))+(D204*(1+D202)^2*D203/((1+D9)^2))+(D204*(1+D202)^3*D203/((1+D9)^3))+(D204*(1+D202)^4*D203/((1+D9)^4))+(D204*(1+D202)^5*D203/((1+D9)^5))</f>
        <v>4519.9966544707486</v>
      </c>
    </row>
    <row r="212" spans="1:9" ht="15" customHeight="1" x14ac:dyDescent="0.25">
      <c r="A212" s="55" t="s">
        <v>432</v>
      </c>
      <c r="B212" s="56">
        <f>(B204*(1+B202)^5*B203*(1+B10))/(B9-B10)</f>
        <v>7457.3715940677239</v>
      </c>
      <c r="C212" s="56">
        <f>(C204*(1+C202)^5*C203*(1+C10))/(C9-C10)</f>
        <v>14283.634888099679</v>
      </c>
      <c r="D212" s="56">
        <f>(D204*(1+D202)^5*D203*(1+D10))/(D9-D10)</f>
        <v>25884.224908169188</v>
      </c>
    </row>
    <row r="213" spans="1:9" ht="15" customHeight="1" x14ac:dyDescent="0.25">
      <c r="A213" s="55" t="s">
        <v>433</v>
      </c>
      <c r="B213" s="56">
        <f>B212/((1+B9)^5)</f>
        <v>4390.8650898003252</v>
      </c>
      <c r="C213" s="56">
        <f>C212/((1+C9)^5)</f>
        <v>8621.2913479746203</v>
      </c>
      <c r="D213" s="56">
        <f>D212/((1+D9)^5)</f>
        <v>16017.387932967687</v>
      </c>
    </row>
    <row r="214" spans="1:9" ht="15" customHeight="1" x14ac:dyDescent="0.25">
      <c r="A214" s="55" t="s">
        <v>434</v>
      </c>
      <c r="B214" s="56">
        <f>B211+B213</f>
        <v>6399.7197754029985</v>
      </c>
      <c r="C214" s="56">
        <f>C211+C213</f>
        <v>11735.026996132216</v>
      </c>
      <c r="D214" s="56">
        <f>D211+D213</f>
        <v>20537.384587438435</v>
      </c>
    </row>
    <row r="215" spans="1:9" ht="15" customHeight="1" x14ac:dyDescent="0.25">
      <c r="A215" s="55" t="s">
        <v>435</v>
      </c>
      <c r="B215" s="57">
        <f>B205</f>
        <v>200</v>
      </c>
      <c r="C215" s="57">
        <f>C205</f>
        <v>200</v>
      </c>
      <c r="D215" s="57">
        <f>D205</f>
        <v>200</v>
      </c>
    </row>
    <row r="216" spans="1:9" ht="15" customHeight="1" x14ac:dyDescent="0.25">
      <c r="A216" s="55" t="s">
        <v>436</v>
      </c>
      <c r="B216" s="56">
        <f>B214-B215</f>
        <v>6199.7197754029985</v>
      </c>
      <c r="C216" s="56">
        <f>C214-C215</f>
        <v>11535.026996132216</v>
      </c>
      <c r="D216" s="56">
        <f>D214-D215</f>
        <v>20337.384587438435</v>
      </c>
    </row>
    <row r="217" spans="1:9" ht="15" customHeight="1" x14ac:dyDescent="0.25">
      <c r="A217" s="58" t="s">
        <v>437</v>
      </c>
      <c r="B217" s="59">
        <f>B216/(B206)</f>
        <v>167.55999392981076</v>
      </c>
      <c r="C217" s="59">
        <f>C216/(C206)</f>
        <v>311.75748638195176</v>
      </c>
      <c r="D217" s="59">
        <f>D216/(D206)</f>
        <v>549.65904290374147</v>
      </c>
    </row>
    <row r="218" spans="1:9" ht="15" customHeight="1" x14ac:dyDescent="0.25">
      <c r="A218" s="60" t="s">
        <v>438</v>
      </c>
      <c r="B218" s="61">
        <v>340</v>
      </c>
      <c r="C218" s="61">
        <v>340</v>
      </c>
      <c r="D218" s="61">
        <v>340</v>
      </c>
    </row>
    <row r="219" spans="1:9" ht="15" customHeight="1" x14ac:dyDescent="0.25">
      <c r="A219" s="62" t="s">
        <v>439</v>
      </c>
      <c r="B219" s="63">
        <f>(B217/B218)-1</f>
        <v>-0.50717648844173313</v>
      </c>
      <c r="C219" s="63">
        <f>(C217/C218)-1</f>
        <v>-8.3066216523671299E-2</v>
      </c>
      <c r="D219" s="63">
        <f>(D217/D218)-1</f>
        <v>0.61664424383453365</v>
      </c>
    </row>
    <row r="222" spans="1:9" ht="15" customHeight="1" x14ac:dyDescent="0.25">
      <c r="A222" s="64"/>
    </row>
    <row r="223" spans="1:9" ht="15" customHeight="1" x14ac:dyDescent="0.25">
      <c r="A223" s="43" t="s">
        <v>448</v>
      </c>
    </row>
    <row r="224" spans="1:9" ht="15" customHeight="1" x14ac:dyDescent="0.25">
      <c r="A224" s="44" t="s">
        <v>416</v>
      </c>
      <c r="B224" s="45" t="s">
        <v>96</v>
      </c>
      <c r="C224" s="46" t="s">
        <v>97</v>
      </c>
      <c r="D224" s="47" t="s">
        <v>98</v>
      </c>
      <c r="E224" s="48" t="s">
        <v>417</v>
      </c>
      <c r="F224" s="48" t="s">
        <v>418</v>
      </c>
      <c r="G224" s="48" t="s">
        <v>419</v>
      </c>
      <c r="H224" s="48" t="s">
        <v>420</v>
      </c>
      <c r="I224" s="48" t="s">
        <v>421</v>
      </c>
    </row>
    <row r="225" spans="1:9" ht="15" customHeight="1" x14ac:dyDescent="0.25">
      <c r="A225" s="49" t="s">
        <v>422</v>
      </c>
      <c r="B225" s="35">
        <v>0.06</v>
      </c>
      <c r="C225" s="35">
        <v>0.1</v>
      </c>
      <c r="D225" s="35">
        <v>0.14000000000000001</v>
      </c>
    </row>
    <row r="226" spans="1:9" ht="15" customHeight="1" x14ac:dyDescent="0.25">
      <c r="A226" s="49" t="s">
        <v>423</v>
      </c>
      <c r="B226" s="35">
        <v>0.04</v>
      </c>
      <c r="C226" s="35">
        <v>0.06</v>
      </c>
      <c r="D226" s="35">
        <v>0.08</v>
      </c>
    </row>
    <row r="227" spans="1:9" ht="15" customHeight="1" x14ac:dyDescent="0.25">
      <c r="A227" s="49" t="s">
        <v>424</v>
      </c>
      <c r="B227" s="50">
        <v>27000</v>
      </c>
      <c r="C227" s="50">
        <v>27000</v>
      </c>
      <c r="D227" s="50">
        <v>27000</v>
      </c>
    </row>
    <row r="228" spans="1:9" ht="15" customHeight="1" x14ac:dyDescent="0.25">
      <c r="A228" s="49" t="s">
        <v>425</v>
      </c>
      <c r="B228" s="50">
        <v>4800</v>
      </c>
      <c r="C228" s="50">
        <v>4800</v>
      </c>
      <c r="D228" s="50">
        <v>4800</v>
      </c>
    </row>
    <row r="229" spans="1:9" ht="15" customHeight="1" x14ac:dyDescent="0.25">
      <c r="A229" s="49" t="s">
        <v>426</v>
      </c>
      <c r="B229" s="51">
        <v>138</v>
      </c>
      <c r="C229" s="51">
        <v>138</v>
      </c>
      <c r="D229" s="51">
        <v>138</v>
      </c>
    </row>
    <row r="230" spans="1:9" ht="15" customHeight="1" x14ac:dyDescent="0.25">
      <c r="A230" s="52" t="s">
        <v>427</v>
      </c>
    </row>
    <row r="231" spans="1:9" ht="15" customHeight="1" x14ac:dyDescent="0.25">
      <c r="A231" s="53" t="s">
        <v>428</v>
      </c>
      <c r="E231" s="54">
        <f>C227*(1+C225)</f>
        <v>29700.000000000004</v>
      </c>
      <c r="F231" s="54">
        <f>E231*(1+C225)</f>
        <v>32670.000000000007</v>
      </c>
      <c r="G231" s="54">
        <f>F231*(1+C225)</f>
        <v>35937.000000000007</v>
      </c>
      <c r="H231" s="54">
        <f>G231*(1+C225)</f>
        <v>39530.700000000012</v>
      </c>
      <c r="I231" s="54">
        <f>H231*(1+C225)</f>
        <v>43483.770000000019</v>
      </c>
    </row>
    <row r="232" spans="1:9" ht="15" customHeight="1" x14ac:dyDescent="0.25">
      <c r="A232" s="53" t="s">
        <v>429</v>
      </c>
      <c r="E232" s="54">
        <f>E231*C226</f>
        <v>1782.0000000000002</v>
      </c>
      <c r="F232" s="54">
        <f>F231*C226</f>
        <v>1960.2000000000003</v>
      </c>
      <c r="G232" s="54">
        <f>G231*C226</f>
        <v>2156.2200000000003</v>
      </c>
      <c r="H232" s="54">
        <f>H231*C226</f>
        <v>2371.8420000000006</v>
      </c>
      <c r="I232" s="54">
        <f>I231*C226</f>
        <v>2609.0262000000012</v>
      </c>
    </row>
    <row r="233" spans="1:9" ht="15" customHeight="1" x14ac:dyDescent="0.25">
      <c r="A233" s="53" t="s">
        <v>430</v>
      </c>
      <c r="E233" s="54">
        <f>E232/((1+C9)^1)</f>
        <v>1610.847457627119</v>
      </c>
      <c r="F233" s="54">
        <f>F232/((1+C9)^2)</f>
        <v>1601.7466245331805</v>
      </c>
      <c r="G233" s="54">
        <f>G232/((1+C9)^3)</f>
        <v>1592.6972085753659</v>
      </c>
      <c r="H233" s="54">
        <f>H232/((1+C9)^4)</f>
        <v>1583.6989192613812</v>
      </c>
      <c r="I233" s="54">
        <f>I232/((1+C9)^5)</f>
        <v>1574.7514677401307</v>
      </c>
    </row>
    <row r="234" spans="1:9" ht="15" customHeight="1" x14ac:dyDescent="0.25">
      <c r="A234" s="55" t="s">
        <v>431</v>
      </c>
      <c r="B234" s="56">
        <f>(B227*(1+B225)^1*B226/((1+B9)^1))+(B227*(1+B225)^2*B226/((1+B9)^2))+(B227*(1+B225)^3*B226/((1+B9)^3))+(B227*(1+B225)^4*B226/((1+B9)^4))+(B227*(1+B225)^5*B226/((1+B9)^5))</f>
        <v>4691.1164300977744</v>
      </c>
      <c r="C234" s="56">
        <f>(C227*(1+C225)^1*C226/((1+C9)^1))+(C227*(1+C225)^2*C226/((1+C9)^2))+(C227*(1+C225)^3*C226/((1+C9)^3))+(C227*(1+C225)^4*C226/((1+C9)^4))+(C227*(1+C225)^5*C226/((1+C9)^5))</f>
        <v>7963.7416777371764</v>
      </c>
      <c r="D234" s="56">
        <f>(D227*(1+D225)^1*D226/((1+D9)^1))+(D227*(1+D225)^2*D226/((1+D9)^2))+(D227*(1+D225)^3*D226/((1+D9)^3))+(D227*(1+D225)^4*D226/((1+D9)^4))+(D227*(1+D225)^5*D226/((1+D9)^5))</f>
        <v>12011.720172155767</v>
      </c>
    </row>
    <row r="235" spans="1:9" ht="15" customHeight="1" x14ac:dyDescent="0.25">
      <c r="A235" s="55" t="s">
        <v>432</v>
      </c>
      <c r="B235" s="56">
        <f>(B227*(1+B225)^5*B226*(1+B10))/(B9-B10)</f>
        <v>17076.83820637695</v>
      </c>
      <c r="C235" s="56">
        <f>(C227*(1+C225)^5*C226*(1+C10))/(C9-C10)</f>
        <v>35243.23916065575</v>
      </c>
      <c r="D235" s="56">
        <f>(D227*(1+D225)^5*D226*(1+D10))/(D9-D10)</f>
        <v>65467.024188797601</v>
      </c>
    </row>
    <row r="236" spans="1:9" ht="15" customHeight="1" x14ac:dyDescent="0.25">
      <c r="A236" s="55" t="s">
        <v>433</v>
      </c>
      <c r="B236" s="56">
        <f>B235/((1+B9)^5)</f>
        <v>10054.761490522555</v>
      </c>
      <c r="C236" s="56">
        <f>C235/((1+C9)^5)</f>
        <v>21272.052613407668</v>
      </c>
      <c r="D236" s="56">
        <f>D235/((1+D9)^5)</f>
        <v>40511.575176353988</v>
      </c>
    </row>
    <row r="237" spans="1:9" ht="15" customHeight="1" x14ac:dyDescent="0.25">
      <c r="A237" s="55" t="s">
        <v>434</v>
      </c>
      <c r="B237" s="56">
        <f>B234+B236</f>
        <v>14745.877920620329</v>
      </c>
      <c r="C237" s="56">
        <f>C234+C236</f>
        <v>29235.794291144844</v>
      </c>
      <c r="D237" s="56">
        <f>D234+D236</f>
        <v>52523.295348509753</v>
      </c>
    </row>
    <row r="238" spans="1:9" ht="15" customHeight="1" x14ac:dyDescent="0.25">
      <c r="A238" s="55" t="s">
        <v>435</v>
      </c>
      <c r="B238" s="57">
        <f>B228</f>
        <v>4800</v>
      </c>
      <c r="C238" s="57">
        <f>C228</f>
        <v>4800</v>
      </c>
      <c r="D238" s="57">
        <f>D228</f>
        <v>4800</v>
      </c>
    </row>
    <row r="239" spans="1:9" ht="15" customHeight="1" x14ac:dyDescent="0.25">
      <c r="A239" s="55" t="s">
        <v>436</v>
      </c>
      <c r="B239" s="56">
        <f>B237-B238</f>
        <v>9945.877920620329</v>
      </c>
      <c r="C239" s="56">
        <f>C237-C238</f>
        <v>24435.794291144844</v>
      </c>
      <c r="D239" s="56">
        <f>D237-D238</f>
        <v>47723.295348509753</v>
      </c>
    </row>
    <row r="240" spans="1:9" ht="15" customHeight="1" x14ac:dyDescent="0.25">
      <c r="A240" s="58" t="s">
        <v>437</v>
      </c>
      <c r="B240" s="59">
        <f>B239/(B229)</f>
        <v>72.07157913492992</v>
      </c>
      <c r="C240" s="59">
        <f>C239/(C229)</f>
        <v>177.07097312423801</v>
      </c>
      <c r="D240" s="59">
        <f>D239/(D229)</f>
        <v>345.82098078630258</v>
      </c>
    </row>
    <row r="241" spans="1:13" ht="15" customHeight="1" x14ac:dyDescent="0.25">
      <c r="A241" s="60" t="s">
        <v>438</v>
      </c>
      <c r="B241" s="61">
        <v>310</v>
      </c>
      <c r="C241" s="61">
        <v>310</v>
      </c>
      <c r="D241" s="61">
        <v>310</v>
      </c>
    </row>
    <row r="242" spans="1:13" ht="15" customHeight="1" x14ac:dyDescent="0.25">
      <c r="A242" s="62" t="s">
        <v>439</v>
      </c>
      <c r="B242" s="63">
        <f>(B240/B241)-1</f>
        <v>-0.76751103504861318</v>
      </c>
      <c r="C242" s="63">
        <f>(C240/C241)-1</f>
        <v>-0.42880331250245807</v>
      </c>
      <c r="D242" s="63">
        <f>(D240/D241)-1</f>
        <v>0.11555155092355673</v>
      </c>
    </row>
    <row r="245" spans="1:13" ht="15" customHeight="1" x14ac:dyDescent="0.25">
      <c r="A245" s="64"/>
    </row>
    <row r="248" spans="1:13" ht="15" customHeight="1" x14ac:dyDescent="0.25">
      <c r="A248" s="28" t="s">
        <v>449</v>
      </c>
    </row>
    <row r="249" spans="1:13" ht="32.25" customHeight="1" x14ac:dyDescent="0.25">
      <c r="A249" s="65" t="s">
        <v>276</v>
      </c>
      <c r="B249" s="65" t="s">
        <v>205</v>
      </c>
      <c r="C249" s="65" t="s">
        <v>450</v>
      </c>
      <c r="D249" s="65" t="s">
        <v>451</v>
      </c>
      <c r="E249" s="65" t="s">
        <v>452</v>
      </c>
      <c r="F249" s="65" t="s">
        <v>453</v>
      </c>
      <c r="G249" s="65" t="s">
        <v>454</v>
      </c>
      <c r="H249" s="65" t="s">
        <v>455</v>
      </c>
      <c r="I249" s="65" t="s">
        <v>456</v>
      </c>
      <c r="J249" s="65" t="s">
        <v>457</v>
      </c>
      <c r="K249" s="65" t="s">
        <v>458</v>
      </c>
      <c r="L249" s="65" t="s">
        <v>459</v>
      </c>
      <c r="M249" s="65" t="s">
        <v>460</v>
      </c>
    </row>
    <row r="250" spans="1:13" ht="15" customHeight="1" x14ac:dyDescent="0.25">
      <c r="A250" s="66">
        <v>1</v>
      </c>
      <c r="B250" s="66" t="s">
        <v>218</v>
      </c>
      <c r="C250" s="90" t="s">
        <v>461</v>
      </c>
      <c r="D250" s="67">
        <v>108</v>
      </c>
      <c r="E250" s="68">
        <f>DCF_Valuation_v2_1!B33</f>
        <v>41.895775787244816</v>
      </c>
      <c r="F250" s="68">
        <f>DCF_Valuation_v2_1!C33</f>
        <v>81.614101658517868</v>
      </c>
      <c r="G250" s="68">
        <f>DCF_Valuation_v2_1!D33</f>
        <v>160.92018642766126</v>
      </c>
      <c r="H250" s="69">
        <f>DCF_Valuation_v2_1!B35</f>
        <v>-0.61207615011810357</v>
      </c>
      <c r="I250" s="69">
        <f>DCF_Valuation_v2_1!C35</f>
        <v>-0.24431387353224199</v>
      </c>
      <c r="J250" s="69">
        <f>DCF_Valuation_v2_1!D35</f>
        <v>0.49000172618204885</v>
      </c>
      <c r="K250" s="70">
        <f t="shared" ref="K250:K259" si="0">G250-E250</f>
        <v>119.02441064041645</v>
      </c>
      <c r="L250" s="46" t="s">
        <v>462</v>
      </c>
      <c r="M250" s="71" t="str">
        <f t="shared" ref="M250:M259" si="1">IF(I250&gt;0.2,"Strong Buy",IF(I250&gt;0,"Buy / Hold","Avoid"))</f>
        <v>Avoid</v>
      </c>
    </row>
    <row r="251" spans="1:13" ht="15" customHeight="1" x14ac:dyDescent="0.25">
      <c r="A251" s="72">
        <v>2</v>
      </c>
      <c r="B251" s="72" t="s">
        <v>220</v>
      </c>
      <c r="C251" s="91" t="s">
        <v>463</v>
      </c>
      <c r="D251" s="73">
        <v>97</v>
      </c>
      <c r="E251" s="74">
        <f>DCF_Valuation_v2_1!B56</f>
        <v>48.593205552525305</v>
      </c>
      <c r="F251" s="74">
        <f>DCF_Valuation_v2_1!C56</f>
        <v>104.43234664095145</v>
      </c>
      <c r="G251" s="74">
        <f>DCF_Valuation_v2_1!D56</f>
        <v>243.76548056228418</v>
      </c>
      <c r="H251" s="75">
        <f>DCF_Valuation_v2_1!B58</f>
        <v>-0.49903911801520306</v>
      </c>
      <c r="I251" s="75">
        <f>DCF_Valuation_v2_1!C58</f>
        <v>7.6622130319087045E-2</v>
      </c>
      <c r="J251" s="75">
        <f>DCF_Valuation_v2_1!D58</f>
        <v>1.5130461913637543</v>
      </c>
      <c r="K251" s="56">
        <f t="shared" si="0"/>
        <v>195.17227500975889</v>
      </c>
      <c r="L251" s="76" t="s">
        <v>464</v>
      </c>
      <c r="M251" s="71" t="str">
        <f t="shared" si="1"/>
        <v>Buy / Hold</v>
      </c>
    </row>
    <row r="252" spans="1:13" ht="15" customHeight="1" x14ac:dyDescent="0.25">
      <c r="A252" s="66">
        <v>3</v>
      </c>
      <c r="B252" s="66" t="s">
        <v>222</v>
      </c>
      <c r="C252" s="90" t="s">
        <v>465</v>
      </c>
      <c r="D252" s="67">
        <v>320</v>
      </c>
      <c r="E252" s="68">
        <f>DCF_Valuation_v2_1!B79</f>
        <v>88.80472638022394</v>
      </c>
      <c r="F252" s="68">
        <f>DCF_Valuation_v2_1!C79</f>
        <v>144.00612299089528</v>
      </c>
      <c r="G252" s="68">
        <f>DCF_Valuation_v2_1!D79</f>
        <v>228.79007233696129</v>
      </c>
      <c r="H252" s="69">
        <f>DCF_Valuation_v2_1!B81</f>
        <v>-0.72248523006180021</v>
      </c>
      <c r="I252" s="69">
        <f>DCF_Valuation_v2_1!C81</f>
        <v>-0.54998086565345228</v>
      </c>
      <c r="J252" s="69">
        <f>DCF_Valuation_v2_1!D81</f>
        <v>-0.28503102394699598</v>
      </c>
      <c r="K252" s="70">
        <f t="shared" si="0"/>
        <v>139.98534595673735</v>
      </c>
      <c r="L252" s="76" t="s">
        <v>464</v>
      </c>
      <c r="M252" s="71" t="str">
        <f t="shared" si="1"/>
        <v>Avoid</v>
      </c>
    </row>
    <row r="253" spans="1:13" ht="15" customHeight="1" x14ac:dyDescent="0.25">
      <c r="A253" s="72">
        <v>4</v>
      </c>
      <c r="B253" s="72" t="s">
        <v>226</v>
      </c>
      <c r="C253" s="91" t="s">
        <v>466</v>
      </c>
      <c r="D253" s="73">
        <v>57</v>
      </c>
      <c r="E253" s="74">
        <f>DCF_Valuation_v2_1!B102</f>
        <v>26.933129296694112</v>
      </c>
      <c r="F253" s="74">
        <f>DCF_Valuation_v2_1!C102</f>
        <v>49.206467972099162</v>
      </c>
      <c r="G253" s="74">
        <f>DCF_Valuation_v2_1!D102</f>
        <v>86.114009927373417</v>
      </c>
      <c r="H253" s="75">
        <f>DCF_Valuation_v2_1!B104</f>
        <v>-0.52748895970712084</v>
      </c>
      <c r="I253" s="75">
        <f>DCF_Valuation_v2_1!C104</f>
        <v>-0.13672863206843577</v>
      </c>
      <c r="J253" s="75">
        <f>DCF_Valuation_v2_1!D104</f>
        <v>0.51077210398900741</v>
      </c>
      <c r="K253" s="56">
        <f t="shared" si="0"/>
        <v>59.180880630679304</v>
      </c>
      <c r="L253" s="76" t="s">
        <v>464</v>
      </c>
      <c r="M253" s="71" t="str">
        <f t="shared" si="1"/>
        <v>Avoid</v>
      </c>
    </row>
    <row r="254" spans="1:13" ht="21.75" customHeight="1" x14ac:dyDescent="0.25">
      <c r="A254" s="66">
        <v>5</v>
      </c>
      <c r="B254" s="66" t="s">
        <v>224</v>
      </c>
      <c r="C254" s="90" t="s">
        <v>467</v>
      </c>
      <c r="D254" s="67">
        <v>230</v>
      </c>
      <c r="E254" s="68">
        <f>DCF_Valuation_v2_1!B125</f>
        <v>90.321375868245198</v>
      </c>
      <c r="F254" s="68">
        <f>DCF_Valuation_v2_1!C125</f>
        <v>147.74304464088587</v>
      </c>
      <c r="G254" s="68">
        <f>DCF_Valuation_v2_1!D125</f>
        <v>236.56609187265406</v>
      </c>
      <c r="H254" s="69">
        <f>DCF_Valuation_v2_1!B127</f>
        <v>-0.60729836579023821</v>
      </c>
      <c r="I254" s="69">
        <f>DCF_Valuation_v2_1!C127</f>
        <v>-0.35763893634397448</v>
      </c>
      <c r="J254" s="69">
        <f>DCF_Valuation_v2_1!D127</f>
        <v>2.8548225533278515E-2</v>
      </c>
      <c r="K254" s="70">
        <f t="shared" si="0"/>
        <v>146.24471600440887</v>
      </c>
      <c r="L254" s="77" t="s">
        <v>468</v>
      </c>
      <c r="M254" s="71" t="str">
        <f t="shared" si="1"/>
        <v>Avoid</v>
      </c>
    </row>
    <row r="255" spans="1:13" ht="15" customHeight="1" x14ac:dyDescent="0.25">
      <c r="A255" s="72">
        <v>6</v>
      </c>
      <c r="B255" s="72" t="s">
        <v>228</v>
      </c>
      <c r="C255" s="91" t="s">
        <v>469</v>
      </c>
      <c r="D255" s="73">
        <v>390</v>
      </c>
      <c r="E255" s="74">
        <f>DCF_Valuation_v2_1!B148</f>
        <v>121.44231120451124</v>
      </c>
      <c r="F255" s="74">
        <f>DCF_Valuation_v2_1!C148</f>
        <v>197.3451152964615</v>
      </c>
      <c r="G255" s="74">
        <f>DCF_Valuation_v2_1!D148</f>
        <v>314.35415285223257</v>
      </c>
      <c r="H255" s="75">
        <f>DCF_Valuation_v2_1!B150</f>
        <v>-0.68860945844997112</v>
      </c>
      <c r="I255" s="75">
        <f>DCF_Valuation_v2_1!C150</f>
        <v>-0.49398688385522693</v>
      </c>
      <c r="J255" s="75">
        <f>DCF_Valuation_v2_1!D150</f>
        <v>-0.19396371063530105</v>
      </c>
      <c r="K255" s="56">
        <f t="shared" si="0"/>
        <v>192.91184164772133</v>
      </c>
      <c r="L255" s="78" t="s">
        <v>470</v>
      </c>
      <c r="M255" s="71" t="str">
        <f t="shared" si="1"/>
        <v>Avoid</v>
      </c>
    </row>
    <row r="256" spans="1:13" ht="15" customHeight="1" x14ac:dyDescent="0.25">
      <c r="A256" s="66">
        <v>7</v>
      </c>
      <c r="B256" s="66" t="s">
        <v>230</v>
      </c>
      <c r="C256" s="90" t="s">
        <v>471</v>
      </c>
      <c r="D256" s="67">
        <v>18</v>
      </c>
      <c r="E256" s="68">
        <f>DCF_Valuation_v2_1!B171</f>
        <v>8.4471021911908704</v>
      </c>
      <c r="F256" s="68">
        <f>DCF_Valuation_v2_1!C171</f>
        <v>18.552656570934811</v>
      </c>
      <c r="G256" s="68">
        <f>DCF_Valuation_v2_1!D171</f>
        <v>36.725916861989283</v>
      </c>
      <c r="H256" s="69">
        <f>DCF_Valuation_v2_1!B173</f>
        <v>-0.53071654493384046</v>
      </c>
      <c r="I256" s="69">
        <f>DCF_Valuation_v2_1!C173</f>
        <v>3.070314282971176E-2</v>
      </c>
      <c r="J256" s="69">
        <f>DCF_Valuation_v2_1!D173</f>
        <v>1.0403287145549602</v>
      </c>
      <c r="K256" s="70">
        <f t="shared" si="0"/>
        <v>28.278814670798411</v>
      </c>
      <c r="L256" s="78" t="s">
        <v>470</v>
      </c>
      <c r="M256" s="71" t="str">
        <f t="shared" si="1"/>
        <v>Buy / Hold</v>
      </c>
    </row>
    <row r="257" spans="1:13" ht="15" customHeight="1" x14ac:dyDescent="0.25">
      <c r="A257" s="72">
        <v>8</v>
      </c>
      <c r="B257" s="72" t="s">
        <v>240</v>
      </c>
      <c r="C257" s="91" t="s">
        <v>472</v>
      </c>
      <c r="D257" s="73">
        <v>430</v>
      </c>
      <c r="E257" s="74">
        <f>DCF_Valuation_v2_1!B194</f>
        <v>243.2514806008262</v>
      </c>
      <c r="F257" s="74">
        <f>DCF_Valuation_v2_1!C194</f>
        <v>455.36598229135387</v>
      </c>
      <c r="G257" s="74">
        <f>DCF_Valuation_v2_1!D194</f>
        <v>793.14922085834701</v>
      </c>
      <c r="H257" s="75">
        <f>DCF_Valuation_v2_1!B196</f>
        <v>-0.43429888232365998</v>
      </c>
      <c r="I257" s="75">
        <f>DCF_Valuation_v2_1!C196</f>
        <v>5.8990656491520577E-2</v>
      </c>
      <c r="J257" s="75">
        <f>DCF_Valuation_v2_1!D196</f>
        <v>0.84453307176359771</v>
      </c>
      <c r="K257" s="56">
        <f t="shared" si="0"/>
        <v>549.89774025752081</v>
      </c>
      <c r="L257" s="78" t="s">
        <v>470</v>
      </c>
      <c r="M257" s="71" t="str">
        <f t="shared" si="1"/>
        <v>Buy / Hold</v>
      </c>
    </row>
    <row r="258" spans="1:13" ht="15" customHeight="1" x14ac:dyDescent="0.25">
      <c r="A258" s="66">
        <v>9</v>
      </c>
      <c r="B258" s="66" t="s">
        <v>242</v>
      </c>
      <c r="C258" s="90" t="s">
        <v>473</v>
      </c>
      <c r="D258" s="67">
        <v>340</v>
      </c>
      <c r="E258" s="68">
        <f>DCF_Valuation_v2_1!B217</f>
        <v>167.55999392981076</v>
      </c>
      <c r="F258" s="68">
        <f>DCF_Valuation_v2_1!C217</f>
        <v>311.75748638195176</v>
      </c>
      <c r="G258" s="68">
        <f>DCF_Valuation_v2_1!D217</f>
        <v>549.65904290374147</v>
      </c>
      <c r="H258" s="69">
        <f>DCF_Valuation_v2_1!B219</f>
        <v>-0.50717648844173313</v>
      </c>
      <c r="I258" s="69">
        <f>DCF_Valuation_v2_1!C219</f>
        <v>-8.3066216523671299E-2</v>
      </c>
      <c r="J258" s="69">
        <f>DCF_Valuation_v2_1!D219</f>
        <v>0.61664424383453365</v>
      </c>
      <c r="K258" s="70">
        <f t="shared" si="0"/>
        <v>382.09904897393073</v>
      </c>
      <c r="L258" s="78" t="s">
        <v>470</v>
      </c>
      <c r="M258" s="71" t="str">
        <f t="shared" si="1"/>
        <v>Avoid</v>
      </c>
    </row>
    <row r="259" spans="1:13" ht="21.75" customHeight="1" x14ac:dyDescent="0.25">
      <c r="A259" s="72">
        <v>10</v>
      </c>
      <c r="B259" s="72" t="s">
        <v>238</v>
      </c>
      <c r="C259" s="91" t="s">
        <v>474</v>
      </c>
      <c r="D259" s="73">
        <v>310</v>
      </c>
      <c r="E259" s="74">
        <f>DCF_Valuation_v2_1!B240</f>
        <v>72.07157913492992</v>
      </c>
      <c r="F259" s="74">
        <f>DCF_Valuation_v2_1!C240</f>
        <v>177.07097312423801</v>
      </c>
      <c r="G259" s="74">
        <f>DCF_Valuation_v2_1!D240</f>
        <v>345.82098078630258</v>
      </c>
      <c r="H259" s="75">
        <f>DCF_Valuation_v2_1!B242</f>
        <v>-0.76751103504861318</v>
      </c>
      <c r="I259" s="75">
        <f>DCF_Valuation_v2_1!C242</f>
        <v>-0.42880331250245807</v>
      </c>
      <c r="J259" s="75">
        <f>DCF_Valuation_v2_1!D242</f>
        <v>0.11555155092355673</v>
      </c>
      <c r="K259" s="56">
        <f t="shared" si="0"/>
        <v>273.74940165137264</v>
      </c>
      <c r="L259" s="79" t="s">
        <v>475</v>
      </c>
      <c r="M259" s="71" t="str">
        <f t="shared" si="1"/>
        <v>Avoid</v>
      </c>
    </row>
    <row r="261" spans="1:13" ht="15" customHeight="1" x14ac:dyDescent="0.25">
      <c r="A261" s="80" t="s">
        <v>476</v>
      </c>
      <c r="H261" s="81">
        <f>AVERAGE(H250:H259)</f>
        <v>-0.5896700232890284</v>
      </c>
      <c r="I261" s="81">
        <f>AVERAGE(I250:I259)</f>
        <v>-0.21282027908391415</v>
      </c>
      <c r="J261" s="81">
        <f>AVERAGE(J250:J259)</f>
        <v>0.4680431093562441</v>
      </c>
    </row>
    <row r="262" spans="1:13" ht="15" customHeight="1" x14ac:dyDescent="0.25">
      <c r="A262" s="82" t="s">
        <v>477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README_Audit</vt:lpstr>
      <vt:lpstr>Control_Panel</vt:lpstr>
      <vt:lpstr>Demand_Constrained</vt:lpstr>
      <vt:lpstr>Cooling_TAM_Bridge</vt:lpstr>
      <vt:lpstr>Revenue_Linkage</vt:lpstr>
      <vt:lpstr>Valuation</vt:lpstr>
      <vt:lpstr>Scorecard</vt:lpstr>
      <vt:lpstr>Scenario_Returns</vt:lpstr>
      <vt:lpstr>Portfolio</vt:lpstr>
      <vt:lpstr>Risk_Register</vt:lpstr>
      <vt:lpstr>DCF_Valuation_v2_1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Stephens, Mason E</cp:lastModifiedBy>
  <cp:revision>0</cp:revision>
  <dcterms:created xsi:type="dcterms:W3CDTF">2026-04-07T06:46:05Z</dcterms:created>
  <dcterms:modified xsi:type="dcterms:W3CDTF">2026-04-07T19:02:33Z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2026-04-07T06:53:22Z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f8d408bb-7c6f-4daf-ac88-c3c42ad33939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