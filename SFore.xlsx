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ersutep-my.sharepoint.com/personal/mestephens_miners_utep_edu/Documents/project 4 forecasting/"/>
    </mc:Choice>
  </mc:AlternateContent>
  <xr:revisionPtr revIDLastSave="453" documentId="8_{092C05B4-B29A-48BB-9E01-8E367949DE6F}" xr6:coauthVersionLast="47" xr6:coauthVersionMax="47" xr10:uidLastSave="{326AB8E4-2690-4FF7-BFF4-680E91245FC9}"/>
  <bookViews>
    <workbookView xWindow="-120" yWindow="-120" windowWidth="29040" windowHeight="15840" firstSheet="1" activeTab="3" xr2:uid="{4252A11C-9A52-49F3-9560-F0F743CD40DF}"/>
  </bookViews>
  <sheets>
    <sheet name="StudentData" sheetId="2" state="veryHidden" r:id="rId1"/>
    <sheet name="Data" sheetId="3" r:id="rId2"/>
    <sheet name="Chart1" sheetId="12" r:id="rId3"/>
    <sheet name="Sales" sheetId="4" r:id="rId4"/>
    <sheet name="Sheet1" sheetId="13" r:id="rId5"/>
    <sheet name="BalData" sheetId="5" r:id="rId6"/>
    <sheet name="IncomeData" sheetId="6" r:id="rId7"/>
    <sheet name="CshFlwData" sheetId="7" r:id="rId8"/>
    <sheet name="Index" sheetId="8" r:id="rId9"/>
    <sheet name="BalSheet" sheetId="9" r:id="rId10"/>
    <sheet name="IncomeStat" sheetId="10" r:id="rId11"/>
    <sheet name="CshFlow" sheetId="11" r:id="rId12"/>
  </sheets>
  <definedNames>
    <definedName name="collateData">#REF!</definedName>
    <definedName name="exportToCS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1" l="1" a="1"/>
  <c r="B30" i="11" s="1"/>
  <c r="C30" i="11" s="1"/>
  <c r="B31" i="11" a="1"/>
  <c r="B31" i="11" s="1"/>
  <c r="C31" i="11" s="1"/>
  <c r="B32" i="11" a="1"/>
  <c r="B32" i="11" s="1"/>
  <c r="C32" i="11" s="1"/>
  <c r="B29" i="11" a="1"/>
  <c r="B29" i="11" s="1"/>
  <c r="C29" i="11" s="1"/>
  <c r="B27" i="11" a="1"/>
  <c r="B27" i="11" s="1"/>
  <c r="B25" i="11" a="1"/>
  <c r="B25" i="11" s="1"/>
  <c r="C25" i="11" s="1"/>
  <c r="B24" i="11" a="1"/>
  <c r="B24" i="11" s="1"/>
  <c r="C24" i="11" s="1"/>
  <c r="B22" i="11" a="1"/>
  <c r="B22" i="11" s="1"/>
  <c r="C22" i="11" s="1"/>
  <c r="B21" i="11" a="1"/>
  <c r="B21" i="11" s="1"/>
  <c r="C21" i="11" s="1"/>
  <c r="B23" i="11" a="1"/>
  <c r="B23" i="11" s="1"/>
  <c r="B20" i="11" a="1"/>
  <c r="B20" i="11" s="1"/>
  <c r="C20" i="11" s="1"/>
  <c r="E20" i="11" s="1"/>
  <c r="B17" i="11" a="1"/>
  <c r="B17" i="11" s="1"/>
  <c r="B14" i="11" a="1"/>
  <c r="B14" i="11" s="1"/>
  <c r="C14" i="11" s="1"/>
  <c r="B15" i="11" a="1"/>
  <c r="B15" i="11" s="1"/>
  <c r="C15" i="11" s="1"/>
  <c r="E15" i="11" s="1"/>
  <c r="B13" i="11" a="1"/>
  <c r="B13" i="11" s="1"/>
  <c r="C13" i="11" s="1"/>
  <c r="E13" i="11" s="1"/>
  <c r="B10" i="11" a="1"/>
  <c r="B10" i="11" s="1"/>
  <c r="C10" i="11" s="1"/>
  <c r="B5" i="11" a="1"/>
  <c r="B5" i="11" s="1"/>
  <c r="B6" i="11" a="1"/>
  <c r="B6" i="11" s="1"/>
  <c r="C6" i="11" s="1"/>
  <c r="B7" i="11" a="1"/>
  <c r="B7" i="11" s="1"/>
  <c r="C7" i="11" s="1"/>
  <c r="B4" i="11" a="1"/>
  <c r="B4" i="11" s="1"/>
  <c r="C4" i="11" s="1"/>
  <c r="E1" i="11"/>
  <c r="C1" i="11"/>
  <c r="E4" i="10"/>
  <c r="E5" i="10"/>
  <c r="E6" i="10"/>
  <c r="E7" i="10"/>
  <c r="E8" i="10"/>
  <c r="E9" i="10"/>
  <c r="E10" i="10"/>
  <c r="E11" i="10"/>
  <c r="E12" i="10"/>
  <c r="E13" i="10"/>
  <c r="E14" i="10"/>
  <c r="E3" i="10"/>
  <c r="E1" i="10"/>
  <c r="C4" i="10"/>
  <c r="C5" i="10"/>
  <c r="C6" i="10"/>
  <c r="C7" i="10"/>
  <c r="C8" i="10"/>
  <c r="C9" i="10"/>
  <c r="C10" i="10"/>
  <c r="C11" i="10"/>
  <c r="C12" i="10"/>
  <c r="C13" i="10"/>
  <c r="C14" i="10"/>
  <c r="C3" i="10"/>
  <c r="B13" i="10"/>
  <c r="B9" i="10"/>
  <c r="B6" i="10"/>
  <c r="B11" i="10" a="1"/>
  <c r="B11" i="10" s="1"/>
  <c r="B12" i="10" a="1"/>
  <c r="B12" i="10" s="1"/>
  <c r="B14" i="10" a="1"/>
  <c r="B14" i="10" s="1"/>
  <c r="B10" i="10" a="1"/>
  <c r="B10" i="10" s="1"/>
  <c r="B8" i="10" a="1"/>
  <c r="B8" i="10" s="1"/>
  <c r="B7" i="10" a="1"/>
  <c r="B7" i="10" s="1"/>
  <c r="B4" i="10" a="1"/>
  <c r="B4" i="10"/>
  <c r="B5" i="10" a="1"/>
  <c r="B5" i="10" s="1"/>
  <c r="B3" i="10" a="1"/>
  <c r="B3" i="10" s="1"/>
  <c r="I17" i="9"/>
  <c r="B17" i="9" a="1"/>
  <c r="B17" i="9" s="1"/>
  <c r="O19" i="9"/>
  <c r="F35" i="9"/>
  <c r="F36" i="9"/>
  <c r="F37" i="9"/>
  <c r="F38" i="9"/>
  <c r="F39" i="9"/>
  <c r="F34" i="9"/>
  <c r="F25" i="9"/>
  <c r="F26" i="9"/>
  <c r="F27" i="9"/>
  <c r="F28" i="9"/>
  <c r="F29" i="9"/>
  <c r="F30" i="9"/>
  <c r="F31" i="9"/>
  <c r="F32" i="9"/>
  <c r="F24" i="9"/>
  <c r="F21" i="9"/>
  <c r="F19" i="9"/>
  <c r="F12" i="9"/>
  <c r="F13" i="9"/>
  <c r="F14" i="9"/>
  <c r="F15" i="9"/>
  <c r="F16" i="9"/>
  <c r="F11" i="9"/>
  <c r="F5" i="9"/>
  <c r="F6" i="9"/>
  <c r="F7" i="9"/>
  <c r="F8" i="9"/>
  <c r="F4" i="9"/>
  <c r="C5" i="9"/>
  <c r="C6" i="9"/>
  <c r="C7" i="9"/>
  <c r="C8" i="9"/>
  <c r="C11" i="9"/>
  <c r="C12" i="9"/>
  <c r="C13" i="9"/>
  <c r="C14" i="9"/>
  <c r="C15" i="9"/>
  <c r="C16" i="9"/>
  <c r="C19" i="9"/>
  <c r="C21" i="9"/>
  <c r="C24" i="9"/>
  <c r="C25" i="9"/>
  <c r="C26" i="9"/>
  <c r="C27" i="9"/>
  <c r="C28" i="9"/>
  <c r="C29" i="9"/>
  <c r="C30" i="9"/>
  <c r="C31" i="9"/>
  <c r="C32" i="9"/>
  <c r="C34" i="9"/>
  <c r="C35" i="9"/>
  <c r="C36" i="9"/>
  <c r="C37" i="9"/>
  <c r="C38" i="9"/>
  <c r="C39" i="9"/>
  <c r="C4" i="9"/>
  <c r="F1" i="9"/>
  <c r="C1" i="9"/>
  <c r="B27" i="9"/>
  <c r="B31" i="9" s="1"/>
  <c r="B34" i="9"/>
  <c r="B39" i="9" a="1"/>
  <c r="B39" i="9" s="1"/>
  <c r="B38" i="9" a="1"/>
  <c r="B38" i="9" s="1"/>
  <c r="B37" i="9" a="1"/>
  <c r="B37" i="9" s="1"/>
  <c r="B36" i="9" a="1"/>
  <c r="B36" i="9" s="1"/>
  <c r="B35" i="9" a="1"/>
  <c r="B35" i="9" s="1"/>
  <c r="B25" i="9" a="1"/>
  <c r="B25" i="9" s="1"/>
  <c r="B26" i="9" a="1"/>
  <c r="B26" i="9" s="1"/>
  <c r="B28" i="9" a="1"/>
  <c r="B28" i="9" s="1"/>
  <c r="B29" i="9" a="1"/>
  <c r="B29" i="9" s="1"/>
  <c r="B30" i="9" a="1"/>
  <c r="B30" i="9" s="1"/>
  <c r="B32" i="9"/>
  <c r="B32" i="9" a="1"/>
  <c r="B24" i="9"/>
  <c r="B24" i="9" a="1"/>
  <c r="B21" i="9" a="1"/>
  <c r="B21" i="9" s="1"/>
  <c r="B19" i="9"/>
  <c r="B19" i="9" a="1"/>
  <c r="B16" i="9"/>
  <c r="B13" i="9"/>
  <c r="B15" i="9" a="1"/>
  <c r="B15" i="9" s="1"/>
  <c r="B14" i="9" a="1"/>
  <c r="B14" i="9" s="1"/>
  <c r="B12" i="9" a="1"/>
  <c r="B12" i="9" s="1"/>
  <c r="B11" i="9" a="1"/>
  <c r="B11" i="9" s="1"/>
  <c r="B8" i="9" a="1"/>
  <c r="B8" i="9"/>
  <c r="B5" i="9" a="1"/>
  <c r="B5" i="9"/>
  <c r="B6" i="9" a="1"/>
  <c r="B6" i="9" s="1"/>
  <c r="B7" i="9" a="1"/>
  <c r="B7" i="9"/>
  <c r="B4" i="9" a="1"/>
  <c r="B4" i="9" s="1"/>
  <c r="R22" i="4"/>
  <c r="R23" i="4"/>
  <c r="R21" i="4"/>
  <c r="R20" i="4"/>
  <c r="R11" i="4" a="1"/>
  <c r="R11" i="4" s="1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3" i="4"/>
  <c r="R4" i="4" a="1"/>
  <c r="R4" i="4" s="1"/>
  <c r="A3" i="4"/>
  <c r="B3" i="4"/>
  <c r="C3" i="4"/>
  <c r="D3" i="4"/>
  <c r="E3" i="4"/>
  <c r="F3" i="4"/>
  <c r="G3" i="4"/>
  <c r="H3" i="4"/>
  <c r="I3" i="4"/>
  <c r="J3" i="4"/>
  <c r="K3" i="4"/>
  <c r="L3" i="4"/>
  <c r="M3" i="4"/>
  <c r="A4" i="4"/>
  <c r="B4" i="4"/>
  <c r="C4" i="4"/>
  <c r="D4" i="4"/>
  <c r="E4" i="4"/>
  <c r="F4" i="4"/>
  <c r="G4" i="4"/>
  <c r="H4" i="4"/>
  <c r="I4" i="4"/>
  <c r="J4" i="4"/>
  <c r="K4" i="4"/>
  <c r="L4" i="4"/>
  <c r="M4" i="4"/>
  <c r="A5" i="4"/>
  <c r="B5" i="4"/>
  <c r="C5" i="4"/>
  <c r="D5" i="4"/>
  <c r="E5" i="4"/>
  <c r="F5" i="4"/>
  <c r="G5" i="4"/>
  <c r="H5" i="4"/>
  <c r="I5" i="4"/>
  <c r="J5" i="4"/>
  <c r="K5" i="4"/>
  <c r="L5" i="4"/>
  <c r="M5" i="4"/>
  <c r="A6" i="4"/>
  <c r="B6" i="4"/>
  <c r="C6" i="4"/>
  <c r="D6" i="4"/>
  <c r="E6" i="4"/>
  <c r="F6" i="4"/>
  <c r="G6" i="4"/>
  <c r="H6" i="4"/>
  <c r="I6" i="4"/>
  <c r="J6" i="4"/>
  <c r="K6" i="4"/>
  <c r="L6" i="4"/>
  <c r="M6" i="4"/>
  <c r="A7" i="4"/>
  <c r="B7" i="4"/>
  <c r="C7" i="4"/>
  <c r="D7" i="4"/>
  <c r="E7" i="4"/>
  <c r="F7" i="4"/>
  <c r="G7" i="4"/>
  <c r="H7" i="4"/>
  <c r="I7" i="4"/>
  <c r="J7" i="4"/>
  <c r="K7" i="4"/>
  <c r="L7" i="4"/>
  <c r="M7" i="4"/>
  <c r="A8" i="4"/>
  <c r="B8" i="4"/>
  <c r="C8" i="4"/>
  <c r="D8" i="4"/>
  <c r="E8" i="4"/>
  <c r="F8" i="4"/>
  <c r="G8" i="4"/>
  <c r="H8" i="4"/>
  <c r="I8" i="4"/>
  <c r="J8" i="4"/>
  <c r="K8" i="4"/>
  <c r="L8" i="4"/>
  <c r="M8" i="4"/>
  <c r="A9" i="4"/>
  <c r="B9" i="4"/>
  <c r="C9" i="4"/>
  <c r="D9" i="4"/>
  <c r="E9" i="4"/>
  <c r="F9" i="4"/>
  <c r="G9" i="4"/>
  <c r="H9" i="4"/>
  <c r="I9" i="4"/>
  <c r="J9" i="4"/>
  <c r="K9" i="4"/>
  <c r="L9" i="4"/>
  <c r="M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A32" i="4"/>
  <c r="B32" i="4"/>
  <c r="C32" i="4"/>
  <c r="D32" i="4"/>
  <c r="E32" i="4"/>
  <c r="F32" i="4"/>
  <c r="G32" i="4"/>
  <c r="H32" i="4"/>
  <c r="I32" i="4"/>
  <c r="J32" i="4"/>
  <c r="K32" i="4"/>
  <c r="L32" i="4"/>
  <c r="M32" i="4"/>
  <c r="A33" i="4"/>
  <c r="B33" i="4"/>
  <c r="C33" i="4"/>
  <c r="D33" i="4"/>
  <c r="E33" i="4"/>
  <c r="F33" i="4"/>
  <c r="G33" i="4"/>
  <c r="H33" i="4"/>
  <c r="I33" i="4"/>
  <c r="J33" i="4"/>
  <c r="K33" i="4"/>
  <c r="L33" i="4"/>
  <c r="M33" i="4"/>
  <c r="A34" i="4"/>
  <c r="B34" i="4"/>
  <c r="C34" i="4"/>
  <c r="D34" i="4"/>
  <c r="E34" i="4"/>
  <c r="F34" i="4"/>
  <c r="G34" i="4"/>
  <c r="H34" i="4"/>
  <c r="I34" i="4"/>
  <c r="J34" i="4"/>
  <c r="K34" i="4"/>
  <c r="L34" i="4"/>
  <c r="M34" i="4"/>
  <c r="A35" i="4"/>
  <c r="B35" i="4"/>
  <c r="C35" i="4"/>
  <c r="D35" i="4"/>
  <c r="E35" i="4"/>
  <c r="F35" i="4"/>
  <c r="G35" i="4"/>
  <c r="H35" i="4"/>
  <c r="I35" i="4"/>
  <c r="J35" i="4"/>
  <c r="K35" i="4"/>
  <c r="L35" i="4"/>
  <c r="M35" i="4"/>
  <c r="A36" i="4"/>
  <c r="B36" i="4"/>
  <c r="C36" i="4"/>
  <c r="D36" i="4"/>
  <c r="E36" i="4"/>
  <c r="F36" i="4"/>
  <c r="G36" i="4"/>
  <c r="H36" i="4"/>
  <c r="I36" i="4"/>
  <c r="J36" i="4"/>
  <c r="K36" i="4"/>
  <c r="L36" i="4"/>
  <c r="M36" i="4"/>
  <c r="A37" i="4"/>
  <c r="B37" i="4"/>
  <c r="C37" i="4"/>
  <c r="D37" i="4"/>
  <c r="E37" i="4"/>
  <c r="F37" i="4"/>
  <c r="G37" i="4"/>
  <c r="H37" i="4"/>
  <c r="I37" i="4"/>
  <c r="J37" i="4"/>
  <c r="K37" i="4"/>
  <c r="L37" i="4"/>
  <c r="M37" i="4"/>
  <c r="A38" i="4"/>
  <c r="B38" i="4"/>
  <c r="C38" i="4"/>
  <c r="D38" i="4"/>
  <c r="E38" i="4"/>
  <c r="F38" i="4"/>
  <c r="G38" i="4"/>
  <c r="H38" i="4"/>
  <c r="I38" i="4"/>
  <c r="J38" i="4"/>
  <c r="K38" i="4"/>
  <c r="L38" i="4"/>
  <c r="M38" i="4"/>
  <c r="A39" i="4"/>
  <c r="B39" i="4"/>
  <c r="C39" i="4"/>
  <c r="D39" i="4"/>
  <c r="E39" i="4"/>
  <c r="F39" i="4"/>
  <c r="G39" i="4"/>
  <c r="H39" i="4"/>
  <c r="I39" i="4"/>
  <c r="J39" i="4"/>
  <c r="K39" i="4"/>
  <c r="L39" i="4"/>
  <c r="M39" i="4"/>
  <c r="A40" i="4"/>
  <c r="B40" i="4"/>
  <c r="C40" i="4"/>
  <c r="D40" i="4"/>
  <c r="E40" i="4"/>
  <c r="F40" i="4"/>
  <c r="G40" i="4"/>
  <c r="H40" i="4"/>
  <c r="I40" i="4"/>
  <c r="J40" i="4"/>
  <c r="K40" i="4"/>
  <c r="L40" i="4"/>
  <c r="M40" i="4"/>
  <c r="A41" i="4"/>
  <c r="B41" i="4"/>
  <c r="C41" i="4"/>
  <c r="D41" i="4"/>
  <c r="E41" i="4"/>
  <c r="F41" i="4"/>
  <c r="G41" i="4"/>
  <c r="H41" i="4"/>
  <c r="I41" i="4"/>
  <c r="J41" i="4"/>
  <c r="K41" i="4"/>
  <c r="L41" i="4"/>
  <c r="M41" i="4"/>
  <c r="B2" i="4"/>
  <c r="C2" i="4"/>
  <c r="D2" i="4"/>
  <c r="E2" i="4"/>
  <c r="F2" i="4"/>
  <c r="G2" i="4"/>
  <c r="H2" i="4"/>
  <c r="I2" i="4"/>
  <c r="J2" i="4"/>
  <c r="K2" i="4"/>
  <c r="L2" i="4"/>
  <c r="M2" i="4"/>
  <c r="N2" i="4"/>
  <c r="A2" i="4"/>
  <c r="B1" i="4"/>
  <c r="C1" i="4"/>
  <c r="D1" i="4"/>
  <c r="E1" i="4"/>
  <c r="F1" i="4"/>
  <c r="G1" i="4"/>
  <c r="H1" i="4"/>
  <c r="I1" i="4"/>
  <c r="J1" i="4"/>
  <c r="K1" i="4"/>
  <c r="L1" i="4"/>
  <c r="M1" i="4"/>
  <c r="N1" i="4"/>
  <c r="A1" i="4"/>
  <c r="E14" i="11" l="1"/>
  <c r="C17" i="11"/>
  <c r="E17" i="11" s="1"/>
  <c r="C23" i="11"/>
  <c r="E23" i="11" s="1"/>
  <c r="E21" i="11"/>
  <c r="E4" i="11"/>
  <c r="E22" i="11"/>
  <c r="E7" i="11"/>
  <c r="E24" i="11"/>
  <c r="E25" i="11"/>
  <c r="E6" i="11"/>
  <c r="C5" i="11"/>
  <c r="E5" i="11" s="1"/>
  <c r="C27" i="11"/>
  <c r="E27" i="11" s="1"/>
  <c r="E10" i="11"/>
  <c r="E29" i="11"/>
  <c r="E32" i="11"/>
  <c r="E31" i="11"/>
  <c r="E30" i="11"/>
  <c r="B16" i="11"/>
  <c r="C16" i="11" s="1"/>
  <c r="E16" i="11" s="1"/>
  <c r="B8" i="11"/>
  <c r="B26" i="11"/>
  <c r="C26" i="11" s="1"/>
  <c r="E26" i="11" s="1"/>
  <c r="C17" i="9"/>
  <c r="F17" i="9" s="1"/>
  <c r="B20" i="9"/>
  <c r="C20" i="9" s="1"/>
  <c r="F20" i="9" s="1"/>
  <c r="T14" i="4"/>
  <c r="S14" i="4"/>
  <c r="R14" i="4"/>
  <c r="T13" i="4"/>
  <c r="S13" i="4"/>
  <c r="R13" i="4"/>
  <c r="T12" i="4"/>
  <c r="S12" i="4"/>
  <c r="R12" i="4"/>
  <c r="T15" i="4"/>
  <c r="T11" i="4"/>
  <c r="S15" i="4"/>
  <c r="S11" i="4"/>
  <c r="R15" i="4"/>
  <c r="B9" i="11" l="1"/>
  <c r="C9" i="11" s="1"/>
  <c r="E9" i="11" s="1"/>
  <c r="C8" i="11"/>
  <c r="E8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<sst xmlns="http://schemas.openxmlformats.org/spreadsheetml/2006/main" count="1388" uniqueCount="933">
  <si>
    <t>Mason</t>
  </si>
  <si>
    <t>Stephens</t>
  </si>
  <si>
    <t>Active/Inactive Status Marker</t>
  </si>
  <si>
    <t>A</t>
  </si>
  <si>
    <t>Seasonal</t>
  </si>
  <si>
    <t>Linest</t>
  </si>
  <si>
    <t>Forcast Sales</t>
  </si>
  <si>
    <t>Dummy</t>
  </si>
  <si>
    <t>Bal</t>
  </si>
  <si>
    <t>Income</t>
  </si>
  <si>
    <t>Cash Flows</t>
  </si>
  <si>
    <t>Sales</t>
  </si>
  <si>
    <t>Forecast Sales</t>
  </si>
  <si>
    <t>ASSETS</t>
  </si>
  <si>
    <t>Common</t>
  </si>
  <si>
    <t>Cash &amp; Short Term Investments</t>
  </si>
  <si>
    <t>Receivables - Net</t>
  </si>
  <si>
    <t>Inventories - Total</t>
  </si>
  <si>
    <t>Other Current Assets</t>
  </si>
  <si>
    <t>CURRENT ASSETS - TOTAL</t>
  </si>
  <si>
    <t>Long Term Assets</t>
  </si>
  <si>
    <t>Buildings</t>
  </si>
  <si>
    <t>Machinery &amp; Equipment</t>
  </si>
  <si>
    <t>Land and other</t>
  </si>
  <si>
    <t>Property, Plant and Equipment - Gross</t>
  </si>
  <si>
    <t>Accumulated Depreciation</t>
  </si>
  <si>
    <t>Property, Plant and Equipment - Net</t>
  </si>
  <si>
    <t>Investments in Associated Companies</t>
  </si>
  <si>
    <t>Total Intangible Other Assets - Net</t>
  </si>
  <si>
    <t>Other Assets - Total</t>
  </si>
  <si>
    <t>TOTAL ASSETS</t>
  </si>
  <si>
    <t>LIABILITIES</t>
  </si>
  <si>
    <t>Accounts Payable</t>
  </si>
  <si>
    <t>Short Term Debt &amp; Current Portion of Long Term Debt</t>
  </si>
  <si>
    <t>Income Taxes Payable</t>
  </si>
  <si>
    <t>Other Current Liabilities</t>
  </si>
  <si>
    <t>CURRENT LIABILITIES - TOTAL</t>
  </si>
  <si>
    <t>Long Term Debt</t>
  </si>
  <si>
    <t>DEFERRED TAXES</t>
  </si>
  <si>
    <t>Other Liabilities</t>
  </si>
  <si>
    <t>TOTAL LIABILITIES</t>
  </si>
  <si>
    <t>EQUITY</t>
  </si>
  <si>
    <t>Capital Surplus</t>
  </si>
  <si>
    <t>Other Appropriated Reserves</t>
  </si>
  <si>
    <t>Retained Earnings</t>
  </si>
  <si>
    <t>Treasury Stock</t>
  </si>
  <si>
    <t>COMMON EQUITY</t>
  </si>
  <si>
    <t>TOTAL LIABILITIES &amp; SHAREHOLDERS’ EQUITY</t>
  </si>
  <si>
    <t>Sales Forecast</t>
  </si>
  <si>
    <t>NET SALES OR REVENUES</t>
  </si>
  <si>
    <t>Cost of Goods Sold (Excl Depreciation)</t>
  </si>
  <si>
    <t>Depreciation, Depletion And Amortization</t>
  </si>
  <si>
    <t>Other Dep and Amort</t>
  </si>
  <si>
    <t>Selling, General &amp; Admin Expenses</t>
  </si>
  <si>
    <t>OPERATING INCOME</t>
  </si>
  <si>
    <t>Other Income/Expenses - Net</t>
  </si>
  <si>
    <t>Interest Expense On Debt</t>
  </si>
  <si>
    <t>PRETAX INCOME</t>
  </si>
  <si>
    <t>Income Taxes</t>
  </si>
  <si>
    <t>Other Taxes and Extra Items</t>
  </si>
  <si>
    <t>Net Income</t>
  </si>
  <si>
    <t>Operations</t>
  </si>
  <si>
    <t>Net Income / Starting Line</t>
  </si>
  <si>
    <t>Depreciation and Depletion</t>
  </si>
  <si>
    <t>Deferred Income Taxes</t>
  </si>
  <si>
    <t>Total Other Cash Flow</t>
  </si>
  <si>
    <t>Funds From Operations</t>
  </si>
  <si>
    <t>Change in WC</t>
  </si>
  <si>
    <t>NET CASH FLOW - OPERATING ACTIVITIES</t>
  </si>
  <si>
    <t>Investing</t>
  </si>
  <si>
    <t xml:space="preserve">Capital Expenditures </t>
  </si>
  <si>
    <t>Acquisitions</t>
  </si>
  <si>
    <t>Disposal Of Fixed Assets</t>
  </si>
  <si>
    <t>Other Investing</t>
  </si>
  <si>
    <t>Net Investing Cash Flow</t>
  </si>
  <si>
    <t>Financing</t>
  </si>
  <si>
    <t>Change in Current Debt</t>
  </si>
  <si>
    <t>Long-Term Debt Issuance</t>
  </si>
  <si>
    <t>Long-Term Debt Reduction</t>
  </si>
  <si>
    <t>Sale of Common Stock</t>
  </si>
  <si>
    <t>Purchase of Common/Perferred Stock</t>
  </si>
  <si>
    <t>Dividends paid</t>
  </si>
  <si>
    <t>Other Financing Activities</t>
  </si>
  <si>
    <t>Net Financing Cash Flow</t>
  </si>
  <si>
    <t>Exchange Rate Effect</t>
  </si>
  <si>
    <t>Change in Cash and Short Term Invest</t>
  </si>
  <si>
    <t>Taxes Paid</t>
  </si>
  <si>
    <t>Interest Paid</t>
  </si>
  <si>
    <t>Global Company Key</t>
  </si>
  <si>
    <t>Data Date</t>
  </si>
  <si>
    <t>Fiscal Year</t>
  </si>
  <si>
    <t>Fiscal Quarter</t>
  </si>
  <si>
    <t>Industry Format</t>
  </si>
  <si>
    <t>Level of Consolidation - Company Interim Descriptor</t>
  </si>
  <si>
    <t>Population Source</t>
  </si>
  <si>
    <t>Data Format</t>
  </si>
  <si>
    <t>Ticker Symbol</t>
  </si>
  <si>
    <t>ISO Currency Code</t>
  </si>
  <si>
    <t>Calendar Data Year and Quarter</t>
  </si>
  <si>
    <t>Fiscal Data Year and Quarter</t>
  </si>
  <si>
    <t>Sales/Turnover (Net)</t>
  </si>
  <si>
    <t>004194</t>
  </si>
  <si>
    <t>INDL</t>
  </si>
  <si>
    <t>C</t>
  </si>
  <si>
    <t>D</t>
  </si>
  <si>
    <t>STD</t>
  </si>
  <si>
    <t>KODK</t>
  </si>
  <si>
    <t>USD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</si>
  <si>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</si>
  <si>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</si>
  <si>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</si>
  <si>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</si>
  <si>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</si>
  <si>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</si>
  <si>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</si>
  <si>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</si>
  <si>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</si>
  <si>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</si>
  <si>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</si>
  <si>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</si>
  <si>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</si>
  <si>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</si>
  <si>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</si>
  <si>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</si>
  <si>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</si>
  <si>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</si>
  <si>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</si>
  <si>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</si>
  <si>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</si>
  <si>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</si>
  <si>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</si>
  <si>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</si>
  <si>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</si>
  <si>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</si>
  <si>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</si>
  <si>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</si>
  <si>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</si>
  <si>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</si>
  <si>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</si>
  <si>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</si>
  <si>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</si>
  <si>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</si>
  <si>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</si>
  <si>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</si>
  <si>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</si>
  <si>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</si>
  <si>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</si>
  <si>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</si>
  <si>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Data Year - Fiscal</t>
  </si>
  <si>
    <t>Level of Consolidation - Company Annual Descriptor</t>
  </si>
  <si>
    <t>Acceptances Outstanding</t>
  </si>
  <si>
    <t>Current Assets of Discontinued Operations</t>
  </si>
  <si>
    <t>Current Assets - Other - Total</t>
  </si>
  <si>
    <t>Other Current Assets Excl Discontinued Operations</t>
  </si>
  <si>
    <t>Accumulated Other Comprehensive Income (Loss)</t>
  </si>
  <si>
    <t>Current Assets - Other - Sundry</t>
  </si>
  <si>
    <t>Current Assets - Other - Total As Reported</t>
  </si>
  <si>
    <t>Current Assets - Total</t>
  </si>
  <si>
    <t>Accrued Expenses and Deferred Income</t>
  </si>
  <si>
    <t>Long-term Assets of Discontinued Operations</t>
  </si>
  <si>
    <t>Assets - Other</t>
  </si>
  <si>
    <t>Accum Other Comp Inc - Derivatives Unrealized Gain/Loss</t>
  </si>
  <si>
    <t>Accum Other Comp Inc - Other Adjustments</t>
  </si>
  <si>
    <t>Accum Other Comp Inc - Min Pension Liab Adj</t>
  </si>
  <si>
    <t>Accum Other Comp Inc - Unreal G/L Ret Int in Sec Assets</t>
  </si>
  <si>
    <t>Other Assets excluding Discontinued Operations</t>
  </si>
  <si>
    <t>Assets - Other - Sundry</t>
  </si>
  <si>
    <t>Accounts Payable - Trade</t>
  </si>
  <si>
    <t>Accounts Payable/Creditors - Brokers, Dealers, and Clearing Organizations</t>
  </si>
  <si>
    <t>Accounts Payable/Creditors - Customer</t>
  </si>
  <si>
    <t>Accounts Payable/Creditors - Other - FS</t>
  </si>
  <si>
    <t>Accounts Receivable/Debtors - Brokers, Dealers, and Clearing Organizations</t>
  </si>
  <si>
    <t>Accounts Receivable/Debtors - Customer</t>
  </si>
  <si>
    <t>Accounts Receivable/Debtors - Total</t>
  </si>
  <si>
    <t>Assets - Total</t>
  </si>
  <si>
    <t>Average Short-Term Borrowings</t>
  </si>
  <si>
    <t>Book Value Per Share</t>
  </si>
  <si>
    <t>Customers'' Acceptance</t>
  </si>
  <si>
    <t>Capital Surplus/Share Premium Reserve</t>
  </si>
  <si>
    <t>Compensating Balance</t>
  </si>
  <si>
    <t>Common/Ordinary Equity - Total</t>
  </si>
  <si>
    <t>Common Equity - Liquidation Value</t>
  </si>
  <si>
    <t>Common Equity - Tangible</t>
  </si>
  <si>
    <t>Cash</t>
  </si>
  <si>
    <t>Cash and Short-Term Investments</t>
  </si>
  <si>
    <t>Cash and Deposits - Segregated</t>
  </si>
  <si>
    <t>Capitalized Leases - Due in 2nd Year</t>
  </si>
  <si>
    <t>Capitalized Leases - Due in 3rd Year</t>
  </si>
  <si>
    <t>Capitalized Leases - Due in 4th Year</t>
  </si>
  <si>
    <t>Capitalized Leases - Due in 5th Year</t>
  </si>
  <si>
    <t>Contingent Liabilities - Forward and Future Contracts</t>
  </si>
  <si>
    <t>Contingent Liabilities - Foreign Exchange Commitments</t>
  </si>
  <si>
    <t>Contingent Liabilities - Guarantees</t>
  </si>
  <si>
    <t>Contingent Liabilities - Interest Rate Swaps</t>
  </si>
  <si>
    <t>Contingent Liabilities - Letters of Credit</t>
  </si>
  <si>
    <t>Contingent Liabilities - Loan Commitments</t>
  </si>
  <si>
    <t>Contingent Liabilities - Other</t>
  </si>
  <si>
    <t>Credit Loss Reserve Allocated for LDC Loans</t>
  </si>
  <si>
    <t>Contingent Liabilities - Total</t>
  </si>
  <si>
    <t>Commercial Paper</t>
  </si>
  <si>
    <t>Consolidation Reserves</t>
  </si>
  <si>
    <t>Reserves for Claims (Losses) - Nonlife (Insurance)</t>
  </si>
  <si>
    <t>Common/Ordinary Stock (Capital)</t>
  </si>
  <si>
    <t>Common Stock-Carrying Value</t>
  </si>
  <si>
    <t>Deferred Charges</t>
  </si>
  <si>
    <t>Debt - Capitalized Lease Obligations</t>
  </si>
  <si>
    <t>Deferred Compensation</t>
  </si>
  <si>
    <t>Convertible Debt and Preferred Stock</t>
  </si>
  <si>
    <t>Debt - Consolidated Subsidiary</t>
  </si>
  <si>
    <t>Debt - Senior Convertible</t>
  </si>
  <si>
    <t>Debt - Subordinated Convertible</t>
  </si>
  <si>
    <t>Debt - Convertible</t>
  </si>
  <si>
    <t>Debt - Debentures</t>
  </si>
  <si>
    <t>Long-Term Debt Due in One Year</t>
  </si>
  <si>
    <t>Debt - Due in 2nd Year</t>
  </si>
  <si>
    <t>Debt - Due in 3rd Year</t>
  </si>
  <si>
    <t>Debt - Due in 4th Year</t>
  </si>
  <si>
    <t>Debt - Due in 5th Year</t>
  </si>
  <si>
    <t>Deferred Policy Acquisition Costs</t>
  </si>
  <si>
    <t>Debt - Finance Subsidiary</t>
  </si>
  <si>
    <t>Debt in Current Liabilities - Total</t>
  </si>
  <si>
    <t>Other Long-term Debt</t>
  </si>
  <si>
    <t>Long-Term Debt - Tied to Prime</t>
  </si>
  <si>
    <t>Long-Term Debt - Subordinated</t>
  </si>
  <si>
    <t>Long-Term Debt - Total</t>
  </si>
  <si>
    <t>Debt - Mortgages &amp; Other Secured</t>
  </si>
  <si>
    <t>Debt - Notes</t>
  </si>
  <si>
    <t>Depreciation (Accumulated) - Buildings</t>
  </si>
  <si>
    <t>Depreciation (Accumulated) - Construction in Progress</t>
  </si>
  <si>
    <t>Depreciation (Accumulated) - Land and Improvements</t>
  </si>
  <si>
    <t>Depreciation (Accumulated) - Leases</t>
  </si>
  <si>
    <t>Depreciation (Accumulated) - Machinery and Equipment</t>
  </si>
  <si>
    <t>Depreciation (Accumulated) - Natural Resources</t>
  </si>
  <si>
    <t>Depreciation (Accumulated) - Other</t>
  </si>
  <si>
    <t>Accumulated Depreciation of RE Property</t>
  </si>
  <si>
    <t>Depreciation, Depletion and Amortization (Accumulated)</t>
  </si>
  <si>
    <t>Deposits - Demand - Customer</t>
  </si>
  <si>
    <t>Deposits - Long-Term Time - Bank</t>
  </si>
  <si>
    <t>Deposits - Savings - Customer</t>
  </si>
  <si>
    <t>Deposits - Short-Term Demand - Bank</t>
  </si>
  <si>
    <t>Deposits - Total - Banks</t>
  </si>
  <si>
    <t>Deposits - Total - Customer</t>
  </si>
  <si>
    <t>Deposits - Time - Customer</t>
  </si>
  <si>
    <t>Depreciation (Accumulated) - Ending Balance (Schedule VI)</t>
  </si>
  <si>
    <t>Depreciation (Accumulated) - Other Changes (Schedule VI)</t>
  </si>
  <si>
    <t>Depreciation (Accumulated) - Retirements (Schedule VI)</t>
  </si>
  <si>
    <t>Deferred Revenue - Current</t>
  </si>
  <si>
    <t>Deduction From Policy and Claims Reserves for Reinsurance Ceded</t>
  </si>
  <si>
    <t>Deferred Revenue - Long-term</t>
  </si>
  <si>
    <t>Debt-Subordinated</t>
  </si>
  <si>
    <t>Debt - Unamortized Debt Discount and Other</t>
  </si>
  <si>
    <t>Preferred Dividends in Arrears</t>
  </si>
  <si>
    <t>Depreciation (Accumulated) - Beginning Balance (Schedule VI)</t>
  </si>
  <si>
    <t>Debt (excl Capitalized Leases) - Due in 2nd Year</t>
  </si>
  <si>
    <t>Debt (excl Capitalized Leases) - Due in 3rd Year</t>
  </si>
  <si>
    <t>Debt (excl Capitalized Leases) - Due in 4th Year</t>
  </si>
  <si>
    <t>Debt (excl Capitalized Leases) - Due in 5th Year</t>
  </si>
  <si>
    <t>Exchange Adjustments (Assets)</t>
  </si>
  <si>
    <t>Common ESOP Obligation - Total</t>
  </si>
  <si>
    <t>ESOP Debt - Long Term</t>
  </si>
  <si>
    <t>Preferred ESOP Obligation - Non-Redeemable</t>
  </si>
  <si>
    <t>Preferred ESOP Obligation - Redeemable</t>
  </si>
  <si>
    <t>Preferred ESOP Obligation - Total</t>
  </si>
  <si>
    <t>Exchange Adjustments (Liabilities)</t>
  </si>
  <si>
    <t>Property, Plant, and Equipment - Buildings at Cost</t>
  </si>
  <si>
    <t>Property, Plant, and Equipment - Construction in Progress at Cost</t>
  </si>
  <si>
    <t>Property, Plant, and Equipment - Machinery and Equipment at Cost</t>
  </si>
  <si>
    <t>Property, Plant, and Equipment - Leases at Cost</t>
  </si>
  <si>
    <t>Property, Plant, and Equipment - Natural Resources at Cost</t>
  </si>
  <si>
    <t>Property, Plant, and Equipment - Other at Cost</t>
  </si>
  <si>
    <t>Property, Plant, and Equipment - Land and Improvements at Cost</t>
  </si>
  <si>
    <t>Federal Funds Purchased</t>
  </si>
  <si>
    <t>Foreign Exchange Assets</t>
  </si>
  <si>
    <t>Foreign Exchange Liabilities</t>
  </si>
  <si>
    <t>Federal Funds Sold</t>
  </si>
  <si>
    <t>Goodwill</t>
  </si>
  <si>
    <t>Grants - Equity Reserves</t>
  </si>
  <si>
    <t>Government Grants</t>
  </si>
  <si>
    <t>Investment Assets - Equity Securities (Insurance)</t>
  </si>
  <si>
    <t>Investment Assets (Insurance) - Equity Securities (Cost)</t>
  </si>
  <si>
    <t>Investment Assets (Insurance) - Equity Securities (Market)</t>
  </si>
  <si>
    <t>Investment Assets (Insurance) - Fixed Income Securities (Cost)</t>
  </si>
  <si>
    <t>Investment Assets - Fixed Income Securities (Insurance)</t>
  </si>
  <si>
    <t>Investment Assets (Insurance) - Fixed Income Securities (Market)</t>
  </si>
  <si>
    <t>Investment Assets (Insurance) - Listed Securities-Total</t>
  </si>
  <si>
    <t>Investment Assets - Loans - Other (Insurance)</t>
  </si>
  <si>
    <t>Investment Assets - Loans - Total (Insurance)</t>
  </si>
  <si>
    <t>Investment Assets - Mortgage Loans (Insurance)</t>
  </si>
  <si>
    <t>Investment Assets - Other (Insurance)</t>
  </si>
  <si>
    <t>Investment Assets - Policy Loans (Insurance)</t>
  </si>
  <si>
    <t>Investment Assets - Real Estate (Insurance)</t>
  </si>
  <si>
    <t>Investment Assets (Insurance) - Securities - Sundry (Cost)</t>
  </si>
  <si>
    <t>Investment Assets (Insurance) - Securities - Sundry (Market)</t>
  </si>
  <si>
    <t>Investment Assets - Securities - Sundry (Insurance)</t>
  </si>
  <si>
    <t>Investment Assets - Securities - Total (Insurance)</t>
  </si>
  <si>
    <t>Investment Assets (Insurance) - Securities - Total (Cost)</t>
  </si>
  <si>
    <t>Investment Assets - Total (Insurance)</t>
  </si>
  <si>
    <t>Investment Assets (Insurance) - Securities - Total (Market)</t>
  </si>
  <si>
    <t>Investment Assets (Insurance) - Unlisted Securities - Total</t>
  </si>
  <si>
    <t>Invested Capital - Total</t>
  </si>
  <si>
    <t>Intangible Assets - Total</t>
  </si>
  <si>
    <t>Other Intangibles</t>
  </si>
  <si>
    <t>Inventories - Finished Goods</t>
  </si>
  <si>
    <t>Inventories - Other</t>
  </si>
  <si>
    <t>Inventory/Stock - Other</t>
  </si>
  <si>
    <t>Inventory/Stock - Real Estate Held for Development</t>
  </si>
  <si>
    <t>Inventory/Stock - Real Estate Under Development</t>
  </si>
  <si>
    <t>Inventory/Stock - Real Estate Held for Sale</t>
  </si>
  <si>
    <t>Inventories - Raw Materials</t>
  </si>
  <si>
    <t>Inventories - Work In Process</t>
  </si>
  <si>
    <t>Investment Property</t>
  </si>
  <si>
    <t>Investment Property (Cost)</t>
  </si>
  <si>
    <t>Investment Property (Valuation)</t>
  </si>
  <si>
    <t>Investment Securities - Equity</t>
  </si>
  <si>
    <t>Investment Securities - Equity (Cost)</t>
  </si>
  <si>
    <t>Investment Securities - Equity (Market)</t>
  </si>
  <si>
    <t>Investment Securities - Fixed Income</t>
  </si>
  <si>
    <t>Investment Securities - Fixed Income (Cost)</t>
  </si>
  <si>
    <t>Investment Securities - Fixed Income (Market)</t>
  </si>
  <si>
    <t>Investment Securities - Local Governments</t>
  </si>
  <si>
    <t>Investment Securities - Local Governments (Cost)</t>
  </si>
  <si>
    <t>Investment Securities - Local Governments (Market)</t>
  </si>
  <si>
    <t>Investment Securities - Listed - Total</t>
  </si>
  <si>
    <t>Investment Securities - National Governments</t>
  </si>
  <si>
    <t>Investment Securities - National Governments (Cost)</t>
  </si>
  <si>
    <t>Investment Securities - National Governments (Market)</t>
  </si>
  <si>
    <t>Invetsment Securities - Other (Cost)</t>
  </si>
  <si>
    <t>Investment Securities - Other</t>
  </si>
  <si>
    <t>Invetsment Securities - Other (Market)</t>
  </si>
  <si>
    <t>Investment Securities - Sundry (Cost)</t>
  </si>
  <si>
    <t>Investment Securities - Sundry (Market)</t>
  </si>
  <si>
    <t>Investment Securities - Sundry</t>
  </si>
  <si>
    <t>Investment Securities -Total</t>
  </si>
  <si>
    <t>Investment Securities - Total (Cost)</t>
  </si>
  <si>
    <t>Investment Securities - Total (Market)</t>
  </si>
  <si>
    <t>Investment Securities - Unlisted - Total</t>
  </si>
  <si>
    <t>Investment Tax Credit (Balance Sheet)</t>
  </si>
  <si>
    <t>Investment and Advances - Equity</t>
  </si>
  <si>
    <t>Investment and Advances - Other</t>
  </si>
  <si>
    <t>Investments Grants and Other Deductions</t>
  </si>
  <si>
    <t>Investments - Permanent - Total</t>
  </si>
  <si>
    <t>Short-Term Investments - Total</t>
  </si>
  <si>
    <t>Loans/Claims/Advances - Banks and Government - Total</t>
  </si>
  <si>
    <t>Loans/Claims/Advances - Commercial</t>
  </si>
  <si>
    <t>Loans/Claims/Advances - Consumer</t>
  </si>
  <si>
    <t>Loans/Claims/Advances - Government</t>
  </si>
  <si>
    <t>Loans/Claims/Advances - Lease</t>
  </si>
  <si>
    <t>Loans/Claims/Advances - Long-Term (Banks)</t>
  </si>
  <si>
    <t>Loans/Claims/Advances - Mortgage</t>
  </si>
  <si>
    <t>Loans/Claims/Advances - Other</t>
  </si>
  <si>
    <t>Loans/Claims/Advances - Short-Term - Banks</t>
  </si>
  <si>
    <t>Loans/Claims/Advances - Total</t>
  </si>
  <si>
    <t>Current Liabilities - Other - Total</t>
  </si>
  <si>
    <t>Current Liabilities - Other - Sundry</t>
  </si>
  <si>
    <t>Current Liabilities - Other - Total As Reported</t>
  </si>
  <si>
    <t>Current Liabilities - Other - Excluding Deferred Revenue</t>
  </si>
  <si>
    <t>Current Liabilities - Total</t>
  </si>
  <si>
    <t>Loans/Claims/Advances - Customer - Total</t>
  </si>
  <si>
    <t>Life Insurance in Force</t>
  </si>
  <si>
    <t>LIFO Reserve</t>
  </si>
  <si>
    <t>LDC Loans Outstanding - Medium and Long-Term</t>
  </si>
  <si>
    <t>LDC Loans Outstanding - Other</t>
  </si>
  <si>
    <t>LDC Loans Outstanding - Total</t>
  </si>
  <si>
    <t>Liabilities - Other - Total</t>
  </si>
  <si>
    <t>Liabilities - Other - Excluding Deferred Revenue</t>
  </si>
  <si>
    <t>Legal Reserves</t>
  </si>
  <si>
    <t>Liabilities - Other - Sundry</t>
  </si>
  <si>
    <t>Liabilities and Stockholders Equity - Total</t>
  </si>
  <si>
    <t>Liabilities - Total</t>
  </si>
  <si>
    <t>Noncontrolling Interest (Balance Sheet)</t>
  </si>
  <si>
    <t>Rental Commitments - Minimum - 1st Year</t>
  </si>
  <si>
    <t>Rental Commitments - Minimum - 2nd Year</t>
  </si>
  <si>
    <t>Rental Commitments - Minimum - 3rd Year</t>
  </si>
  <si>
    <t>Rental Commitments - Minimum - 4th Year</t>
  </si>
  <si>
    <t>Rental Commitments - Minimum - 5th Year</t>
  </si>
  <si>
    <t>Rental Commitments - Minimum - 5 Year Total</t>
  </si>
  <si>
    <t>Thereafter Portion of Leases</t>
  </si>
  <si>
    <t>Marketable Securities Adjustment</t>
  </si>
  <si>
    <t>Mandatory Securities Valuation Reserve (Statutory)</t>
  </si>
  <si>
    <t>Loans From Securities Finance Companies for Margin Transactions</t>
  </si>
  <si>
    <t>Nonadmitted Assets - Total (Statutory)</t>
  </si>
  <si>
    <t>Notes Payable - Short-Term Borrowings</t>
  </si>
  <si>
    <t>Nonperforming Assets - Nonaccrual Loans</t>
  </si>
  <si>
    <t>Nonperforming Assets - Other Real Estate Owned</t>
  </si>
  <si>
    <t>Nonperforming Assets - Restructured Loans</t>
  </si>
  <si>
    <t>Nonperforming Assets - Total</t>
  </si>
  <si>
    <t>Order Backlog</t>
  </si>
  <si>
    <t>Options Cancelled - Price</t>
  </si>
  <si>
    <t>Options Exercised - Price</t>
  </si>
  <si>
    <t>Options Outstanding End of Year - Price</t>
  </si>
  <si>
    <t>Options Granted - Price</t>
  </si>
  <si>
    <t>Options Exercisable - Weighted Avg Price</t>
  </si>
  <si>
    <t>Property, Plant and Equipment - Total (Gross)</t>
  </si>
  <si>
    <t>Property, Plant, and Equipment - Buildings (Net)</t>
  </si>
  <si>
    <t>Property, Plant, and Equipment - Construction in Progress (Net)</t>
  </si>
  <si>
    <t>Property, Plant, and Equipment - Land and Improvements (Net)</t>
  </si>
  <si>
    <t>Property, Plant, and Equipment - Leases (Net)</t>
  </si>
  <si>
    <t>Property, Plant, and Equipment - Machinery and Equipment (Net)</t>
  </si>
  <si>
    <t>Property, Plant, and Equipment - Natural Resources (Net)</t>
  </si>
  <si>
    <t>Property, Plant, and Equipment - Other (Net)</t>
  </si>
  <si>
    <t>Property, Plant and Equipment - Total (Net)</t>
  </si>
  <si>
    <t>Property, Plant and Equipment - Beginning Balance (Schedule V)</t>
  </si>
  <si>
    <t>Property, Plant, and Equipment - Ending Balance (Schedule V)</t>
  </si>
  <si>
    <t>Property, Plant, and Equipment - Other Changes (Schedule V)</t>
  </si>
  <si>
    <t>Property, Plant and Equipment - Retirements (Schedule V)</t>
  </si>
  <si>
    <t>Participation Rights Certificates</t>
  </si>
  <si>
    <t>Proposed Dividends</t>
  </si>
  <si>
    <t>Policy Reserves - Total (Statutory)</t>
  </si>
  <si>
    <t>Preferred/Preference Stock (Capital) - Total</t>
  </si>
  <si>
    <t>Preferred Stock - Convertible</t>
  </si>
  <si>
    <t>Preferred Stock - Liquidating Value</t>
  </si>
  <si>
    <t>Preferred/Preference Stock - Nonredeemable</t>
  </si>
  <si>
    <t>Preferred/Preference Stock - Redeemable</t>
  </si>
  <si>
    <t>Preferred Stock - Redemption Value</t>
  </si>
  <si>
    <t>Provision - Credit Losses (Balance Sheet)</t>
  </si>
  <si>
    <t>Provision - Pension Liabilities</t>
  </si>
  <si>
    <t>Provisions - Total</t>
  </si>
  <si>
    <t>Reinsurance Assets - Deposits and Other (Insurance)</t>
  </si>
  <si>
    <t>Resale Agreements</t>
  </si>
  <si>
    <t>Reinsurance Assets - Receivable/Debtors (Insurance)</t>
  </si>
  <si>
    <t>Reinsurance Assets - Total (Insurance)</t>
  </si>
  <si>
    <t>Reserves for Credit Losses (Assets)</t>
  </si>
  <si>
    <t>Regulatory Deposits</t>
  </si>
  <si>
    <t>Retained Earnings - Restatement</t>
  </si>
  <si>
    <t>Retained Earnings - Other Adjustments</t>
  </si>
  <si>
    <t>Receivables - Current - Other</t>
  </si>
  <si>
    <t>Receivables - Estimated Doubtful</t>
  </si>
  <si>
    <t>Receivables - Total</t>
  </si>
  <si>
    <t>Retained Earnings - Cumulative Translation Adjustment</t>
  </si>
  <si>
    <t>Receivables - Trade</t>
  </si>
  <si>
    <t>Unbilled Receivables</t>
  </si>
  <si>
    <t>Total RE Property</t>
  </si>
  <si>
    <t>Retained Earnings - Unadjusted</t>
  </si>
  <si>
    <t>Retained Earnings - Unrestricted</t>
  </si>
  <si>
    <t>Reserve for Loan/Asset Losses</t>
  </si>
  <si>
    <t>Reinsurance Liabilities - Other</t>
  </si>
  <si>
    <t>Reinsurance Liabilities - Payables/Creditors</t>
  </si>
  <si>
    <t>Reinsurers'' Liability for Reserves (Insurance)</t>
  </si>
  <si>
    <t>Reinsurance Liabilities - Total</t>
  </si>
  <si>
    <t>Repurchase Agreements</t>
  </si>
  <si>
    <t>Reversal - Restructuring/Acq Basic EPS Effect</t>
  </si>
  <si>
    <t>Reserves for Benefits - Life - Claims (Insurance)</t>
  </si>
  <si>
    <t>Reserves for Benefits - Life - Policy (Insurance)</t>
  </si>
  <si>
    <t>Reserves for Benefits - Life - Total (Insurance)</t>
  </si>
  <si>
    <t>Reserves - Distributable - Other</t>
  </si>
  <si>
    <t>Reserves - Distributable - Total</t>
  </si>
  <si>
    <t>Equity Reserves - Total</t>
  </si>
  <si>
    <t>Revaluation Reserve</t>
  </si>
  <si>
    <t>Reserves - Nondistributable - Other</t>
  </si>
  <si>
    <t>Reserves - Nondistributable - Total</t>
  </si>
  <si>
    <t>Reserves - Reinsurance (Insurance)</t>
  </si>
  <si>
    <t>Reserves - Sundry (Insurance)</t>
  </si>
  <si>
    <t>Reserves - Total</t>
  </si>
  <si>
    <t>Reserves - Tax-Regulated</t>
  </si>
  <si>
    <t>Reserves for Unearned Premiums (Insurance)</t>
  </si>
  <si>
    <t>Reserves - Untaxed</t>
  </si>
  <si>
    <t>Separate Account Assets</t>
  </si>
  <si>
    <t>Separate Account Liabilities</t>
  </si>
  <si>
    <t>Securities Borrowed and Deposited by Customers</t>
  </si>
  <si>
    <t>Securities In Custody</t>
  </si>
  <si>
    <t>Share Capital - Other</t>
  </si>
  <si>
    <t>Securities Gains (Losses) - Unrealized</t>
  </si>
  <si>
    <t>Stockholders Equity - Parent</t>
  </si>
  <si>
    <t>Other Stockholders- Equity Adjustments</t>
  </si>
  <si>
    <t>Surplus - Total (Statutory)</t>
  </si>
  <si>
    <t>Securities Sold Not Yet Purchased</t>
  </si>
  <si>
    <t>Short-Term Borrowings - Other</t>
  </si>
  <si>
    <t>Short-Term Investments - Other</t>
  </si>
  <si>
    <t>Trading/Dealing Account Securities - Corporate Debt</t>
  </si>
  <si>
    <t>Trading/Dealing Account Securities - Corporate Equity</t>
  </si>
  <si>
    <t>Trading/Dealing Account Securities - Local Governments</t>
  </si>
  <si>
    <t>Trading/Dealing Account Securities - Money Market</t>
  </si>
  <si>
    <t>Trading/Dealing Account Securities - National Governments</t>
  </si>
  <si>
    <t>Trading/Dealing Account Securities - Other</t>
  </si>
  <si>
    <t>Trading/Dealing Account Securities - Sundry</t>
  </si>
  <si>
    <t>Trading/Dealing Account Securities - Total</t>
  </si>
  <si>
    <t>Tax Loss Carry Forward</t>
  </si>
  <si>
    <t>Cumulative Translation Adjustment</t>
  </si>
  <si>
    <t>Treasury Stock (Assets)</t>
  </si>
  <si>
    <t>Treasury Stock - Other Share Capital</t>
  </si>
  <si>
    <t>Treasury Stock - Total (All Capital)</t>
  </si>
  <si>
    <t>Treasury Stock - Common</t>
  </si>
  <si>
    <t>Treasury Stock Book Value - Memo Entry</t>
  </si>
  <si>
    <t>Treasury Stock - Preferrred</t>
  </si>
  <si>
    <t>Deferred Taxes (Balance Sheet)</t>
  </si>
  <si>
    <t>Deferred Tax Asset - Long Term</t>
  </si>
  <si>
    <t>Deferred Tax Asset - Current</t>
  </si>
  <si>
    <t>Deferred Tax Liability - Current</t>
  </si>
  <si>
    <t>Deferred Taxes and Investment Tax Credit</t>
  </si>
  <si>
    <t>Net Deferred Tax Asset (Liab) - Total</t>
  </si>
  <si>
    <t>Net Deferred Tax Asset</t>
  </si>
  <si>
    <t>Net Deferred Tax Liability</t>
  </si>
  <si>
    <t>Deferred Tax Residual</t>
  </si>
  <si>
    <t>Income Tax Refund</t>
  </si>
  <si>
    <t>Other Assets - Utility</t>
  </si>
  <si>
    <t>Accounts Payable - Utility</t>
  </si>
  <si>
    <t>Paid in Capital - Other</t>
  </si>
  <si>
    <t>Contributions in Aid of Construction</t>
  </si>
  <si>
    <t>Common Equity Total - Utility</t>
  </si>
  <si>
    <t>Customer Advances for Construction</t>
  </si>
  <si>
    <t>Deferred Credits and Operating Reserves - Other</t>
  </si>
  <si>
    <t>Debt (Debentures)</t>
  </si>
  <si>
    <t>Debt (Mortgage Bonds) - Utility</t>
  </si>
  <si>
    <t>Debt (Other Long-Term) - Utility</t>
  </si>
  <si>
    <t>Debt (Pollution Control Obligations) - Utility</t>
  </si>
  <si>
    <t>Unearned Income</t>
  </si>
  <si>
    <t>Inventories - Utility</t>
  </si>
  <si>
    <t>Current Liabilities - Miscellaneous</t>
  </si>
  <si>
    <t>Current Liabilities - Other - Utility</t>
  </si>
  <si>
    <t>Unappropriated Net Loss</t>
  </si>
  <si>
    <t>Unappropriated Net Profit (Stockholders'' Equity)</t>
  </si>
  <si>
    <t>Unappropriated Net Profit</t>
  </si>
  <si>
    <t>Operating Reserves</t>
  </si>
  <si>
    <t>Premium on Common Stock*</t>
  </si>
  <si>
    <t>Premium on Preferred Stock*</t>
  </si>
  <si>
    <t>Premium on Preference Stock*</t>
  </si>
  <si>
    <t>Premium on Subsidiary Preferred Stock*</t>
  </si>
  <si>
    <t>Preferred Stock at Carrying Value</t>
  </si>
  <si>
    <t>Preference Stock at Carrying Value*</t>
  </si>
  <si>
    <t>Preferred/Preference Stock Sinking Fund Requirement</t>
  </si>
  <si>
    <t>Receivables (Net)</t>
  </si>
  <si>
    <t>Accounts Receivable - Trade - Utility</t>
  </si>
  <si>
    <t>Accrued Unbilled Revenues (Balance Sheet)</t>
  </si>
  <si>
    <t>Subsidiary Preferred Stock at Carrying Value</t>
  </si>
  <si>
    <t>Investments - Permanent - Associated Companies</t>
  </si>
  <si>
    <t>Investments - Permanent - Other</t>
  </si>
  <si>
    <t>Working Capital (Balance Sheet)</t>
  </si>
  <si>
    <t>Accrued Expenses</t>
  </si>
  <si>
    <t>Prepaid Expenses</t>
  </si>
  <si>
    <t>Accounting Changes - Cumulative Effect</t>
  </si>
  <si>
    <t>Amortization of Deferred Policy Acquisition Costs</t>
  </si>
  <si>
    <t>Amortization of Intangibles</t>
  </si>
  <si>
    <t>Amortization of Deferred Charges</t>
  </si>
  <si>
    <t>Amortization of Goodwill</t>
  </si>
  <si>
    <t>Acquisition/Merger After-tax</t>
  </si>
  <si>
    <t>Acquisition/Merger Diluted EPS Effect</t>
  </si>
  <si>
    <t>Acquisition/Merger Basic EPS Effect</t>
  </si>
  <si>
    <t>Acquisitions - Income Contribution</t>
  </si>
  <si>
    <t>Acquisition/Merger Pretax</t>
  </si>
  <si>
    <t>Acquisitions - Sales Contribution</t>
  </si>
  <si>
    <t>As Reported Core - After-tax</t>
  </si>
  <si>
    <t>As Reported Core - Diluted EPS Effect</t>
  </si>
  <si>
    <t>As Reported Core - Basic EPS Effect</t>
  </si>
  <si>
    <t>Appropriations to Untaxed Reserves</t>
  </si>
  <si>
    <t>Benefits Assumed - Life</t>
  </si>
  <si>
    <t>Benefits Assumed - Nonlife</t>
  </si>
  <si>
    <t>Benefits Assumed - Total</t>
  </si>
  <si>
    <t>Brokerage, Clearing and Exchange Fees</t>
  </si>
  <si>
    <t>Benefits Ceded - Life</t>
  </si>
  <si>
    <t>Benefits and Claims - Total (Business Line)</t>
  </si>
  <si>
    <t>Benefits Ceded - Nonlife</t>
  </si>
  <si>
    <t>Benefits and Claims - Reinsurance (Business Line)</t>
  </si>
  <si>
    <t>Benefits and Claims - Total (Insurance)</t>
  </si>
  <si>
    <t>Benefits and Claims - Other (Business Line)</t>
  </si>
  <si>
    <t>Benefits Ceded - Total</t>
  </si>
  <si>
    <t>Benefits - Life - Total (Business Line)</t>
  </si>
  <si>
    <t>Claims Incurred - Insurance</t>
  </si>
  <si>
    <t>Capitalized Deferred Polcy Acquisition Costs</t>
  </si>
  <si>
    <t>Commissions and Fees - (Broker/Dealer)</t>
  </si>
  <si>
    <t>Commissions and Fees - (Real Estate)</t>
  </si>
  <si>
    <t>Commissions and Fees - Other</t>
  </si>
  <si>
    <t>Commissions and Fees Paid - Other</t>
  </si>
  <si>
    <t>Capital Gains - After-Tax</t>
  </si>
  <si>
    <t>Capital Gains - Realized (Insurance)</t>
  </si>
  <si>
    <t>Capital Gains - Total (Insurance)</t>
  </si>
  <si>
    <t>Capital Gains - Unrealized (Insurance)</t>
  </si>
  <si>
    <t>Comp Inc - Beginning Net Income</t>
  </si>
  <si>
    <t>Comp Inc - Currency Trans Adj</t>
  </si>
  <si>
    <t>Comp Inc - Derivative Gains/Losses</t>
  </si>
  <si>
    <t>Comp Inc - Other Adj</t>
  </si>
  <si>
    <t>Comp Inc - Minimum Pension Adj</t>
  </si>
  <si>
    <t>Comp Inc - Securities Gains/Losses</t>
  </si>
  <si>
    <t>Comprehensive Income - Parent</t>
  </si>
  <si>
    <t>Claims - Non-Life - Total (Business Line)</t>
  </si>
  <si>
    <t>Cost of Goods Sold</t>
  </si>
  <si>
    <t>Commercial Property and Casualty Claims (Business Line)</t>
  </si>
  <si>
    <t>Claims Paid - Other</t>
  </si>
  <si>
    <t>Claims Paid - Non-Life</t>
  </si>
  <si>
    <t>Commercial Property and Casualty Premiums (Business Line)</t>
  </si>
  <si>
    <t>Claims Paid - Reinsurance</t>
  </si>
  <si>
    <t>Common Stock Equivalents - Dollar Savings</t>
  </si>
  <si>
    <t>Death Benefits - Insurance</t>
  </si>
  <si>
    <t>Depreciation of Tangible Fixed Assets</t>
  </si>
  <si>
    <t>Dilution Adjustment</t>
  </si>
  <si>
    <t>Dilution Available - Excluding Extraordinary Items</t>
  </si>
  <si>
    <t>Discontinued Operations</t>
  </si>
  <si>
    <t>Nonrecurring Disc Operations</t>
  </si>
  <si>
    <t>Depreciation and Amortization</t>
  </si>
  <si>
    <t>Depr/Amort of Property</t>
  </si>
  <si>
    <t>Extinguishment of Debt After-tax</t>
  </si>
  <si>
    <t>Extinguishment of Debt Diluted EPS Effect</t>
  </si>
  <si>
    <t>Extinguishment of Debt Basic EPS Effect</t>
  </si>
  <si>
    <t>Extinguishment of Debt Pretax</t>
  </si>
  <si>
    <t>Dividends Common/Ordinary</t>
  </si>
  <si>
    <t>Dividends Declared and Not Provided</t>
  </si>
  <si>
    <t>Dividends - Preferred/Preference</t>
  </si>
  <si>
    <t>Cash Dividends Paid</t>
  </si>
  <si>
    <t>Dividends and Bonuses Paid Policyholders</t>
  </si>
  <si>
    <t>Dividends Received from Permanent Investments</t>
  </si>
  <si>
    <t>Development Revenue (Real Estate)</t>
  </si>
  <si>
    <t>Dividends - Share Capital - Other</t>
  </si>
  <si>
    <t>Dividends - Total</t>
  </si>
  <si>
    <t>Earnings Before Interest and Taxes</t>
  </si>
  <si>
    <t>Earnings Before Interest</t>
  </si>
  <si>
    <t>Equity in Earnings - After-Tax</t>
  </si>
  <si>
    <t>Directors'' Emoluments</t>
  </si>
  <si>
    <t>Earnings Per Share (Diluted) - Including Extraordinary Items</t>
  </si>
  <si>
    <t>Earnings Per Share (Diluted) - Excluding Extraordinary Items</t>
  </si>
  <si>
    <t>Earnings Per Share (Basic) - Including Extraordinary Items</t>
  </si>
  <si>
    <t>Earnings Per Share (Basic) - Excluding Extraordinary Items</t>
  </si>
  <si>
    <t>Equity in Earnings - Unconsolidated Subsidiaries</t>
  </si>
  <si>
    <t>Fixed Assets and Investments - Disposals - Gain (Loss)</t>
  </si>
  <si>
    <t>Foreign Exchange Income (Loss)</t>
  </si>
  <si>
    <t>Funds From Operations (REIT)</t>
  </si>
  <si>
    <t>Group Benefits (Business Line)</t>
  </si>
  <si>
    <t>Goodwill Amortization</t>
  </si>
  <si>
    <t>Impairments of Goodwill After-tax</t>
  </si>
  <si>
    <t>Impairments of Goodwill Diluted EPS Effect</t>
  </si>
  <si>
    <t>Impairments of Goodwill Basic EPS Effect</t>
  </si>
  <si>
    <t>Impairments of Goodwill Pretax</t>
  </si>
  <si>
    <t>Gain/Loss After-tax</t>
  </si>
  <si>
    <t>Gain/Loss on Sale (Core Earnings Adjusted) After-tax</t>
  </si>
  <si>
    <t>Gain/Loss on Sale (Core Earnings Adjusted) Diluted EPS</t>
  </si>
  <si>
    <t>Gain/Loss on Sale (Core Earnings Adjusted) Basic EPS Effect</t>
  </si>
  <si>
    <t>Gain/Loss on Sale (Core Earnings Adjusted) Pretax</t>
  </si>
  <si>
    <t>Gain/Loss Diluted EPS Effect</t>
  </si>
  <si>
    <t>Gain/Loss Basic EPS Effect</t>
  </si>
  <si>
    <t>Gain/Loss Pretax</t>
  </si>
  <si>
    <t>Gross Profit (Loss)</t>
  </si>
  <si>
    <t>Group Premiums - Health (Business Line)</t>
  </si>
  <si>
    <t>Group Premiums - Life (Business Line)</t>
  </si>
  <si>
    <t>Group Premiums - Other (Business Line)</t>
  </si>
  <si>
    <t>Group Premiums - Retirement Benefits (Business Line)</t>
  </si>
  <si>
    <t>Group Premiums - Total (Business Line)</t>
  </si>
  <si>
    <t>Goodwill Written Off</t>
  </si>
  <si>
    <t>Gain/Loss on Ineffective Hedges</t>
  </si>
  <si>
    <t>Income Before Extraordinary Items</t>
  </si>
  <si>
    <t>Income Before Extraordinary Items - Adjusted for Common Stock Equivalents</t>
  </si>
  <si>
    <t>Individual Benefits (Business Line)</t>
  </si>
  <si>
    <t>Income Before Extraordinary Items - Available for Common</t>
  </si>
  <si>
    <t>Investment Banking Income</t>
  </si>
  <si>
    <t>Interest and Dividend Income - Investment Securities</t>
  </si>
  <si>
    <t>Interest and Dividend Income - Loans/Claims/Advances - Banks</t>
  </si>
  <si>
    <t>Interest and Dividend Income - Loans/Claims/Advances - Customers</t>
  </si>
  <si>
    <t>Interest and Dividend Income - Sundry</t>
  </si>
  <si>
    <t>Interest and Dividend Income - Short-Term Investments</t>
  </si>
  <si>
    <t>Interest and Related Income - Total</t>
  </si>
  <si>
    <t>Interest and Dividend Income - Trading Securities</t>
  </si>
  <si>
    <t>Investment Income (Real Estate)</t>
  </si>
  <si>
    <t>Income - Non-interest - Total (Bank)</t>
  </si>
  <si>
    <t>Interest Capitalized</t>
  </si>
  <si>
    <t>Income - Other (Broker Dealer)</t>
  </si>
  <si>
    <t>Income - Other (Insurance)</t>
  </si>
  <si>
    <t>Income - Other (Real Estate)</t>
  </si>
  <si>
    <t>Individual Premiums - Annuity (Business Line)</t>
  </si>
  <si>
    <t>Individual Premiums - Health (Business Line)</t>
  </si>
  <si>
    <t>Individual Premiums - Life (Business Line)</t>
  </si>
  <si>
    <t>Individual Premiums - Other (Business Line)</t>
  </si>
  <si>
    <t>Individual Premiums - Total (Business Line)</t>
  </si>
  <si>
    <t>Insurance Premiums - Total (Insurance)</t>
  </si>
  <si>
    <t>Interest and Related Income - Reinsurance (Insurance)</t>
  </si>
  <si>
    <t>Rental Income</t>
  </si>
  <si>
    <t>Interest and Related Income (Insurance)</t>
  </si>
  <si>
    <t>Interest and Related Income - Life (Insurance)</t>
  </si>
  <si>
    <t>Interest and Related Income - Non-Life (Insurance)</t>
  </si>
  <si>
    <t>Interest and Related Income - Sundry (Insurance)</t>
  </si>
  <si>
    <t>Investment Securities - Gain (Loss) - Realized</t>
  </si>
  <si>
    <t>Investment Securities - Gain (Loss) - Total</t>
  </si>
  <si>
    <t>Investment Securities - Gain (Loss) - Unrealized</t>
  </si>
  <si>
    <t>Investment Tax Credit (Income Account)</t>
  </si>
  <si>
    <t>Investment Income - Total (Insurance)</t>
  </si>
  <si>
    <t>Leasing Income</t>
  </si>
  <si>
    <t>Loan Loss Recoveries - Credited to Income</t>
  </si>
  <si>
    <t>Loan Loss Recoveries - Credited to Reserves</t>
  </si>
  <si>
    <t>Loan Loss Written Off - Charged to Income</t>
  </si>
  <si>
    <t>Loan Loss Written Off - Charged to Reserves</t>
  </si>
  <si>
    <t>Life Insurance Surrenders and Terminations</t>
  </si>
  <si>
    <t>Noncontrolling Interest (Income Account)</t>
  </si>
  <si>
    <t>Net Charge-Offs</t>
  </si>
  <si>
    <t>Non-Financial Services Revenue</t>
  </si>
  <si>
    <t>Net Income (Loss)</t>
  </si>
  <si>
    <t>Net Income Adjusted for Common/Ordinary Stock (Capital) Equivalents</t>
  </si>
  <si>
    <t>Net Income Effect Capitalized Interest</t>
  </si>
  <si>
    <t>Net Interest Income</t>
  </si>
  <si>
    <t>Net Interest Income (Tax Equivalent)</t>
  </si>
  <si>
    <t>Net Interest Margin</t>
  </si>
  <si>
    <t>Net Items - Other</t>
  </si>
  <si>
    <t>Net Item - Total</t>
  </si>
  <si>
    <t>Net Income - Total (Statutory)</t>
  </si>
  <si>
    <t>Nonoperating Income (Expense)</t>
  </si>
  <si>
    <t>Nonoperating Income (Expense) - Other</t>
  </si>
  <si>
    <t>Nonrecurring Income Taxes After-tax</t>
  </si>
  <si>
    <t>Nonrecurring Income Tax Diluted EPS Effect</t>
  </si>
  <si>
    <t>Nonrecurring Income Tax Basic EPS Effect</t>
  </si>
  <si>
    <t>Operating Income After Depreciation</t>
  </si>
  <si>
    <t>Operating Income Before Depreciation</t>
  </si>
  <si>
    <t>Earnings Per Share from Operations</t>
  </si>
  <si>
    <t>Operating Income - Life</t>
  </si>
  <si>
    <t>Operating Income - As Reported</t>
  </si>
  <si>
    <t>Operating Income - Non-Life</t>
  </si>
  <si>
    <t>Operating Income - Other</t>
  </si>
  <si>
    <t>Operating Income - Reinsurance</t>
  </si>
  <si>
    <t>Operating Income - Total</t>
  </si>
  <si>
    <t>Earnings Per Share - Diluted - from Operations</t>
  </si>
  <si>
    <t>Premiums Assumed - Life</t>
  </si>
  <si>
    <t>Premiums Assumed - Nonlife</t>
  </si>
  <si>
    <t>Premiums Assumed - Total</t>
  </si>
  <si>
    <t>Provision - Credit Losses (Income Account)</t>
  </si>
  <si>
    <t>Premiums Ceded - Life</t>
  </si>
  <si>
    <t>Premiums Ceded - Nonlife</t>
  </si>
  <si>
    <t>Premiums Ceded - Total</t>
  </si>
  <si>
    <t>Pretax Income</t>
  </si>
  <si>
    <t>Pretax Income - Domestic</t>
  </si>
  <si>
    <t>Pretax Income - Foreign</t>
  </si>
  <si>
    <t>Provision for Loan/Asset Losses</t>
  </si>
  <si>
    <t>Premiums - Life - Total (Business Line)</t>
  </si>
  <si>
    <t>Core Pension Adjustment</t>
  </si>
  <si>
    <t>Core Pension Adjustment Diluted EPS Effect</t>
  </si>
  <si>
    <t>Core Pension Adjustment Basic EPS Effect</t>
  </si>
  <si>
    <t>Core Pension Interest Adjustment After-tax</t>
  </si>
  <si>
    <t>Core Pension Interest Adjustment Diluted EPS Effect</t>
  </si>
  <si>
    <t>Core Pension Interest Adjustment Basic EPS Effect</t>
  </si>
  <si>
    <t>Core Pension Interest Adjustment Pretax</t>
  </si>
  <si>
    <t>Core Pension w/o Interest Adjustment After-tax</t>
  </si>
  <si>
    <t>Core Pension w/o Interest Adjustment Diluted EPS Effect</t>
  </si>
  <si>
    <t>Core Pension w/o Interest Adjustment Basic EPS Effect</t>
  </si>
  <si>
    <t>Core Pension w/o Interest Adjustment Pretax</t>
  </si>
  <si>
    <t>Premiums - Nonlife - Total (Business Line)</t>
  </si>
  <si>
    <t>Premiums Written - Non-Life</t>
  </si>
  <si>
    <t>Premiums - Other (Business Line)</t>
  </si>
  <si>
    <t>Personal Property and Casualty Claims (Business Line)</t>
  </si>
  <si>
    <t>Personal Property and Casualty Premiums - Automobile (Business Line)</t>
  </si>
  <si>
    <t>Personal Property and Casualty Premiums - Homeowners (Business Line)</t>
  </si>
  <si>
    <t>Personal Property and Casualty Premiums - Other (Business Line)</t>
  </si>
  <si>
    <t>Personal Property &amp; Casualty Premiums - Total (Business Line)</t>
  </si>
  <si>
    <t>Core Post Retirement Adjustment</t>
  </si>
  <si>
    <t>Core Post Retirement Adjustment Diluted EPS Effect</t>
  </si>
  <si>
    <t>Core Post Retirement Adjustment Basic EPS Effect</t>
  </si>
  <si>
    <t>Premiums - Reinsurance (Business Line)</t>
  </si>
  <si>
    <t>Premiums Written - Reinsurance</t>
  </si>
  <si>
    <t>Premiums - Total (Business Line)</t>
  </si>
  <si>
    <t>Principal Transactions</t>
  </si>
  <si>
    <t>Provision - Other</t>
  </si>
  <si>
    <t>Provisions - Other (Net)</t>
  </si>
  <si>
    <t>Premiums Written - Other</t>
  </si>
  <si>
    <t>Restructuring Costs After-tax</t>
  </si>
  <si>
    <t>Restructuring Costs Diluted EPS Effect</t>
  </si>
  <si>
    <t>Restructuring Costs Basic EPS Effect</t>
  </si>
  <si>
    <t>Restructuring Costs Pretax</t>
  </si>
  <si>
    <t>In Process R&amp;D Expense</t>
  </si>
  <si>
    <t>In Process R&amp;D Expense After-tax</t>
  </si>
  <si>
    <t>In Process R&amp;D Expense Diluted EPS Effect</t>
  </si>
  <si>
    <t>In Process R&amp;D Expense Basic EPS Effect</t>
  </si>
  <si>
    <t>Revenue - Total</t>
  </si>
  <si>
    <t>Revenue/Income - Sundry</t>
  </si>
  <si>
    <t>Auditors'' Remuneraton</t>
  </si>
  <si>
    <t>Reversal - Restructruring/Acquisition Aftertax</t>
  </si>
  <si>
    <t>Reversal - Restructuring/Acq Diluted EPS Effect</t>
  </si>
  <si>
    <t>Reversal - Restructruring/Acquisition Pretax</t>
  </si>
  <si>
    <t>Settlement (Litigation/Insurance) After-tax</t>
  </si>
  <si>
    <t>Settlement (Litigation/Insurance) Diluted EPS Effect</t>
  </si>
  <si>
    <t>Settlement (Litigation/Insurance) Basic EPS Effect</t>
  </si>
  <si>
    <t>Settlement (Litigation/Insurance) Pretax</t>
  </si>
  <si>
    <t>S&amp;P Core Earnings</t>
  </si>
  <si>
    <t>S&amp;P Core Earnings EPS Diluted</t>
  </si>
  <si>
    <t>S&amp;P Core Earnings EPS Basic</t>
  </si>
  <si>
    <t>Special Items</t>
  </si>
  <si>
    <t>Other Special Items Diluted EPS Effect</t>
  </si>
  <si>
    <t>Other Special Items Basic EPS Effect</t>
  </si>
  <si>
    <t>Other Special Items After-tax</t>
  </si>
  <si>
    <t>Other Special Items Pretax</t>
  </si>
  <si>
    <t>Gain/Loss on Sale of Property</t>
  </si>
  <si>
    <t>Stock Compensation Expense</t>
  </si>
  <si>
    <t>After-tax stock compensation</t>
  </si>
  <si>
    <t>Trading/Dealing Securities - Gain (Loss)</t>
  </si>
  <si>
    <t>Trust Fees</t>
  </si>
  <si>
    <t>Interest Expense - Total (Financial Services)</t>
  </si>
  <si>
    <t>Interest Income - Total (Financial Services)</t>
  </si>
  <si>
    <t>Income Taxes - Current</t>
  </si>
  <si>
    <t>Deferred Taxes-Federal</t>
  </si>
  <si>
    <t>Deferred Taxes-Foreign</t>
  </si>
  <si>
    <t>Income Taxes - Deferred</t>
  </si>
  <si>
    <t>Deferred Taxes-State</t>
  </si>
  <si>
    <t>Tax - Equivalent Adjustment</t>
  </si>
  <si>
    <t>Tax - Equivalent Interest Income (Gross)</t>
  </si>
  <si>
    <t>Income Taxes - Federal</t>
  </si>
  <si>
    <t>Income Taxes - Foreign</t>
  </si>
  <si>
    <t>Income Taxes - Other</t>
  </si>
  <si>
    <t>Income Taxes - State</t>
  </si>
  <si>
    <t>Income Taxes - Total</t>
  </si>
  <si>
    <t>Value Added Taxes</t>
  </si>
  <si>
    <t>Excise Taxes</t>
  </si>
  <si>
    <t>Depreciation of Fixed Assets</t>
  </si>
  <si>
    <t>Preferred Dividend Requirements</t>
  </si>
  <si>
    <t>Gross Income (Income Before Interest Charges)</t>
  </si>
  <si>
    <t>Net Income before Extraordinary Items and after Noncontrolling Interest</t>
  </si>
  <si>
    <t>Nonoperating Income (Net) - Other</t>
  </si>
  <si>
    <t>Operating Income - Total - Utility</t>
  </si>
  <si>
    <t>Preference Dividend Requirements*</t>
  </si>
  <si>
    <t>Subsidiary Preferred Dividends</t>
  </si>
  <si>
    <t>Maintenance Expense - Total</t>
  </si>
  <si>
    <t>Current Taxes - Federal (Operating)</t>
  </si>
  <si>
    <t>Interest On Short-Term Debt - Utility</t>
  </si>
  <si>
    <t>Interest on Long-Term Debt*</t>
  </si>
  <si>
    <t>Writedowns After-tax</t>
  </si>
  <si>
    <t>Writedowns Diluted EPS Effect</t>
  </si>
  <si>
    <t>Writedowns Basic EPS Effect</t>
  </si>
  <si>
    <t>Writedowns Pretax</t>
  </si>
  <si>
    <t>Advertising Expense</t>
  </si>
  <si>
    <t>Administrative and General Expense - Other</t>
  </si>
  <si>
    <t>Administrative and General Expense - Total</t>
  </si>
  <si>
    <t>Communications Expense</t>
  </si>
  <si>
    <t>Commissions Expense (Insurance)</t>
  </si>
  <si>
    <t>Depletion Expense (Schedule VI)</t>
  </si>
  <si>
    <t>Depreciation Expense (Schedule VI)</t>
  </si>
  <si>
    <t>Expense - Development (Real Estate)</t>
  </si>
  <si>
    <t>Equipment and Occupancy Expense</t>
  </si>
  <si>
    <t>Extraordinary Items</t>
  </si>
  <si>
    <t>Extraordinary Items and Discontinued Operations</t>
  </si>
  <si>
    <t>Interest Expense - Deposits - Banks</t>
  </si>
  <si>
    <t>Interest Expense - Deposits - Customer</t>
  </si>
  <si>
    <t>Interest Expense - Sundry</t>
  </si>
  <si>
    <t>Interest Expense - Short-Term Borrowings</t>
  </si>
  <si>
    <t>Interest and Related Expense - Total</t>
  </si>
  <si>
    <t>Interest Expense - Long-Term Debt</t>
  </si>
  <si>
    <t>Implied Option Expense</t>
  </si>
  <si>
    <t>Investment Expense (Insurance)</t>
  </si>
  <si>
    <t>Expense - Investment (Real Estate)</t>
  </si>
  <si>
    <t>Staff Expense - Total</t>
  </si>
  <si>
    <t>Other Insurance Expense</t>
  </si>
  <si>
    <t>Non-Financial Services Expense</t>
  </si>
  <si>
    <t>Other Expense - Noninsurance</t>
  </si>
  <si>
    <t>Expense - Noninterest - Total (Bank)</t>
  </si>
  <si>
    <t>Expense - Other (Broker/Dealer)</t>
  </si>
  <si>
    <t>Expenses - Other (Insurance)</t>
  </si>
  <si>
    <t>Operating Expenses - Total</t>
  </si>
  <si>
    <t>Operatings Expenses - As Reported</t>
  </si>
  <si>
    <t>Implied Option EPS Diluted</t>
  </si>
  <si>
    <t>Implied Option EPS Basic</t>
  </si>
  <si>
    <t>Expense - Other (Real Estate)</t>
  </si>
  <si>
    <t>Pension and Retirement Expense</t>
  </si>
  <si>
    <t>Research and Development Expense</t>
  </si>
  <si>
    <t>Rental Expense</t>
  </si>
  <si>
    <t>Expense - Sundry</t>
  </si>
  <si>
    <t>Selling, General and Administrative Expense</t>
  </si>
  <si>
    <t>Staff Expense (Income Account)</t>
  </si>
  <si>
    <t>Staff Expense - Other</t>
  </si>
  <si>
    <t>Staff Expense - Wages and Salaries</t>
  </si>
  <si>
    <t>Expense - Total</t>
  </si>
  <si>
    <t>Other Underwriting Expenses - Insurance</t>
  </si>
  <si>
    <t>Underwriting Expense - Life</t>
  </si>
  <si>
    <t>Underwriting Expense - Non-Life</t>
  </si>
  <si>
    <t>Underwriting Expense - Other</t>
  </si>
  <si>
    <t>Underwriting Expense - Reinsurance</t>
  </si>
  <si>
    <t>Underwriting Expense - Total</t>
  </si>
  <si>
    <t>Allowance for Funds Used During Construction (Cash Flow)</t>
  </si>
  <si>
    <t>Allowance for Funds Used During Construction (Investing) (Cash Flow)</t>
  </si>
  <si>
    <t>Amortization (Cash Flow) - Utility</t>
  </si>
  <si>
    <t>Assets and Liabilities - Other - Net Change</t>
  </si>
  <si>
    <t>Accounts Payable and Accrued Liabilities - Increase/(Decrease)</t>
  </si>
  <si>
    <t>Capital Expenditures</t>
  </si>
  <si>
    <t>Capital Expend Property, Plant and Equipment Schd V</t>
  </si>
  <si>
    <t>Cash Dividends on Common Stock (Cash Flow)</t>
  </si>
  <si>
    <t>Cash and Cash Equivalents - Increase/(Decrease)</t>
  </si>
  <si>
    <t>Depreciation and Depletion (Cash Flow)</t>
  </si>
  <si>
    <t>Current Debt - Changes</t>
  </si>
  <si>
    <t>Long-Term Debt - Issuance</t>
  </si>
  <si>
    <t>Long-Term Debt - Reduction</t>
  </si>
  <si>
    <t>Depreciation and Amortization (Cash Flow)</t>
  </si>
  <si>
    <t>Cash Dividends (Cash Flow)</t>
  </si>
  <si>
    <t>Equity in Net Loss - Earnings</t>
  </si>
  <si>
    <t>Financing Activities - Other</t>
  </si>
  <si>
    <t>Financing Activities - Net Cash Flow</t>
  </si>
  <si>
    <t>Funds from Operations - Other</t>
  </si>
  <si>
    <t>Funds from Operations - Other excluding Option Tax Benefit</t>
  </si>
  <si>
    <t>Funds From Operations - Total</t>
  </si>
  <si>
    <t>Sources of Funds - Other</t>
  </si>
  <si>
    <t>Sources of Funds - Total</t>
  </si>
  <si>
    <t>Uses of Funds - Other</t>
  </si>
  <si>
    <t>Uses of Funds - Total</t>
  </si>
  <si>
    <t>Income Before Extraordinary Items (Cash Flow)</t>
  </si>
  <si>
    <t>Interest Paid - Net</t>
  </si>
  <si>
    <t>Inventory - Decrease (Increase)</t>
  </si>
  <si>
    <t>Investment Tax Credit - Net (Cash Flow) - Utility</t>
  </si>
  <si>
    <t>Investing Activities - Other</t>
  </si>
  <si>
    <t>Increase in Investments</t>
  </si>
  <si>
    <t>Investing Activities - Net Cash Flow</t>
  </si>
  <si>
    <t>Short-Term Investments - Change</t>
  </si>
  <si>
    <t>Operating Activities - Net Cash Flow</t>
  </si>
  <si>
    <t>Cash Dividends on Preferred/Preference Stock (Cash Flow)</t>
  </si>
  <si>
    <t>Purchase of Common and Preferred Stock</t>
  </si>
  <si>
    <t>Purchase of Common Stock (Cash Flow)</t>
  </si>
  <si>
    <t>Purchase of Preferred/Preference Stock (Cash Flow)</t>
  </si>
  <si>
    <t>Accounts Receivable - Decrease (Increase)</t>
  </si>
  <si>
    <t>Sale of Common Stock (Cash Flow)</t>
  </si>
  <si>
    <t>Sale of Investments</t>
  </si>
  <si>
    <t>Sale of Property</t>
  </si>
  <si>
    <t>Sale of Property, Plant and Equipment and Investments - Gain (Loss)</t>
  </si>
  <si>
    <t>Sale of Preferred/Preference Stock (Cash Flow)</t>
  </si>
  <si>
    <t>Sale of Common and Preferred Stock</t>
  </si>
  <si>
    <t>Deferred Income Taxes - Net (Cash Flow)</t>
  </si>
  <si>
    <t>Total Sources/Applications of Funds (Cash Flow)</t>
  </si>
  <si>
    <t>Income Taxes - Accrued - Increase/(Decrease)</t>
  </si>
  <si>
    <t>Excess Tax Benefit Stock Options - Cash Flow Operating</t>
  </si>
  <si>
    <t>Excess Tax Benefit of Stock Options - Cash Flow Financing</t>
  </si>
  <si>
    <t>Deferred Taxes (Cash Flow)</t>
  </si>
  <si>
    <t>Income Taxes Paid</t>
  </si>
  <si>
    <t>Other Assets and Liabilities - Net Change (Statement of Cash Flows)</t>
  </si>
  <si>
    <t>Deferred Fuel - Increase (Decrease) (Statement of Cash Flows)</t>
  </si>
  <si>
    <t>Funds for Retirement of Securities and Short-Term Debt (Cash Flow)</t>
  </si>
  <si>
    <t>Working Capital (Use) - Increase (Decrease) (Cash Flow)</t>
  </si>
  <si>
    <t>Other Internal Sources - Net (Cash Flow)</t>
  </si>
  <si>
    <t>Short-Term Debt - Decrease (Increase) (Cash Flow)</t>
  </si>
  <si>
    <t>Total Funds From Operations (Cash Flow)</t>
  </si>
  <si>
    <t>Total Funds from Outside Sources (Cash Flow)</t>
  </si>
  <si>
    <t>Working Capital (Source) - Decrease (Increase) (Cash Flow)</t>
  </si>
  <si>
    <t>Working Capital Change - Other - Increase/(Decrease)</t>
  </si>
  <si>
    <t>Working Capital Change - Total</t>
  </si>
  <si>
    <t>Extraordinary Items and Discontinued Operations (Cash Flow)</t>
  </si>
  <si>
    <t xml:space="preserve"> </t>
  </si>
  <si>
    <t>Parameter</t>
  </si>
  <si>
    <t>Value</t>
  </si>
  <si>
    <t>Slope (Dummy variable)</t>
  </si>
  <si>
    <t>Intercept</t>
  </si>
  <si>
    <t>Standard Error (Slope)</t>
  </si>
  <si>
    <t>Standard Error (Intercept)</t>
  </si>
  <si>
    <t>R-squared</t>
  </si>
  <si>
    <t>Standard Error of Estimate</t>
  </si>
  <si>
    <t>F-statistic</t>
  </si>
  <si>
    <t>Degrees of Freedom</t>
  </si>
  <si>
    <t>SSR (Regression SS)</t>
  </si>
  <si>
    <t>SSE (Residual SS)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</si>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</sst>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9">
    <xf numFmtId="0" fontId="0" fillId="0" borderId="0" xfId="0"/>
    <xf numFmtId="22" fontId="0" fillId="0" borderId="0" xfId="0" applyNumberFormat="1"/>
    <xf numFmtId="14" fontId="0" fillId="0" borderId="0" xfId="0" applyNumberFormat="1"/>
    <xf numFmtId="164" fontId="0" fillId="0" borderId="0" xfId="1" applyNumberFormat="1" applyFont="1"/>
    <xf numFmtId="2" fontId="0" fillId="0" borderId="0" xfId="0" applyNumberFormat="1"/>
    <xf numFmtId="164" fontId="0" fillId="0" borderId="0" xfId="0" applyNumberFormat="1"/>
    <xf numFmtId="164" fontId="0" fillId="0" borderId="4" xfId="1" applyNumberFormat="1" applyFont="1" applyFill="1" applyBorder="1"/>
    <xf numFmtId="0" fontId="0" fillId="0" borderId="2" xfId="0" applyBorder="1"/>
    <xf numFmtId="0" fontId="0" fillId="0" borderId="0" xfId="0" applyAlignment="1"/>
    <xf numFmtId="0" fontId="2" fillId="0" borderId="21" xfId="0" applyFont="1" applyBorder="1" applyAlignment="1">
      <alignment horizontal="center"/>
    </xf>
    <xf numFmtId="0" fontId="0" fillId="0" borderId="14" xfId="0" applyBorder="1" applyAlignment="1"/>
    <xf numFmtId="4" fontId="0" fillId="0" borderId="14" xfId="0" applyNumberFormat="1" applyBorder="1" applyAlignment="1"/>
    <xf numFmtId="4" fontId="0" fillId="0" borderId="22" xfId="0" applyNumberFormat="1" applyBorder="1" applyAlignment="1"/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/>
    <xf numFmtId="0" fontId="2" fillId="0" borderId="25" xfId="0" applyFont="1" applyBorder="1" applyAlignment="1"/>
    <xf numFmtId="0" fontId="2" fillId="0" borderId="26" xfId="0" applyFont="1" applyBorder="1" applyAlignment="1">
      <alignment horizontal="center"/>
    </xf>
    <xf numFmtId="0" fontId="0" fillId="0" borderId="24" xfId="0" applyBorder="1" applyAlignment="1">
      <alignment horizontal="right"/>
    </xf>
    <xf numFmtId="0" fontId="0" fillId="0" borderId="27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25" xfId="0" applyBorder="1" applyAlignment="1">
      <alignment horizontal="right"/>
    </xf>
    <xf numFmtId="0" fontId="0" fillId="0" borderId="28" xfId="0" applyBorder="1" applyAlignment="1">
      <alignment horizontal="right"/>
    </xf>
    <xf numFmtId="0" fontId="0" fillId="0" borderId="22" xfId="0" applyBorder="1" applyAlignment="1">
      <alignment horizontal="right"/>
    </xf>
    <xf numFmtId="0" fontId="2" fillId="0" borderId="1" xfId="0" applyFont="1" applyBorder="1" applyAlignment="1"/>
    <xf numFmtId="0" fontId="0" fillId="0" borderId="1" xfId="0" applyBorder="1" applyAlignment="1"/>
    <xf numFmtId="0" fontId="0" fillId="0" borderId="6" xfId="0" applyBorder="1" applyAlignment="1"/>
    <xf numFmtId="0" fontId="0" fillId="0" borderId="0" xfId="0" applyBorder="1" applyAlignment="1"/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0" fillId="0" borderId="4" xfId="1" applyNumberFormat="1" applyFont="1" applyFill="1" applyBorder="1" applyAlignment="1">
      <alignment horizontal="right"/>
    </xf>
    <xf numFmtId="43" fontId="0" fillId="0" borderId="4" xfId="1" applyFont="1" applyFill="1" applyBorder="1" applyAlignment="1">
      <alignment horizontal="right"/>
    </xf>
    <xf numFmtId="164" fontId="0" fillId="0" borderId="1" xfId="1" applyNumberFormat="1" applyFont="1" applyFill="1" applyBorder="1" applyAlignment="1">
      <alignment horizontal="right"/>
    </xf>
    <xf numFmtId="10" fontId="0" fillId="0" borderId="1" xfId="2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44" fontId="0" fillId="0" borderId="1" xfId="3" applyFont="1" applyFill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9" xfId="1" applyNumberFormat="1" applyFont="1" applyFill="1" applyBorder="1" applyAlignment="1">
      <alignment horizontal="right"/>
    </xf>
    <xf numFmtId="10" fontId="0" fillId="0" borderId="9" xfId="2" applyNumberFormat="1" applyFont="1" applyFill="1" applyBorder="1" applyAlignment="1">
      <alignment horizontal="right"/>
    </xf>
    <xf numFmtId="164" fontId="0" fillId="0" borderId="10" xfId="1" applyNumberFormat="1" applyFont="1" applyFill="1" applyBorder="1" applyAlignment="1">
      <alignment horizontal="right"/>
    </xf>
    <xf numFmtId="10" fontId="0" fillId="0" borderId="7" xfId="2" applyNumberFormat="1" applyFont="1" applyFill="1" applyBorder="1" applyAlignment="1">
      <alignment horizontal="right"/>
    </xf>
    <xf numFmtId="164" fontId="0" fillId="0" borderId="0" xfId="1" applyNumberFormat="1" applyFont="1" applyFill="1" applyAlignment="1">
      <alignment horizontal="right"/>
    </xf>
    <xf numFmtId="10" fontId="0" fillId="0" borderId="0" xfId="2" applyNumberFormat="1" applyFont="1" applyFill="1" applyAlignment="1">
      <alignment horizontal="right"/>
    </xf>
    <xf numFmtId="0" fontId="0" fillId="0" borderId="7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2" fillId="0" borderId="15" xfId="0" applyFont="1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0" xfId="0" applyBorder="1" applyAlignment="1">
      <alignment horizontal="right"/>
    </xf>
    <xf numFmtId="164" fontId="0" fillId="0" borderId="16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16" xfId="0" applyBorder="1" applyAlignment="1">
      <alignment horizontal="right"/>
    </xf>
    <xf numFmtId="164" fontId="0" fillId="0" borderId="17" xfId="0" applyNumberFormat="1" applyBorder="1" applyAlignment="1">
      <alignment horizontal="right"/>
    </xf>
    <xf numFmtId="164" fontId="0" fillId="0" borderId="5" xfId="1" applyNumberFormat="1" applyFont="1" applyFill="1" applyBorder="1" applyAlignment="1">
      <alignment horizontal="right"/>
    </xf>
    <xf numFmtId="10" fontId="0" fillId="0" borderId="5" xfId="2" applyNumberFormat="1" applyFont="1" applyFill="1" applyBorder="1" applyAlignment="1">
      <alignment horizontal="right"/>
    </xf>
    <xf numFmtId="0" fontId="0" fillId="0" borderId="19" xfId="0" applyBorder="1" applyAlignment="1">
      <alignment horizontal="right"/>
    </xf>
    <xf numFmtId="164" fontId="0" fillId="0" borderId="20" xfId="0" applyNumberFormat="1" applyBorder="1" applyAlignment="1">
      <alignment horizontal="right"/>
    </xf>
    <xf numFmtId="0" fontId="0" fillId="0" borderId="8" xfId="0" applyBorder="1" applyAlignment="1">
      <alignment horizontal="right"/>
    </xf>
    <xf numFmtId="164" fontId="1" fillId="0" borderId="4" xfId="1" applyNumberFormat="1" applyFont="1" applyFill="1" applyBorder="1" applyAlignment="1">
      <alignment horizontal="right"/>
    </xf>
    <xf numFmtId="0" fontId="0" fillId="0" borderId="11" xfId="0" applyBorder="1" applyAlignment="1"/>
    <xf numFmtId="0" fontId="2" fillId="0" borderId="19" xfId="0" applyFont="1" applyBorder="1" applyAlignment="1">
      <alignment wrapText="1"/>
    </xf>
    <xf numFmtId="0" fontId="2" fillId="0" borderId="5" xfId="0" applyFont="1" applyBorder="1" applyAlignment="1">
      <alignment wrapText="1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Quarterly Sales for Kodak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Sales!$R$4:$R$7</c:f>
              <c:numCache>
                <c:formatCode>0.00</c:formatCode>
                <c:ptCount val="4"/>
                <c:pt idx="0">
                  <c:v>310.3</c:v>
                </c:pt>
                <c:pt idx="1">
                  <c:v>326.39999999999998</c:v>
                </c:pt>
                <c:pt idx="2">
                  <c:v>321.7</c:v>
                </c:pt>
                <c:pt idx="3">
                  <c:v>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B-49F7-B287-01DB0C03D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6513776"/>
        <c:axId val="1106511856"/>
      </c:barChart>
      <c:catAx>
        <c:axId val="1106513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511856"/>
        <c:crosses val="autoZero"/>
        <c:auto val="1"/>
        <c:lblAlgn val="ctr"/>
        <c:lblOffset val="100"/>
        <c:noMultiLvlLbl val="0"/>
      </c:catAx>
      <c:valAx>
        <c:axId val="110651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51377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96BAC82-FA34-42F5-B1B0-EB17788ABCAB}">
  <sheetPr/>
  <sheetViews>
    <sheetView zoomScale="10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0CE656-2473-6129-C8A8-8C55A7AB2CA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DD1FA-639B-47E5-B6E9-E5855B42786F}">
  <dimension ref="A1:A4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>
        <v>80679969</v>
      </c>
    </row>
    <row r="4" spans="1:1" x14ac:dyDescent="0.25">
      <c r="A4" s="1">
        <v>45776.001469907409</v>
      </c>
    </row>
  </sheetData>
  <sheetProtection algorithmName="SHA-512" hashValue="c4muP3xeRU0uLy7p7MZDsw0oB7JOL4joRNEitV4in8HNa7XTMeBYXv0Y9mM4svIj4Xehk8o0o/buAruB9sIpUg==" saltValue="hrWpFNGVUavqATslU9HPdw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57B40-44A9-4B72-B635-A8F6BBCE25DD}">
  <sheetPr codeName="Sheet10"/>
  <dimension ref="A1:N41"/>
  <sheetViews>
    <sheetView workbookViewId="0">
      <selection sqref="A1:N16"/>
    </sheetView>
  </sheetViews>
  <sheetFormatPr defaultColWidth="14.5703125" defaultRowHeight="15" x14ac:dyDescent="0.25"/>
  <sheetData>
    <row r="1" spans="1:14" ht="30.75" thickBot="1" x14ac:dyDescent="0.3">
      <c r="A1" s="67" t="s">
        <v>88</v>
      </c>
      <c r="B1" s="67" t="s">
        <v>89</v>
      </c>
      <c r="C1" s="67" t="s">
        <v>90</v>
      </c>
      <c r="D1" s="67" t="s">
        <v>91</v>
      </c>
      <c r="E1" s="67" t="s">
        <v>92</v>
      </c>
      <c r="F1" s="67" t="s">
        <v>93</v>
      </c>
      <c r="G1" s="67" t="s">
        <v>94</v>
      </c>
      <c r="H1" s="67" t="s">
        <v>95</v>
      </c>
      <c r="I1" s="67" t="s">
        <v>96</v>
      </c>
      <c r="J1" s="67" t="s">
        <v>97</v>
      </c>
      <c r="K1" s="67" t="s">
        <v>98</v>
      </c>
      <c r="L1" s="67" t="s">
        <v>99</v>
      </c>
      <c r="M1" s="67" t="s">
        <v>100</v>
      </c>
      <c r="N1" s="67" t="s">
        <v>2</v>
      </c>
    </row>
    <row r="2" spans="1:14" x14ac:dyDescent="0.25">
      <c r="A2" t="s">
        <v>101</v>
      </c>
      <c r="B2" s="2">
        <v>42094</v>
      </c>
      <c r="C2">
        <v>2015</v>
      </c>
      <c r="D2">
        <v>1</v>
      </c>
      <c r="E2" t="s">
        <v>102</v>
      </c>
      <c r="F2" t="s">
        <v>103</v>
      </c>
      <c r="G2" t="s">
        <v>104</v>
      </c>
      <c r="H2" t="s">
        <v>105</v>
      </c>
      <c r="I2" t="s">
        <v>106</v>
      </c>
      <c r="J2" t="s">
        <v>107</v>
      </c>
      <c r="K2" t="s">
        <v>108</v>
      </c>
      <c r="L2" t="s">
        <v>108</v>
      </c>
      <c r="M2">
        <v>411</v>
      </c>
      <c r="N2" t="s">
        <v>3</v>
      </c>
    </row>
    <row r="3" spans="1:14" x14ac:dyDescent="0.25">
      <c r="A3" t="s">
        <v>101</v>
      </c>
      <c r="B3" s="2">
        <v>42185</v>
      </c>
      <c r="C3">
        <v>2015</v>
      </c>
      <c r="D3">
        <v>2</v>
      </c>
      <c r="E3" t="s">
        <v>102</v>
      </c>
      <c r="F3" t="s">
        <v>103</v>
      </c>
      <c r="G3" t="s">
        <v>104</v>
      </c>
      <c r="H3" t="s">
        <v>105</v>
      </c>
      <c r="I3" t="s">
        <v>106</v>
      </c>
      <c r="J3" t="s">
        <v>107</v>
      </c>
      <c r="K3" t="s">
        <v>109</v>
      </c>
      <c r="L3" t="s">
        <v>109</v>
      </c>
      <c r="M3">
        <v>434</v>
      </c>
      <c r="N3" t="s">
        <v>3</v>
      </c>
    </row>
    <row r="4" spans="1:14" x14ac:dyDescent="0.25">
      <c r="A4" t="s">
        <v>101</v>
      </c>
      <c r="B4" s="2">
        <v>42277</v>
      </c>
      <c r="C4">
        <v>2015</v>
      </c>
      <c r="D4">
        <v>3</v>
      </c>
      <c r="E4" t="s">
        <v>102</v>
      </c>
      <c r="F4" t="s">
        <v>103</v>
      </c>
      <c r="G4" t="s">
        <v>104</v>
      </c>
      <c r="H4" t="s">
        <v>105</v>
      </c>
      <c r="I4" t="s">
        <v>106</v>
      </c>
      <c r="J4" t="s">
        <v>107</v>
      </c>
      <c r="K4" t="s">
        <v>110</v>
      </c>
      <c r="L4" t="s">
        <v>110</v>
      </c>
      <c r="M4">
        <v>425</v>
      </c>
      <c r="N4" t="s">
        <v>3</v>
      </c>
    </row>
    <row r="5" spans="1:14" x14ac:dyDescent="0.25">
      <c r="A5" t="s">
        <v>101</v>
      </c>
      <c r="B5" s="2">
        <v>42369</v>
      </c>
      <c r="C5">
        <v>2015</v>
      </c>
      <c r="D5">
        <v>4</v>
      </c>
      <c r="E5" t="s">
        <v>102</v>
      </c>
      <c r="F5" t="s">
        <v>103</v>
      </c>
      <c r="G5" t="s">
        <v>104</v>
      </c>
      <c r="H5" t="s">
        <v>105</v>
      </c>
      <c r="I5" t="s">
        <v>106</v>
      </c>
      <c r="J5" t="s">
        <v>107</v>
      </c>
      <c r="K5" t="s">
        <v>111</v>
      </c>
      <c r="L5" t="s">
        <v>111</v>
      </c>
      <c r="M5">
        <v>439</v>
      </c>
      <c r="N5" t="s">
        <v>3</v>
      </c>
    </row>
    <row r="6" spans="1:14" x14ac:dyDescent="0.25">
      <c r="A6" t="s">
        <v>101</v>
      </c>
      <c r="B6" s="2">
        <v>42460</v>
      </c>
      <c r="C6">
        <v>2016</v>
      </c>
      <c r="D6">
        <v>1</v>
      </c>
      <c r="E6" t="s">
        <v>102</v>
      </c>
      <c r="F6" t="s">
        <v>103</v>
      </c>
      <c r="G6" t="s">
        <v>104</v>
      </c>
      <c r="H6" t="s">
        <v>105</v>
      </c>
      <c r="I6" t="s">
        <v>106</v>
      </c>
      <c r="J6" t="s">
        <v>107</v>
      </c>
      <c r="K6" t="s">
        <v>112</v>
      </c>
      <c r="L6" t="s">
        <v>112</v>
      </c>
      <c r="M6">
        <v>377</v>
      </c>
      <c r="N6" t="s">
        <v>3</v>
      </c>
    </row>
    <row r="7" spans="1:14" x14ac:dyDescent="0.25">
      <c r="A7" t="s">
        <v>101</v>
      </c>
      <c r="B7" s="2">
        <v>42551</v>
      </c>
      <c r="C7">
        <v>2016</v>
      </c>
      <c r="D7">
        <v>2</v>
      </c>
      <c r="E7" t="s">
        <v>102</v>
      </c>
      <c r="F7" t="s">
        <v>103</v>
      </c>
      <c r="G7" t="s">
        <v>104</v>
      </c>
      <c r="H7" t="s">
        <v>105</v>
      </c>
      <c r="I7" t="s">
        <v>106</v>
      </c>
      <c r="J7" t="s">
        <v>107</v>
      </c>
      <c r="K7" t="s">
        <v>113</v>
      </c>
      <c r="L7" t="s">
        <v>113</v>
      </c>
      <c r="M7">
        <v>423</v>
      </c>
      <c r="N7" t="s">
        <v>3</v>
      </c>
    </row>
    <row r="8" spans="1:14" x14ac:dyDescent="0.25">
      <c r="A8" t="s">
        <v>101</v>
      </c>
      <c r="B8" s="2">
        <v>42643</v>
      </c>
      <c r="C8">
        <v>2016</v>
      </c>
      <c r="D8">
        <v>3</v>
      </c>
      <c r="E8" t="s">
        <v>102</v>
      </c>
      <c r="F8" t="s">
        <v>103</v>
      </c>
      <c r="G8" t="s">
        <v>104</v>
      </c>
      <c r="H8" t="s">
        <v>105</v>
      </c>
      <c r="I8" t="s">
        <v>106</v>
      </c>
      <c r="J8" t="s">
        <v>107</v>
      </c>
      <c r="K8" t="s">
        <v>114</v>
      </c>
      <c r="L8" t="s">
        <v>114</v>
      </c>
      <c r="M8">
        <v>411</v>
      </c>
      <c r="N8" t="s">
        <v>3</v>
      </c>
    </row>
    <row r="9" spans="1:14" x14ac:dyDescent="0.25">
      <c r="A9" t="s">
        <v>101</v>
      </c>
      <c r="B9" s="2">
        <v>42735</v>
      </c>
      <c r="C9">
        <v>2016</v>
      </c>
      <c r="D9">
        <v>4</v>
      </c>
      <c r="E9" t="s">
        <v>102</v>
      </c>
      <c r="F9" t="s">
        <v>103</v>
      </c>
      <c r="G9" t="s">
        <v>104</v>
      </c>
      <c r="H9" t="s">
        <v>105</v>
      </c>
      <c r="I9" t="s">
        <v>106</v>
      </c>
      <c r="J9" t="s">
        <v>107</v>
      </c>
      <c r="K9" t="s">
        <v>115</v>
      </c>
      <c r="L9" t="s">
        <v>115</v>
      </c>
      <c r="M9">
        <v>432</v>
      </c>
      <c r="N9" t="s">
        <v>3</v>
      </c>
    </row>
    <row r="10" spans="1:14" x14ac:dyDescent="0.25">
      <c r="A10" t="s">
        <v>101</v>
      </c>
      <c r="B10" s="2">
        <v>42825</v>
      </c>
      <c r="C10">
        <v>2017</v>
      </c>
      <c r="D10">
        <v>1</v>
      </c>
      <c r="E10" t="s">
        <v>102</v>
      </c>
      <c r="F10" t="s">
        <v>103</v>
      </c>
      <c r="G10" t="s">
        <v>104</v>
      </c>
      <c r="H10" t="s">
        <v>105</v>
      </c>
      <c r="I10" t="s">
        <v>106</v>
      </c>
      <c r="J10" t="s">
        <v>107</v>
      </c>
      <c r="K10" t="s">
        <v>116</v>
      </c>
      <c r="L10" t="s">
        <v>116</v>
      </c>
      <c r="M10">
        <v>357</v>
      </c>
      <c r="N10" t="s">
        <v>3</v>
      </c>
    </row>
    <row r="11" spans="1:14" x14ac:dyDescent="0.25">
      <c r="A11" t="s">
        <v>101</v>
      </c>
      <c r="B11" s="2">
        <v>42916</v>
      </c>
      <c r="C11">
        <v>2017</v>
      </c>
      <c r="D11">
        <v>2</v>
      </c>
      <c r="E11" t="s">
        <v>102</v>
      </c>
      <c r="F11" t="s">
        <v>103</v>
      </c>
      <c r="G11" t="s">
        <v>104</v>
      </c>
      <c r="H11" t="s">
        <v>105</v>
      </c>
      <c r="I11" t="s">
        <v>106</v>
      </c>
      <c r="J11" t="s">
        <v>107</v>
      </c>
      <c r="K11" t="s">
        <v>117</v>
      </c>
      <c r="L11" t="s">
        <v>117</v>
      </c>
      <c r="M11">
        <v>381</v>
      </c>
      <c r="N11" t="s">
        <v>3</v>
      </c>
    </row>
    <row r="12" spans="1:14" x14ac:dyDescent="0.25">
      <c r="A12" t="s">
        <v>101</v>
      </c>
      <c r="B12" s="2">
        <v>43008</v>
      </c>
      <c r="C12">
        <v>2017</v>
      </c>
      <c r="D12">
        <v>3</v>
      </c>
      <c r="E12" t="s">
        <v>102</v>
      </c>
      <c r="F12" t="s">
        <v>103</v>
      </c>
      <c r="G12" t="s">
        <v>104</v>
      </c>
      <c r="H12" t="s">
        <v>105</v>
      </c>
      <c r="I12" t="s">
        <v>106</v>
      </c>
      <c r="J12" t="s">
        <v>107</v>
      </c>
      <c r="K12" t="s">
        <v>118</v>
      </c>
      <c r="L12" t="s">
        <v>118</v>
      </c>
      <c r="M12">
        <v>379</v>
      </c>
      <c r="N12" t="s">
        <v>3</v>
      </c>
    </row>
    <row r="13" spans="1:14" x14ac:dyDescent="0.25">
      <c r="A13" t="s">
        <v>101</v>
      </c>
      <c r="B13" s="2">
        <v>43100</v>
      </c>
      <c r="C13">
        <v>2017</v>
      </c>
      <c r="D13">
        <v>4</v>
      </c>
      <c r="E13" t="s">
        <v>102</v>
      </c>
      <c r="F13" t="s">
        <v>103</v>
      </c>
      <c r="G13" t="s">
        <v>104</v>
      </c>
      <c r="H13" t="s">
        <v>105</v>
      </c>
      <c r="I13" t="s">
        <v>106</v>
      </c>
      <c r="J13" t="s">
        <v>107</v>
      </c>
      <c r="K13" t="s">
        <v>119</v>
      </c>
      <c r="L13" t="s">
        <v>119</v>
      </c>
      <c r="M13">
        <v>269</v>
      </c>
      <c r="N13" t="s">
        <v>3</v>
      </c>
    </row>
    <row r="14" spans="1:14" x14ac:dyDescent="0.25">
      <c r="A14" t="s">
        <v>101</v>
      </c>
      <c r="B14" s="2">
        <v>43190</v>
      </c>
      <c r="C14">
        <v>2018</v>
      </c>
      <c r="D14">
        <v>1</v>
      </c>
      <c r="E14" t="s">
        <v>102</v>
      </c>
      <c r="F14" t="s">
        <v>103</v>
      </c>
      <c r="G14" t="s">
        <v>104</v>
      </c>
      <c r="H14" t="s">
        <v>105</v>
      </c>
      <c r="I14" t="s">
        <v>106</v>
      </c>
      <c r="J14" t="s">
        <v>107</v>
      </c>
      <c r="K14" t="s">
        <v>120</v>
      </c>
      <c r="L14" t="s">
        <v>120</v>
      </c>
      <c r="M14">
        <v>318</v>
      </c>
      <c r="N14" t="s">
        <v>3</v>
      </c>
    </row>
    <row r="15" spans="1:14" x14ac:dyDescent="0.25">
      <c r="A15" t="s">
        <v>101</v>
      </c>
      <c r="B15" s="2">
        <v>43281</v>
      </c>
      <c r="C15">
        <v>2018</v>
      </c>
      <c r="D15">
        <v>2</v>
      </c>
      <c r="E15" t="s">
        <v>102</v>
      </c>
      <c r="F15" t="s">
        <v>103</v>
      </c>
      <c r="G15" t="s">
        <v>104</v>
      </c>
      <c r="H15" t="s">
        <v>105</v>
      </c>
      <c r="I15" t="s">
        <v>106</v>
      </c>
      <c r="J15" t="s">
        <v>107</v>
      </c>
      <c r="K15" t="s">
        <v>121</v>
      </c>
      <c r="L15" t="s">
        <v>121</v>
      </c>
      <c r="M15">
        <v>332</v>
      </c>
      <c r="N15" t="s">
        <v>3</v>
      </c>
    </row>
    <row r="16" spans="1:14" x14ac:dyDescent="0.25">
      <c r="A16" t="s">
        <v>101</v>
      </c>
      <c r="B16" s="2">
        <v>43373</v>
      </c>
      <c r="C16">
        <v>2018</v>
      </c>
      <c r="D16">
        <v>3</v>
      </c>
      <c r="E16" t="s">
        <v>102</v>
      </c>
      <c r="F16" t="s">
        <v>103</v>
      </c>
      <c r="G16" t="s">
        <v>104</v>
      </c>
      <c r="H16" t="s">
        <v>105</v>
      </c>
      <c r="I16" t="s">
        <v>106</v>
      </c>
      <c r="J16" t="s">
        <v>107</v>
      </c>
      <c r="K16" t="s">
        <v>122</v>
      </c>
      <c r="L16" t="s">
        <v>122</v>
      </c>
      <c r="M16">
        <v>329</v>
      </c>
      <c r="N16" t="s">
        <v>3</v>
      </c>
    </row>
    <row r="17" spans="1:14" x14ac:dyDescent="0.25">
      <c r="A17" t="s">
        <v>101</v>
      </c>
      <c r="B17" s="2">
        <v>43465</v>
      </c>
      <c r="C17">
        <v>2018</v>
      </c>
      <c r="D17">
        <v>4</v>
      </c>
      <c r="E17" t="s">
        <v>102</v>
      </c>
      <c r="F17" t="s">
        <v>103</v>
      </c>
      <c r="G17" t="s">
        <v>104</v>
      </c>
      <c r="H17" t="s">
        <v>105</v>
      </c>
      <c r="I17" t="s">
        <v>106</v>
      </c>
      <c r="J17" t="s">
        <v>107</v>
      </c>
      <c r="K17" t="s">
        <v>123</v>
      </c>
      <c r="L17" t="s">
        <v>123</v>
      </c>
      <c r="M17">
        <v>341</v>
      </c>
      <c r="N17" t="s">
        <v>3</v>
      </c>
    </row>
    <row r="18" spans="1:14" x14ac:dyDescent="0.25">
      <c r="A18" t="s">
        <v>101</v>
      </c>
      <c r="B18" s="2">
        <v>43555</v>
      </c>
      <c r="C18">
        <v>2019</v>
      </c>
      <c r="D18">
        <v>1</v>
      </c>
      <c r="E18" t="s">
        <v>102</v>
      </c>
      <c r="F18" t="s">
        <v>103</v>
      </c>
      <c r="G18" t="s">
        <v>104</v>
      </c>
      <c r="H18" t="s">
        <v>105</v>
      </c>
      <c r="I18" t="s">
        <v>106</v>
      </c>
      <c r="J18" t="s">
        <v>107</v>
      </c>
      <c r="K18" t="s">
        <v>124</v>
      </c>
      <c r="L18" t="s">
        <v>124</v>
      </c>
      <c r="M18">
        <v>291</v>
      </c>
      <c r="N18" t="s">
        <v>3</v>
      </c>
    </row>
    <row r="19" spans="1:14" x14ac:dyDescent="0.25">
      <c r="A19" t="s">
        <v>101</v>
      </c>
      <c r="B19" s="2">
        <v>43646</v>
      </c>
      <c r="C19">
        <v>2019</v>
      </c>
      <c r="D19">
        <v>2</v>
      </c>
      <c r="E19" t="s">
        <v>102</v>
      </c>
      <c r="F19" t="s">
        <v>103</v>
      </c>
      <c r="G19" t="s">
        <v>104</v>
      </c>
      <c r="H19" t="s">
        <v>105</v>
      </c>
      <c r="I19" t="s">
        <v>106</v>
      </c>
      <c r="J19" t="s">
        <v>107</v>
      </c>
      <c r="K19" t="s">
        <v>125</v>
      </c>
      <c r="L19" t="s">
        <v>125</v>
      </c>
      <c r="M19">
        <v>307</v>
      </c>
      <c r="N19" t="s">
        <v>3</v>
      </c>
    </row>
    <row r="20" spans="1:14" x14ac:dyDescent="0.25">
      <c r="A20" t="s">
        <v>101</v>
      </c>
      <c r="B20" s="2">
        <v>43738</v>
      </c>
      <c r="C20">
        <v>2019</v>
      </c>
      <c r="D20">
        <v>3</v>
      </c>
      <c r="E20" t="s">
        <v>102</v>
      </c>
      <c r="F20" t="s">
        <v>103</v>
      </c>
      <c r="G20" t="s">
        <v>104</v>
      </c>
      <c r="H20" t="s">
        <v>105</v>
      </c>
      <c r="I20" t="s">
        <v>106</v>
      </c>
      <c r="J20" t="s">
        <v>107</v>
      </c>
      <c r="K20" t="s">
        <v>126</v>
      </c>
      <c r="L20" t="s">
        <v>126</v>
      </c>
      <c r="M20">
        <v>315</v>
      </c>
      <c r="N20" t="s">
        <v>3</v>
      </c>
    </row>
    <row r="21" spans="1:14" x14ac:dyDescent="0.25">
      <c r="A21" t="s">
        <v>101</v>
      </c>
      <c r="B21" s="2">
        <v>43830</v>
      </c>
      <c r="C21">
        <v>2019</v>
      </c>
      <c r="D21">
        <v>4</v>
      </c>
      <c r="E21" t="s">
        <v>102</v>
      </c>
      <c r="F21" t="s">
        <v>103</v>
      </c>
      <c r="G21" t="s">
        <v>104</v>
      </c>
      <c r="H21" t="s">
        <v>105</v>
      </c>
      <c r="I21" t="s">
        <v>106</v>
      </c>
      <c r="J21" t="s">
        <v>107</v>
      </c>
      <c r="K21" t="s">
        <v>127</v>
      </c>
      <c r="L21" t="s">
        <v>127</v>
      </c>
      <c r="M21">
        <v>329</v>
      </c>
      <c r="N21" t="s">
        <v>3</v>
      </c>
    </row>
    <row r="22" spans="1:14" x14ac:dyDescent="0.25">
      <c r="A22" t="s">
        <v>101</v>
      </c>
      <c r="B22" s="2">
        <v>43921</v>
      </c>
      <c r="C22">
        <v>2020</v>
      </c>
      <c r="D22">
        <v>1</v>
      </c>
      <c r="E22" t="s">
        <v>102</v>
      </c>
      <c r="F22" t="s">
        <v>103</v>
      </c>
      <c r="G22" t="s">
        <v>104</v>
      </c>
      <c r="H22" t="s">
        <v>105</v>
      </c>
      <c r="I22" t="s">
        <v>106</v>
      </c>
      <c r="J22" t="s">
        <v>107</v>
      </c>
      <c r="K22" t="s">
        <v>128</v>
      </c>
      <c r="L22" t="s">
        <v>128</v>
      </c>
      <c r="M22">
        <v>267</v>
      </c>
      <c r="N22" t="s">
        <v>3</v>
      </c>
    </row>
    <row r="23" spans="1:14" x14ac:dyDescent="0.25">
      <c r="A23" t="s">
        <v>101</v>
      </c>
      <c r="B23" s="2">
        <v>44012</v>
      </c>
      <c r="C23">
        <v>2020</v>
      </c>
      <c r="D23">
        <v>2</v>
      </c>
      <c r="E23" t="s">
        <v>102</v>
      </c>
      <c r="F23" t="s">
        <v>103</v>
      </c>
      <c r="G23" t="s">
        <v>104</v>
      </c>
      <c r="H23" t="s">
        <v>105</v>
      </c>
      <c r="I23" t="s">
        <v>106</v>
      </c>
      <c r="J23" t="s">
        <v>107</v>
      </c>
      <c r="K23" t="s">
        <v>129</v>
      </c>
      <c r="L23" t="s">
        <v>129</v>
      </c>
      <c r="M23">
        <v>213</v>
      </c>
      <c r="N23" t="s">
        <v>3</v>
      </c>
    </row>
    <row r="24" spans="1:14" x14ac:dyDescent="0.25">
      <c r="A24" t="s">
        <v>101</v>
      </c>
      <c r="B24" s="2">
        <v>44104</v>
      </c>
      <c r="C24">
        <v>2020</v>
      </c>
      <c r="D24">
        <v>3</v>
      </c>
      <c r="E24" t="s">
        <v>102</v>
      </c>
      <c r="F24" t="s">
        <v>103</v>
      </c>
      <c r="G24" t="s">
        <v>104</v>
      </c>
      <c r="H24" t="s">
        <v>105</v>
      </c>
      <c r="I24" t="s">
        <v>106</v>
      </c>
      <c r="J24" t="s">
        <v>107</v>
      </c>
      <c r="K24" t="s">
        <v>130</v>
      </c>
      <c r="L24" t="s">
        <v>130</v>
      </c>
      <c r="M24">
        <v>252</v>
      </c>
      <c r="N24" t="s">
        <v>3</v>
      </c>
    </row>
    <row r="25" spans="1:14" x14ac:dyDescent="0.25">
      <c r="A25" t="s">
        <v>101</v>
      </c>
      <c r="B25" s="2">
        <v>44196</v>
      </c>
      <c r="C25">
        <v>2020</v>
      </c>
      <c r="D25">
        <v>4</v>
      </c>
      <c r="E25" t="s">
        <v>102</v>
      </c>
      <c r="F25" t="s">
        <v>103</v>
      </c>
      <c r="G25" t="s">
        <v>104</v>
      </c>
      <c r="H25" t="s">
        <v>105</v>
      </c>
      <c r="I25" t="s">
        <v>106</v>
      </c>
      <c r="J25" t="s">
        <v>107</v>
      </c>
      <c r="K25" t="s">
        <v>131</v>
      </c>
      <c r="L25" t="s">
        <v>131</v>
      </c>
      <c r="M25">
        <v>297</v>
      </c>
      <c r="N25" t="s">
        <v>3</v>
      </c>
    </row>
    <row r="26" spans="1:14" x14ac:dyDescent="0.25">
      <c r="A26" t="s">
        <v>101</v>
      </c>
      <c r="B26" s="2">
        <v>44286</v>
      </c>
      <c r="C26">
        <v>2021</v>
      </c>
      <c r="D26">
        <v>1</v>
      </c>
      <c r="E26" t="s">
        <v>102</v>
      </c>
      <c r="F26" t="s">
        <v>103</v>
      </c>
      <c r="G26" t="s">
        <v>104</v>
      </c>
      <c r="H26" t="s">
        <v>105</v>
      </c>
      <c r="I26" t="s">
        <v>106</v>
      </c>
      <c r="J26" t="s">
        <v>107</v>
      </c>
      <c r="K26" t="s">
        <v>132</v>
      </c>
      <c r="L26" t="s">
        <v>132</v>
      </c>
      <c r="M26">
        <v>265</v>
      </c>
      <c r="N26" t="s">
        <v>3</v>
      </c>
    </row>
    <row r="27" spans="1:14" x14ac:dyDescent="0.25">
      <c r="A27" t="s">
        <v>101</v>
      </c>
      <c r="B27" s="2">
        <v>44377</v>
      </c>
      <c r="C27">
        <v>2021</v>
      </c>
      <c r="D27">
        <v>2</v>
      </c>
      <c r="E27" t="s">
        <v>102</v>
      </c>
      <c r="F27" t="s">
        <v>103</v>
      </c>
      <c r="G27" t="s">
        <v>104</v>
      </c>
      <c r="H27" t="s">
        <v>105</v>
      </c>
      <c r="I27" t="s">
        <v>106</v>
      </c>
      <c r="J27" t="s">
        <v>107</v>
      </c>
      <c r="K27" t="s">
        <v>133</v>
      </c>
      <c r="L27" t="s">
        <v>133</v>
      </c>
      <c r="M27">
        <v>291</v>
      </c>
      <c r="N27" t="s">
        <v>3</v>
      </c>
    </row>
    <row r="28" spans="1:14" x14ac:dyDescent="0.25">
      <c r="A28" t="s">
        <v>101</v>
      </c>
      <c r="B28" s="2">
        <v>44469</v>
      </c>
      <c r="C28">
        <v>2021</v>
      </c>
      <c r="D28">
        <v>3</v>
      </c>
      <c r="E28" t="s">
        <v>102</v>
      </c>
      <c r="F28" t="s">
        <v>103</v>
      </c>
      <c r="G28" t="s">
        <v>104</v>
      </c>
      <c r="H28" t="s">
        <v>105</v>
      </c>
      <c r="I28" t="s">
        <v>106</v>
      </c>
      <c r="J28" t="s">
        <v>107</v>
      </c>
      <c r="K28" t="s">
        <v>134</v>
      </c>
      <c r="L28" t="s">
        <v>134</v>
      </c>
      <c r="M28">
        <v>287</v>
      </c>
      <c r="N28" t="s">
        <v>3</v>
      </c>
    </row>
    <row r="29" spans="1:14" x14ac:dyDescent="0.25">
      <c r="A29" t="s">
        <v>101</v>
      </c>
      <c r="B29" s="2">
        <v>44561</v>
      </c>
      <c r="C29">
        <v>2021</v>
      </c>
      <c r="D29">
        <v>4</v>
      </c>
      <c r="E29" t="s">
        <v>102</v>
      </c>
      <c r="F29" t="s">
        <v>103</v>
      </c>
      <c r="G29" t="s">
        <v>104</v>
      </c>
      <c r="H29" t="s">
        <v>105</v>
      </c>
      <c r="I29" t="s">
        <v>106</v>
      </c>
      <c r="J29" t="s">
        <v>107</v>
      </c>
      <c r="K29" t="s">
        <v>135</v>
      </c>
      <c r="L29" t="s">
        <v>135</v>
      </c>
      <c r="M29">
        <v>307</v>
      </c>
      <c r="N29" t="s">
        <v>3</v>
      </c>
    </row>
    <row r="30" spans="1:14" x14ac:dyDescent="0.25">
      <c r="A30" t="s">
        <v>101</v>
      </c>
      <c r="B30" s="2">
        <v>44651</v>
      </c>
      <c r="C30">
        <v>2022</v>
      </c>
      <c r="D30">
        <v>1</v>
      </c>
      <c r="E30" t="s">
        <v>102</v>
      </c>
      <c r="F30" t="s">
        <v>103</v>
      </c>
      <c r="G30" t="s">
        <v>104</v>
      </c>
      <c r="H30" t="s">
        <v>105</v>
      </c>
      <c r="I30" t="s">
        <v>106</v>
      </c>
      <c r="J30" t="s">
        <v>107</v>
      </c>
      <c r="K30" t="s">
        <v>136</v>
      </c>
      <c r="L30" t="s">
        <v>136</v>
      </c>
      <c r="M30">
        <v>290</v>
      </c>
      <c r="N30" t="s">
        <v>3</v>
      </c>
    </row>
    <row r="31" spans="1:14" x14ac:dyDescent="0.25">
      <c r="A31" t="s">
        <v>101</v>
      </c>
      <c r="B31" s="2">
        <v>44742</v>
      </c>
      <c r="C31">
        <v>2022</v>
      </c>
      <c r="D31">
        <v>2</v>
      </c>
      <c r="E31" t="s">
        <v>102</v>
      </c>
      <c r="F31" t="s">
        <v>103</v>
      </c>
      <c r="G31" t="s">
        <v>104</v>
      </c>
      <c r="H31" t="s">
        <v>105</v>
      </c>
      <c r="I31" t="s">
        <v>106</v>
      </c>
      <c r="J31" t="s">
        <v>107</v>
      </c>
      <c r="K31" t="s">
        <v>137</v>
      </c>
      <c r="L31" t="s">
        <v>137</v>
      </c>
      <c r="M31">
        <v>321</v>
      </c>
      <c r="N31" t="s">
        <v>3</v>
      </c>
    </row>
    <row r="32" spans="1:14" x14ac:dyDescent="0.25">
      <c r="A32" t="s">
        <v>101</v>
      </c>
      <c r="B32" s="2">
        <v>44834</v>
      </c>
      <c r="C32">
        <v>2022</v>
      </c>
      <c r="D32">
        <v>3</v>
      </c>
      <c r="E32" t="s">
        <v>102</v>
      </c>
      <c r="F32" t="s">
        <v>103</v>
      </c>
      <c r="G32" t="s">
        <v>104</v>
      </c>
      <c r="H32" t="s">
        <v>105</v>
      </c>
      <c r="I32" t="s">
        <v>106</v>
      </c>
      <c r="J32" t="s">
        <v>107</v>
      </c>
      <c r="K32" t="s">
        <v>138</v>
      </c>
      <c r="L32" t="s">
        <v>138</v>
      </c>
      <c r="M32">
        <v>289</v>
      </c>
      <c r="N32" t="s">
        <v>3</v>
      </c>
    </row>
    <row r="33" spans="1:14" x14ac:dyDescent="0.25">
      <c r="A33" t="s">
        <v>101</v>
      </c>
      <c r="B33" s="2">
        <v>44926</v>
      </c>
      <c r="C33">
        <v>2022</v>
      </c>
      <c r="D33">
        <v>4</v>
      </c>
      <c r="E33" t="s">
        <v>102</v>
      </c>
      <c r="F33" t="s">
        <v>103</v>
      </c>
      <c r="G33" t="s">
        <v>104</v>
      </c>
      <c r="H33" t="s">
        <v>105</v>
      </c>
      <c r="I33" t="s">
        <v>106</v>
      </c>
      <c r="J33" t="s">
        <v>107</v>
      </c>
      <c r="K33" t="s">
        <v>139</v>
      </c>
      <c r="L33" t="s">
        <v>139</v>
      </c>
      <c r="M33">
        <v>305</v>
      </c>
      <c r="N33" t="s">
        <v>3</v>
      </c>
    </row>
    <row r="34" spans="1:14" x14ac:dyDescent="0.25">
      <c r="A34" t="s">
        <v>101</v>
      </c>
      <c r="B34" s="2">
        <v>45016</v>
      </c>
      <c r="C34">
        <v>2023</v>
      </c>
      <c r="D34">
        <v>1</v>
      </c>
      <c r="E34" t="s">
        <v>102</v>
      </c>
      <c r="F34" t="s">
        <v>103</v>
      </c>
      <c r="G34" t="s">
        <v>104</v>
      </c>
      <c r="H34" t="s">
        <v>105</v>
      </c>
      <c r="I34" t="s">
        <v>106</v>
      </c>
      <c r="J34" t="s">
        <v>107</v>
      </c>
      <c r="K34" t="s">
        <v>140</v>
      </c>
      <c r="L34" t="s">
        <v>140</v>
      </c>
      <c r="M34">
        <v>278</v>
      </c>
      <c r="N34" t="s">
        <v>3</v>
      </c>
    </row>
    <row r="35" spans="1:14" x14ac:dyDescent="0.25">
      <c r="A35" t="s">
        <v>101</v>
      </c>
      <c r="B35" s="2">
        <v>45107</v>
      </c>
      <c r="C35">
        <v>2023</v>
      </c>
      <c r="D35">
        <v>2</v>
      </c>
      <c r="E35" t="s">
        <v>102</v>
      </c>
      <c r="F35" t="s">
        <v>103</v>
      </c>
      <c r="G35" t="s">
        <v>104</v>
      </c>
      <c r="H35" t="s">
        <v>105</v>
      </c>
      <c r="I35" t="s">
        <v>106</v>
      </c>
      <c r="J35" t="s">
        <v>107</v>
      </c>
      <c r="K35" t="s">
        <v>141</v>
      </c>
      <c r="L35" t="s">
        <v>141</v>
      </c>
      <c r="M35">
        <v>295</v>
      </c>
      <c r="N35" t="s">
        <v>3</v>
      </c>
    </row>
    <row r="36" spans="1:14" x14ac:dyDescent="0.25">
      <c r="A36" t="s">
        <v>101</v>
      </c>
      <c r="B36" s="2">
        <v>45199</v>
      </c>
      <c r="C36">
        <v>2023</v>
      </c>
      <c r="D36">
        <v>3</v>
      </c>
      <c r="E36" t="s">
        <v>102</v>
      </c>
      <c r="F36" t="s">
        <v>103</v>
      </c>
      <c r="G36" t="s">
        <v>104</v>
      </c>
      <c r="H36" t="s">
        <v>105</v>
      </c>
      <c r="I36" t="s">
        <v>106</v>
      </c>
      <c r="J36" t="s">
        <v>107</v>
      </c>
      <c r="K36" t="s">
        <v>142</v>
      </c>
      <c r="L36" t="s">
        <v>142</v>
      </c>
      <c r="M36">
        <v>269</v>
      </c>
      <c r="N36" t="s">
        <v>3</v>
      </c>
    </row>
    <row r="37" spans="1:14" x14ac:dyDescent="0.25">
      <c r="A37" t="s">
        <v>101</v>
      </c>
      <c r="B37" s="2">
        <v>45291</v>
      </c>
      <c r="C37">
        <v>2023</v>
      </c>
      <c r="D37">
        <v>4</v>
      </c>
      <c r="E37" t="s">
        <v>102</v>
      </c>
      <c r="F37" t="s">
        <v>103</v>
      </c>
      <c r="G37" t="s">
        <v>104</v>
      </c>
      <c r="H37" t="s">
        <v>105</v>
      </c>
      <c r="I37" t="s">
        <v>106</v>
      </c>
      <c r="J37" t="s">
        <v>107</v>
      </c>
      <c r="K37" t="s">
        <v>143</v>
      </c>
      <c r="L37" t="s">
        <v>143</v>
      </c>
      <c r="M37">
        <v>275</v>
      </c>
      <c r="N37" t="s">
        <v>3</v>
      </c>
    </row>
    <row r="38" spans="1:14" x14ac:dyDescent="0.25">
      <c r="A38" t="s">
        <v>101</v>
      </c>
      <c r="B38" s="2">
        <v>45382</v>
      </c>
      <c r="C38">
        <v>2024</v>
      </c>
      <c r="D38">
        <v>1</v>
      </c>
      <c r="E38" t="s">
        <v>102</v>
      </c>
      <c r="F38" t="s">
        <v>103</v>
      </c>
      <c r="G38" t="s">
        <v>104</v>
      </c>
      <c r="H38" t="s">
        <v>105</v>
      </c>
      <c r="I38" t="s">
        <v>106</v>
      </c>
      <c r="J38" t="s">
        <v>107</v>
      </c>
      <c r="K38" t="s">
        <v>144</v>
      </c>
      <c r="L38" t="s">
        <v>144</v>
      </c>
      <c r="M38">
        <v>249</v>
      </c>
      <c r="N38" t="s">
        <v>3</v>
      </c>
    </row>
    <row r="39" spans="1:14" x14ac:dyDescent="0.25">
      <c r="A39" t="s">
        <v>101</v>
      </c>
      <c r="B39" s="2">
        <v>45473</v>
      </c>
      <c r="C39">
        <v>2024</v>
      </c>
      <c r="D39">
        <v>2</v>
      </c>
      <c r="E39" t="s">
        <v>102</v>
      </c>
      <c r="F39" t="s">
        <v>103</v>
      </c>
      <c r="G39" t="s">
        <v>104</v>
      </c>
      <c r="H39" t="s">
        <v>105</v>
      </c>
      <c r="I39" t="s">
        <v>106</v>
      </c>
      <c r="J39" t="s">
        <v>107</v>
      </c>
      <c r="K39" t="s">
        <v>145</v>
      </c>
      <c r="L39" t="s">
        <v>145</v>
      </c>
      <c r="M39">
        <v>267</v>
      </c>
      <c r="N39" t="s">
        <v>3</v>
      </c>
    </row>
    <row r="40" spans="1:14" x14ac:dyDescent="0.25">
      <c r="A40" t="s">
        <v>101</v>
      </c>
      <c r="B40" s="2">
        <v>45565</v>
      </c>
      <c r="C40">
        <v>2024</v>
      </c>
      <c r="D40">
        <v>3</v>
      </c>
      <c r="E40" t="s">
        <v>102</v>
      </c>
      <c r="F40" t="s">
        <v>103</v>
      </c>
      <c r="G40" t="s">
        <v>104</v>
      </c>
      <c r="H40" t="s">
        <v>105</v>
      </c>
      <c r="I40" t="s">
        <v>106</v>
      </c>
      <c r="J40" t="s">
        <v>107</v>
      </c>
      <c r="K40" t="s">
        <v>146</v>
      </c>
      <c r="L40" t="s">
        <v>146</v>
      </c>
      <c r="M40">
        <v>261</v>
      </c>
      <c r="N40" t="s">
        <v>3</v>
      </c>
    </row>
    <row r="41" spans="1:14" x14ac:dyDescent="0.25">
      <c r="A41" t="s">
        <v>101</v>
      </c>
      <c r="B41" s="2">
        <v>45657</v>
      </c>
      <c r="C41">
        <v>2024</v>
      </c>
      <c r="D41">
        <v>4</v>
      </c>
      <c r="E41" t="s">
        <v>102</v>
      </c>
      <c r="F41" t="s">
        <v>103</v>
      </c>
      <c r="G41" t="s">
        <v>104</v>
      </c>
      <c r="H41" t="s">
        <v>105</v>
      </c>
      <c r="I41" t="s">
        <v>106</v>
      </c>
      <c r="J41" t="s">
        <v>107</v>
      </c>
      <c r="K41" t="s">
        <v>147</v>
      </c>
      <c r="L41" t="s">
        <v>147</v>
      </c>
      <c r="M41">
        <v>266</v>
      </c>
      <c r="N4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D0ACD-E41C-4B92-B2CC-779067B21EC7}">
  <sheetPr codeName="Sheet3"/>
  <dimension ref="A1:T41"/>
  <sheetViews>
    <sheetView tabSelected="1" workbookViewId="0">
      <selection sqref="A1:P17"/>
    </sheetView>
  </sheetViews>
  <sheetFormatPr defaultColWidth="10.28515625" defaultRowHeight="15" x14ac:dyDescent="0.25"/>
  <sheetData>
    <row r="1" spans="1:20" ht="30.75" thickBot="1" x14ac:dyDescent="0.3">
      <c r="A1" s="68" t="str">
        <f>Data!A1</f>
        <v>Global Company Key</v>
      </c>
      <c r="B1" s="68" t="str">
        <f>Data!B1</f>
        <v>Data Date</v>
      </c>
      <c r="C1" s="68" t="str">
        <f>Data!C1</f>
        <v>Fiscal Year</v>
      </c>
      <c r="D1" s="68" t="str">
        <f>Data!D1</f>
        <v>Fiscal Quarter</v>
      </c>
      <c r="E1" s="68" t="str">
        <f>Data!E1</f>
        <v>Industry Format</v>
      </c>
      <c r="F1" s="68" t="str">
        <f>Data!F1</f>
        <v>Level of Consolidation - Company Interim Descriptor</v>
      </c>
      <c r="G1" s="68" t="str">
        <f>Data!G1</f>
        <v>Population Source</v>
      </c>
      <c r="H1" s="68" t="str">
        <f>Data!H1</f>
        <v>Data Format</v>
      </c>
      <c r="I1" s="68" t="str">
        <f>Data!I1</f>
        <v>Ticker Symbol</v>
      </c>
      <c r="J1" s="68" t="str">
        <f>Data!J1</f>
        <v>ISO Currency Code</v>
      </c>
      <c r="K1" s="68" t="str">
        <f>Data!K1</f>
        <v>Calendar Data Year and Quarter</v>
      </c>
      <c r="L1" s="68" t="str">
        <f>Data!L1</f>
        <v>Fiscal Data Year and Quarter</v>
      </c>
      <c r="M1" s="68" t="str">
        <f>Data!M1</f>
        <v>Sales/Turnover (Net)</v>
      </c>
      <c r="N1" t="str">
        <f>Data!N1</f>
        <v>Active/Inactive Status Marker</v>
      </c>
    </row>
    <row r="2" spans="1:20" x14ac:dyDescent="0.25">
      <c r="A2" t="str">
        <f>Data!A2</f>
        <v>004194</v>
      </c>
      <c r="B2">
        <f>Data!B2</f>
        <v>42094</v>
      </c>
      <c r="C2">
        <f>Data!C2</f>
        <v>2015</v>
      </c>
      <c r="D2">
        <f>Data!D2</f>
        <v>1</v>
      </c>
      <c r="E2" t="str">
        <f>Data!E2</f>
        <v>INDL</v>
      </c>
      <c r="F2" t="str">
        <f>Data!F2</f>
        <v>C</v>
      </c>
      <c r="G2" t="str">
        <f>Data!G2</f>
        <v>D</v>
      </c>
      <c r="H2" t="str">
        <f>Data!H2</f>
        <v>STD</v>
      </c>
      <c r="I2" t="str">
        <f>Data!I2</f>
        <v>KODK</v>
      </c>
      <c r="J2" t="str">
        <f>Data!J2</f>
        <v>USD</v>
      </c>
      <c r="K2" t="str">
        <f>Data!K2</f>
        <v>2015Q1</v>
      </c>
      <c r="L2" t="str">
        <f>Data!L2</f>
        <v>2015Q1</v>
      </c>
      <c r="M2">
        <f>Data!M2</f>
        <v>411</v>
      </c>
      <c r="N2" t="str">
        <f>Data!N2</f>
        <v>A</v>
      </c>
    </row>
    <row r="3" spans="1:20" x14ac:dyDescent="0.25">
      <c r="A3" t="str">
        <f>Data!A3</f>
        <v>004194</v>
      </c>
      <c r="B3">
        <f>Data!B3</f>
        <v>42185</v>
      </c>
      <c r="C3">
        <f>Data!C3</f>
        <v>2015</v>
      </c>
      <c r="D3">
        <f>Data!D3</f>
        <v>2</v>
      </c>
      <c r="E3" t="str">
        <f>Data!E3</f>
        <v>INDL</v>
      </c>
      <c r="F3" t="str">
        <f>Data!F3</f>
        <v>C</v>
      </c>
      <c r="G3" t="str">
        <f>Data!G3</f>
        <v>D</v>
      </c>
      <c r="H3" t="str">
        <f>Data!H3</f>
        <v>STD</v>
      </c>
      <c r="I3" t="str">
        <f>Data!I3</f>
        <v>KODK</v>
      </c>
      <c r="J3" t="str">
        <f>Data!J3</f>
        <v>USD</v>
      </c>
      <c r="K3" t="str">
        <f>Data!K3</f>
        <v>2015Q2</v>
      </c>
      <c r="L3" t="str">
        <f>Data!L3</f>
        <v>2015Q2</v>
      </c>
      <c r="M3">
        <f>Data!M3</f>
        <v>434</v>
      </c>
      <c r="N3" t="s">
        <v>3</v>
      </c>
      <c r="O3">
        <f>IF(OR(D3=2,D3=3,D3=4),1,0)</f>
        <v>1</v>
      </c>
      <c r="P3">
        <f>M2</f>
        <v>411</v>
      </c>
      <c r="R3" t="s">
        <v>4</v>
      </c>
    </row>
    <row r="4" spans="1:20" x14ac:dyDescent="0.25">
      <c r="A4" t="str">
        <f>Data!A4</f>
        <v>004194</v>
      </c>
      <c r="B4">
        <f>Data!B4</f>
        <v>42277</v>
      </c>
      <c r="C4">
        <f>Data!C4</f>
        <v>2015</v>
      </c>
      <c r="D4">
        <f>Data!D4</f>
        <v>3</v>
      </c>
      <c r="E4" t="str">
        <f>Data!E4</f>
        <v>INDL</v>
      </c>
      <c r="F4" t="str">
        <f>Data!F4</f>
        <v>C</v>
      </c>
      <c r="G4" t="str">
        <f>Data!G4</f>
        <v>D</v>
      </c>
      <c r="H4" t="str">
        <f>Data!H4</f>
        <v>STD</v>
      </c>
      <c r="I4" t="str">
        <f>Data!I4</f>
        <v>KODK</v>
      </c>
      <c r="J4" t="str">
        <f>Data!J4</f>
        <v>USD</v>
      </c>
      <c r="K4" t="str">
        <f>Data!K4</f>
        <v>2015Q3</v>
      </c>
      <c r="L4" t="str">
        <f>Data!L4</f>
        <v>2015Q3</v>
      </c>
      <c r="M4">
        <f>Data!M4</f>
        <v>425</v>
      </c>
      <c r="N4" t="s">
        <v>3</v>
      </c>
      <c r="O4">
        <f t="shared" ref="O4:O41" si="0">IF(OR(D4=2,D4=3,D4=4),1,0)</f>
        <v>1</v>
      </c>
      <c r="P4">
        <f t="shared" ref="P4:P41" si="1">M3</f>
        <v>434</v>
      </c>
      <c r="Q4">
        <v>1</v>
      </c>
      <c r="R4" s="4" cm="1">
        <f t="array" ref="R4:R7">AVERAGEIF(D2:D41,Q4:Q7,M2:M41)</f>
        <v>310.3</v>
      </c>
    </row>
    <row r="5" spans="1:20" x14ac:dyDescent="0.25">
      <c r="A5" t="str">
        <f>Data!A5</f>
        <v>004194</v>
      </c>
      <c r="B5">
        <f>Data!B5</f>
        <v>42369</v>
      </c>
      <c r="C5">
        <f>Data!C5</f>
        <v>2015</v>
      </c>
      <c r="D5">
        <f>Data!D5</f>
        <v>4</v>
      </c>
      <c r="E5" t="str">
        <f>Data!E5</f>
        <v>INDL</v>
      </c>
      <c r="F5" t="str">
        <f>Data!F5</f>
        <v>C</v>
      </c>
      <c r="G5" t="str">
        <f>Data!G5</f>
        <v>D</v>
      </c>
      <c r="H5" t="str">
        <f>Data!H5</f>
        <v>STD</v>
      </c>
      <c r="I5" t="str">
        <f>Data!I5</f>
        <v>KODK</v>
      </c>
      <c r="J5" t="str">
        <f>Data!J5</f>
        <v>USD</v>
      </c>
      <c r="K5" t="str">
        <f>Data!K5</f>
        <v>2015Q4</v>
      </c>
      <c r="L5" t="str">
        <f>Data!L5</f>
        <v>2015Q4</v>
      </c>
      <c r="M5">
        <f>Data!M5</f>
        <v>439</v>
      </c>
      <c r="N5" t="s">
        <v>3</v>
      </c>
      <c r="O5">
        <f t="shared" si="0"/>
        <v>1</v>
      </c>
      <c r="P5">
        <f t="shared" si="1"/>
        <v>425</v>
      </c>
      <c r="Q5">
        <v>2</v>
      </c>
      <c r="R5" s="4">
        <v>326.39999999999998</v>
      </c>
    </row>
    <row r="6" spans="1:20" x14ac:dyDescent="0.25">
      <c r="A6" t="str">
        <f>Data!A6</f>
        <v>004194</v>
      </c>
      <c r="B6">
        <f>Data!B6</f>
        <v>42460</v>
      </c>
      <c r="C6">
        <f>Data!C6</f>
        <v>2016</v>
      </c>
      <c r="D6">
        <f>Data!D6</f>
        <v>1</v>
      </c>
      <c r="E6" t="str">
        <f>Data!E6</f>
        <v>INDL</v>
      </c>
      <c r="F6" t="str">
        <f>Data!F6</f>
        <v>C</v>
      </c>
      <c r="G6" t="str">
        <f>Data!G6</f>
        <v>D</v>
      </c>
      <c r="H6" t="str">
        <f>Data!H6</f>
        <v>STD</v>
      </c>
      <c r="I6" t="str">
        <f>Data!I6</f>
        <v>KODK</v>
      </c>
      <c r="J6" t="str">
        <f>Data!J6</f>
        <v>USD</v>
      </c>
      <c r="K6" t="str">
        <f>Data!K6</f>
        <v>2016Q1</v>
      </c>
      <c r="L6" t="str">
        <f>Data!L6</f>
        <v>2016Q1</v>
      </c>
      <c r="M6">
        <f>Data!M6</f>
        <v>377</v>
      </c>
      <c r="N6" t="s">
        <v>3</v>
      </c>
      <c r="O6">
        <f t="shared" si="0"/>
        <v>0</v>
      </c>
      <c r="P6">
        <f t="shared" si="1"/>
        <v>439</v>
      </c>
      <c r="Q6">
        <v>3</v>
      </c>
      <c r="R6" s="4">
        <v>321.7</v>
      </c>
    </row>
    <row r="7" spans="1:20" x14ac:dyDescent="0.25">
      <c r="A7" t="str">
        <f>Data!A7</f>
        <v>004194</v>
      </c>
      <c r="B7">
        <f>Data!B7</f>
        <v>42551</v>
      </c>
      <c r="C7">
        <f>Data!C7</f>
        <v>2016</v>
      </c>
      <c r="D7">
        <f>Data!D7</f>
        <v>2</v>
      </c>
      <c r="E7" t="str">
        <f>Data!E7</f>
        <v>INDL</v>
      </c>
      <c r="F7" t="str">
        <f>Data!F7</f>
        <v>C</v>
      </c>
      <c r="G7" t="str">
        <f>Data!G7</f>
        <v>D</v>
      </c>
      <c r="H7" t="str">
        <f>Data!H7</f>
        <v>STD</v>
      </c>
      <c r="I7" t="str">
        <f>Data!I7</f>
        <v>KODK</v>
      </c>
      <c r="J7" t="str">
        <f>Data!J7</f>
        <v>USD</v>
      </c>
      <c r="K7" t="str">
        <f>Data!K7</f>
        <v>2016Q2</v>
      </c>
      <c r="L7" t="str">
        <f>Data!L7</f>
        <v>2016Q2</v>
      </c>
      <c r="M7">
        <f>Data!M7</f>
        <v>423</v>
      </c>
      <c r="N7" t="s">
        <v>3</v>
      </c>
      <c r="O7">
        <f t="shared" si="0"/>
        <v>1</v>
      </c>
      <c r="P7">
        <f t="shared" si="1"/>
        <v>377</v>
      </c>
      <c r="Q7">
        <v>4</v>
      </c>
      <c r="R7" s="4">
        <v>326</v>
      </c>
    </row>
    <row r="8" spans="1:20" x14ac:dyDescent="0.25">
      <c r="A8" t="str">
        <f>Data!A8</f>
        <v>004194</v>
      </c>
      <c r="B8">
        <f>Data!B8</f>
        <v>42643</v>
      </c>
      <c r="C8">
        <f>Data!C8</f>
        <v>2016</v>
      </c>
      <c r="D8">
        <f>Data!D8</f>
        <v>3</v>
      </c>
      <c r="E8" t="str">
        <f>Data!E8</f>
        <v>INDL</v>
      </c>
      <c r="F8" t="str">
        <f>Data!F8</f>
        <v>C</v>
      </c>
      <c r="G8" t="str">
        <f>Data!G8</f>
        <v>D</v>
      </c>
      <c r="H8" t="str">
        <f>Data!H8</f>
        <v>STD</v>
      </c>
      <c r="I8" t="str">
        <f>Data!I8</f>
        <v>KODK</v>
      </c>
      <c r="J8" t="str">
        <f>Data!J8</f>
        <v>USD</v>
      </c>
      <c r="K8" t="str">
        <f>Data!K8</f>
        <v>2016Q3</v>
      </c>
      <c r="L8" t="str">
        <f>Data!L8</f>
        <v>2016Q3</v>
      </c>
      <c r="M8">
        <f>Data!M8</f>
        <v>411</v>
      </c>
      <c r="N8" t="s">
        <v>3</v>
      </c>
      <c r="O8">
        <f t="shared" si="0"/>
        <v>1</v>
      </c>
      <c r="P8">
        <f t="shared" si="1"/>
        <v>423</v>
      </c>
    </row>
    <row r="9" spans="1:20" x14ac:dyDescent="0.25">
      <c r="A9" t="str">
        <f>Data!A9</f>
        <v>004194</v>
      </c>
      <c r="B9">
        <f>Data!B9</f>
        <v>42735</v>
      </c>
      <c r="C9">
        <f>Data!C9</f>
        <v>2016</v>
      </c>
      <c r="D9">
        <f>Data!D9</f>
        <v>4</v>
      </c>
      <c r="E9" t="str">
        <f>Data!E9</f>
        <v>INDL</v>
      </c>
      <c r="F9" t="str">
        <f>Data!F9</f>
        <v>C</v>
      </c>
      <c r="G9" t="str">
        <f>Data!G9</f>
        <v>D</v>
      </c>
      <c r="H9" t="str">
        <f>Data!H9</f>
        <v>STD</v>
      </c>
      <c r="I9" t="str">
        <f>Data!I9</f>
        <v>KODK</v>
      </c>
      <c r="J9" t="str">
        <f>Data!J9</f>
        <v>USD</v>
      </c>
      <c r="K9" t="str">
        <f>Data!K9</f>
        <v>2016Q4</v>
      </c>
      <c r="L9" t="str">
        <f>Data!L9</f>
        <v>2016Q4</v>
      </c>
      <c r="M9">
        <f>Data!M9</f>
        <v>432</v>
      </c>
      <c r="N9" t="s">
        <v>3</v>
      </c>
      <c r="O9">
        <f t="shared" si="0"/>
        <v>1</v>
      </c>
      <c r="P9">
        <f t="shared" si="1"/>
        <v>411</v>
      </c>
    </row>
    <row r="10" spans="1:20" x14ac:dyDescent="0.25">
      <c r="A10" t="str">
        <f>Data!A10</f>
        <v>004194</v>
      </c>
      <c r="B10">
        <f>Data!B10</f>
        <v>42825</v>
      </c>
      <c r="C10">
        <f>Data!C10</f>
        <v>2017</v>
      </c>
      <c r="D10">
        <f>Data!D10</f>
        <v>1</v>
      </c>
      <c r="E10" t="str">
        <f>Data!E10</f>
        <v>INDL</v>
      </c>
      <c r="F10" t="str">
        <f>Data!F10</f>
        <v>C</v>
      </c>
      <c r="G10" t="str">
        <f>Data!G10</f>
        <v>D</v>
      </c>
      <c r="H10" t="str">
        <f>Data!H10</f>
        <v>STD</v>
      </c>
      <c r="I10" t="str">
        <f>Data!I10</f>
        <v>KODK</v>
      </c>
      <c r="J10" t="str">
        <f>Data!J10</f>
        <v>USD</v>
      </c>
      <c r="K10" t="str">
        <f>Data!K10</f>
        <v>2017Q1</v>
      </c>
      <c r="L10" t="str">
        <f>Data!L10</f>
        <v>2017Q1</v>
      </c>
      <c r="M10">
        <f>Data!M10</f>
        <v>357</v>
      </c>
      <c r="N10" t="s">
        <v>3</v>
      </c>
      <c r="O10">
        <f t="shared" si="0"/>
        <v>0</v>
      </c>
      <c r="P10">
        <f t="shared" si="1"/>
        <v>432</v>
      </c>
      <c r="R10" t="s">
        <v>5</v>
      </c>
    </row>
    <row r="11" spans="1:20" x14ac:dyDescent="0.25">
      <c r="A11" t="str">
        <f>Data!A11</f>
        <v>004194</v>
      </c>
      <c r="B11">
        <f>Data!B11</f>
        <v>42916</v>
      </c>
      <c r="C11">
        <f>Data!C11</f>
        <v>2017</v>
      </c>
      <c r="D11">
        <f>Data!D11</f>
        <v>2</v>
      </c>
      <c r="E11" t="str">
        <f>Data!E11</f>
        <v>INDL</v>
      </c>
      <c r="F11" t="str">
        <f>Data!F11</f>
        <v>C</v>
      </c>
      <c r="G11" t="str">
        <f>Data!G11</f>
        <v>D</v>
      </c>
      <c r="H11" t="str">
        <f>Data!H11</f>
        <v>STD</v>
      </c>
      <c r="I11" t="str">
        <f>Data!I11</f>
        <v>KODK</v>
      </c>
      <c r="J11" t="str">
        <f>Data!J11</f>
        <v>USD</v>
      </c>
      <c r="K11" t="str">
        <f>Data!K11</f>
        <v>2017Q2</v>
      </c>
      <c r="L11" t="str">
        <f>Data!L11</f>
        <v>2017Q2</v>
      </c>
      <c r="M11">
        <f>Data!M11</f>
        <v>381</v>
      </c>
      <c r="N11" t="s">
        <v>3</v>
      </c>
      <c r="O11">
        <f t="shared" si="0"/>
        <v>1</v>
      </c>
      <c r="P11">
        <f t="shared" si="1"/>
        <v>357</v>
      </c>
      <c r="R11">
        <f t="array" ref="R11:T15">LINEST(M3:M41,O3:P41,1,1)</f>
        <v>0.8302861223121536</v>
      </c>
      <c r="S11">
        <v>36.548665703409299</v>
      </c>
      <c r="T11">
        <v>22.90259442193468</v>
      </c>
    </row>
    <row r="12" spans="1:20" x14ac:dyDescent="0.25">
      <c r="A12" t="str">
        <f>Data!A12</f>
        <v>004194</v>
      </c>
      <c r="B12">
        <f>Data!B12</f>
        <v>43008</v>
      </c>
      <c r="C12">
        <f>Data!C12</f>
        <v>2017</v>
      </c>
      <c r="D12">
        <f>Data!D12</f>
        <v>3</v>
      </c>
      <c r="E12" t="str">
        <f>Data!E12</f>
        <v>INDL</v>
      </c>
      <c r="F12" t="str">
        <f>Data!F12</f>
        <v>C</v>
      </c>
      <c r="G12" t="str">
        <f>Data!G12</f>
        <v>D</v>
      </c>
      <c r="H12" t="str">
        <f>Data!H12</f>
        <v>STD</v>
      </c>
      <c r="I12" t="str">
        <f>Data!I12</f>
        <v>KODK</v>
      </c>
      <c r="J12" t="str">
        <f>Data!J12</f>
        <v>USD</v>
      </c>
      <c r="K12" t="str">
        <f>Data!K12</f>
        <v>2017Q3</v>
      </c>
      <c r="L12" t="str">
        <f>Data!L12</f>
        <v>2017Q3</v>
      </c>
      <c r="M12">
        <f>Data!M12</f>
        <v>379</v>
      </c>
      <c r="N12" t="s">
        <v>3</v>
      </c>
      <c r="O12">
        <f t="shared" si="0"/>
        <v>1</v>
      </c>
      <c r="P12">
        <f t="shared" si="1"/>
        <v>381</v>
      </c>
      <c r="R12">
        <v>8.314042438505409E-2</v>
      </c>
      <c r="S12">
        <v>11.773285145097095</v>
      </c>
      <c r="T12">
        <v>29.507023055868967</v>
      </c>
    </row>
    <row r="13" spans="1:20" x14ac:dyDescent="0.25">
      <c r="A13" t="str">
        <f>Data!A13</f>
        <v>004194</v>
      </c>
      <c r="B13">
        <f>Data!B13</f>
        <v>43100</v>
      </c>
      <c r="C13">
        <f>Data!C13</f>
        <v>2017</v>
      </c>
      <c r="D13">
        <f>Data!D13</f>
        <v>4</v>
      </c>
      <c r="E13" t="str">
        <f>Data!E13</f>
        <v>INDL</v>
      </c>
      <c r="F13" t="str">
        <f>Data!F13</f>
        <v>C</v>
      </c>
      <c r="G13" t="str">
        <f>Data!G13</f>
        <v>D</v>
      </c>
      <c r="H13" t="str">
        <f>Data!H13</f>
        <v>STD</v>
      </c>
      <c r="I13" t="str">
        <f>Data!I13</f>
        <v>KODK</v>
      </c>
      <c r="J13" t="str">
        <f>Data!J13</f>
        <v>USD</v>
      </c>
      <c r="K13" t="str">
        <f>Data!K13</f>
        <v>2017Q4</v>
      </c>
      <c r="L13" t="str">
        <f>Data!L13</f>
        <v>2017Q4</v>
      </c>
      <c r="M13">
        <f>Data!M13</f>
        <v>269</v>
      </c>
      <c r="N13" t="s">
        <v>3</v>
      </c>
      <c r="O13">
        <f t="shared" si="0"/>
        <v>1</v>
      </c>
      <c r="P13">
        <f t="shared" si="1"/>
        <v>379</v>
      </c>
      <c r="R13">
        <v>0.74376602398471559</v>
      </c>
      <c r="S13">
        <v>30.842684562086845</v>
      </c>
      <c r="T13" t="e">
        <v>#N/A</v>
      </c>
    </row>
    <row r="14" spans="1:20" x14ac:dyDescent="0.25">
      <c r="A14" t="str">
        <f>Data!A14</f>
        <v>004194</v>
      </c>
      <c r="B14">
        <f>Data!B14</f>
        <v>43190</v>
      </c>
      <c r="C14">
        <f>Data!C14</f>
        <v>2018</v>
      </c>
      <c r="D14">
        <f>Data!D14</f>
        <v>1</v>
      </c>
      <c r="E14" t="str">
        <f>Data!E14</f>
        <v>INDL</v>
      </c>
      <c r="F14" t="str">
        <f>Data!F14</f>
        <v>C</v>
      </c>
      <c r="G14" t="str">
        <f>Data!G14</f>
        <v>D</v>
      </c>
      <c r="H14" t="str">
        <f>Data!H14</f>
        <v>STD</v>
      </c>
      <c r="I14" t="str">
        <f>Data!I14</f>
        <v>KODK</v>
      </c>
      <c r="J14" t="str">
        <f>Data!J14</f>
        <v>USD</v>
      </c>
      <c r="K14" t="str">
        <f>Data!K14</f>
        <v>2018Q1</v>
      </c>
      <c r="L14" t="str">
        <f>Data!L14</f>
        <v>2018Q1</v>
      </c>
      <c r="M14">
        <f>Data!M14</f>
        <v>318</v>
      </c>
      <c r="N14" t="s">
        <v>3</v>
      </c>
      <c r="O14">
        <f t="shared" si="0"/>
        <v>0</v>
      </c>
      <c r="P14">
        <f t="shared" si="1"/>
        <v>269</v>
      </c>
      <c r="R14">
        <v>52.248295249207303</v>
      </c>
      <c r="S14">
        <v>36</v>
      </c>
      <c r="T14" t="e">
        <v>#N/A</v>
      </c>
    </row>
    <row r="15" spans="1:20" x14ac:dyDescent="0.25">
      <c r="A15" t="str">
        <f>Data!A15</f>
        <v>004194</v>
      </c>
      <c r="B15">
        <f>Data!B15</f>
        <v>43281</v>
      </c>
      <c r="C15">
        <f>Data!C15</f>
        <v>2018</v>
      </c>
      <c r="D15">
        <f>Data!D15</f>
        <v>2</v>
      </c>
      <c r="E15" t="str">
        <f>Data!E15</f>
        <v>INDL</v>
      </c>
      <c r="F15" t="str">
        <f>Data!F15</f>
        <v>C</v>
      </c>
      <c r="G15" t="str">
        <f>Data!G15</f>
        <v>D</v>
      </c>
      <c r="H15" t="str">
        <f>Data!H15</f>
        <v>STD</v>
      </c>
      <c r="I15" t="str">
        <f>Data!I15</f>
        <v>KODK</v>
      </c>
      <c r="J15" t="str">
        <f>Data!J15</f>
        <v>USD</v>
      </c>
      <c r="K15" t="str">
        <f>Data!K15</f>
        <v>2018Q2</v>
      </c>
      <c r="L15" t="str">
        <f>Data!L15</f>
        <v>2018Q2</v>
      </c>
      <c r="M15">
        <f>Data!M15</f>
        <v>332</v>
      </c>
      <c r="N15" t="s">
        <v>3</v>
      </c>
      <c r="O15">
        <f t="shared" si="0"/>
        <v>1</v>
      </c>
      <c r="P15">
        <f t="shared" si="1"/>
        <v>318</v>
      </c>
      <c r="R15">
        <v>99404.596098488924</v>
      </c>
      <c r="S15">
        <v>34245.762875870045</v>
      </c>
      <c r="T15" t="e">
        <v>#N/A</v>
      </c>
    </row>
    <row r="16" spans="1:20" x14ac:dyDescent="0.25">
      <c r="A16" t="str">
        <f>Data!A16</f>
        <v>004194</v>
      </c>
      <c r="B16">
        <f>Data!B16</f>
        <v>43373</v>
      </c>
      <c r="C16">
        <f>Data!C16</f>
        <v>2018</v>
      </c>
      <c r="D16">
        <f>Data!D16</f>
        <v>3</v>
      </c>
      <c r="E16" t="str">
        <f>Data!E16</f>
        <v>INDL</v>
      </c>
      <c r="F16" t="str">
        <f>Data!F16</f>
        <v>C</v>
      </c>
      <c r="G16" t="str">
        <f>Data!G16</f>
        <v>D</v>
      </c>
      <c r="H16" t="str">
        <f>Data!H16</f>
        <v>STD</v>
      </c>
      <c r="I16" t="str">
        <f>Data!I16</f>
        <v>KODK</v>
      </c>
      <c r="J16" t="str">
        <f>Data!J16</f>
        <v>USD</v>
      </c>
      <c r="K16" t="str">
        <f>Data!K16</f>
        <v>2018Q3</v>
      </c>
      <c r="L16" t="str">
        <f>Data!L16</f>
        <v>2018Q3</v>
      </c>
      <c r="M16">
        <f>Data!M16</f>
        <v>329</v>
      </c>
      <c r="N16" t="s">
        <v>3</v>
      </c>
      <c r="O16">
        <f t="shared" si="0"/>
        <v>1</v>
      </c>
      <c r="P16">
        <f t="shared" si="1"/>
        <v>332</v>
      </c>
    </row>
    <row r="17" spans="1:20" x14ac:dyDescent="0.25">
      <c r="A17" t="str">
        <f>Data!A17</f>
        <v>004194</v>
      </c>
      <c r="B17">
        <f>Data!B17</f>
        <v>43465</v>
      </c>
      <c r="C17">
        <f>Data!C17</f>
        <v>2018</v>
      </c>
      <c r="D17">
        <f>Data!D17</f>
        <v>4</v>
      </c>
      <c r="E17" t="str">
        <f>Data!E17</f>
        <v>INDL</v>
      </c>
      <c r="F17" t="str">
        <f>Data!F17</f>
        <v>C</v>
      </c>
      <c r="G17" t="str">
        <f>Data!G17</f>
        <v>D</v>
      </c>
      <c r="H17" t="str">
        <f>Data!H17</f>
        <v>STD</v>
      </c>
      <c r="I17" t="str">
        <f>Data!I17</f>
        <v>KODK</v>
      </c>
      <c r="J17" t="str">
        <f>Data!J17</f>
        <v>USD</v>
      </c>
      <c r="K17" t="str">
        <f>Data!K17</f>
        <v>2018Q4</v>
      </c>
      <c r="L17" t="str">
        <f>Data!L17</f>
        <v>2018Q4</v>
      </c>
      <c r="M17">
        <f>Data!M17</f>
        <v>341</v>
      </c>
      <c r="N17" t="s">
        <v>3</v>
      </c>
      <c r="O17">
        <f t="shared" si="0"/>
        <v>1</v>
      </c>
      <c r="P17">
        <f t="shared" si="1"/>
        <v>329</v>
      </c>
    </row>
    <row r="18" spans="1:20" ht="15.75" thickBot="1" x14ac:dyDescent="0.3">
      <c r="A18" t="str">
        <f>Data!A18</f>
        <v>004194</v>
      </c>
      <c r="B18">
        <f>Data!B18</f>
        <v>43555</v>
      </c>
      <c r="C18">
        <f>Data!C18</f>
        <v>2019</v>
      </c>
      <c r="D18">
        <f>Data!D18</f>
        <v>1</v>
      </c>
      <c r="E18" t="str">
        <f>Data!E18</f>
        <v>INDL</v>
      </c>
      <c r="F18" t="str">
        <f>Data!F18</f>
        <v>C</v>
      </c>
      <c r="G18" t="str">
        <f>Data!G18</f>
        <v>D</v>
      </c>
      <c r="H18" t="str">
        <f>Data!H18</f>
        <v>STD</v>
      </c>
      <c r="I18" t="str">
        <f>Data!I18</f>
        <v>KODK</v>
      </c>
      <c r="J18" t="str">
        <f>Data!J18</f>
        <v>USD</v>
      </c>
      <c r="K18" t="str">
        <f>Data!K18</f>
        <v>2019Q1</v>
      </c>
      <c r="L18" t="str">
        <f>Data!L18</f>
        <v>2019Q1</v>
      </c>
      <c r="M18">
        <f>Data!M18</f>
        <v>291</v>
      </c>
      <c r="N18" t="s">
        <v>3</v>
      </c>
      <c r="O18">
        <f t="shared" si="0"/>
        <v>0</v>
      </c>
      <c r="P18">
        <f t="shared" si="1"/>
        <v>341</v>
      </c>
    </row>
    <row r="19" spans="1:20" ht="15.75" thickBot="1" x14ac:dyDescent="0.3">
      <c r="A19" t="str">
        <f>Data!A19</f>
        <v>004194</v>
      </c>
      <c r="B19">
        <f>Data!B19</f>
        <v>43646</v>
      </c>
      <c r="C19">
        <f>Data!C19</f>
        <v>2019</v>
      </c>
      <c r="D19">
        <f>Data!D19</f>
        <v>2</v>
      </c>
      <c r="E19" t="str">
        <f>Data!E19</f>
        <v>INDL</v>
      </c>
      <c r="F19" t="str">
        <f>Data!F19</f>
        <v>C</v>
      </c>
      <c r="G19" t="str">
        <f>Data!G19</f>
        <v>D</v>
      </c>
      <c r="H19" t="str">
        <f>Data!H19</f>
        <v>STD</v>
      </c>
      <c r="I19" t="str">
        <f>Data!I19</f>
        <v>KODK</v>
      </c>
      <c r="J19" t="str">
        <f>Data!J19</f>
        <v>USD</v>
      </c>
      <c r="K19" t="str">
        <f>Data!K19</f>
        <v>2019Q2</v>
      </c>
      <c r="L19" t="str">
        <f>Data!L19</f>
        <v>2019Q2</v>
      </c>
      <c r="M19">
        <f>Data!M19</f>
        <v>307</v>
      </c>
      <c r="N19" t="s">
        <v>3</v>
      </c>
      <c r="O19">
        <f t="shared" si="0"/>
        <v>1</v>
      </c>
      <c r="P19">
        <f t="shared" si="1"/>
        <v>291</v>
      </c>
      <c r="R19" s="13" t="s">
        <v>6</v>
      </c>
      <c r="S19" s="16" t="s">
        <v>932</v>
      </c>
      <c r="T19" s="9" t="s">
        <v>7</v>
      </c>
    </row>
    <row r="20" spans="1:20" ht="15.75" thickTop="1" x14ac:dyDescent="0.25">
      <c r="A20" t="str">
        <f>Data!A20</f>
        <v>004194</v>
      </c>
      <c r="B20">
        <f>Data!B20</f>
        <v>43738</v>
      </c>
      <c r="C20">
        <f>Data!C20</f>
        <v>2019</v>
      </c>
      <c r="D20">
        <f>Data!D20</f>
        <v>3</v>
      </c>
      <c r="E20" t="str">
        <f>Data!E20</f>
        <v>INDL</v>
      </c>
      <c r="F20" t="str">
        <f>Data!F20</f>
        <v>C</v>
      </c>
      <c r="G20" t="str">
        <f>Data!G20</f>
        <v>D</v>
      </c>
      <c r="H20" t="str">
        <f>Data!H20</f>
        <v>STD</v>
      </c>
      <c r="I20" t="str">
        <f>Data!I20</f>
        <v>KODK</v>
      </c>
      <c r="J20" t="str">
        <f>Data!J20</f>
        <v>USD</v>
      </c>
      <c r="K20" t="str">
        <f>Data!K20</f>
        <v>2019Q3</v>
      </c>
      <c r="L20" t="str">
        <f>Data!L20</f>
        <v>2019Q3</v>
      </c>
      <c r="M20">
        <f>Data!M20</f>
        <v>315</v>
      </c>
      <c r="N20" t="s">
        <v>3</v>
      </c>
      <c r="O20">
        <f t="shared" si="0"/>
        <v>1</v>
      </c>
      <c r="P20">
        <f t="shared" si="1"/>
        <v>307</v>
      </c>
      <c r="R20" s="17">
        <f>$T$11+$S$11*T20+$R$11*M41</f>
        <v>243.75870295696754</v>
      </c>
      <c r="S20" s="18">
        <v>1</v>
      </c>
      <c r="T20" s="19">
        <v>0</v>
      </c>
    </row>
    <row r="21" spans="1:20" x14ac:dyDescent="0.25">
      <c r="A21" t="str">
        <f>Data!A21</f>
        <v>004194</v>
      </c>
      <c r="B21">
        <f>Data!B21</f>
        <v>43830</v>
      </c>
      <c r="C21">
        <f>Data!C21</f>
        <v>2019</v>
      </c>
      <c r="D21">
        <f>Data!D21</f>
        <v>4</v>
      </c>
      <c r="E21" t="str">
        <f>Data!E21</f>
        <v>INDL</v>
      </c>
      <c r="F21" t="str">
        <f>Data!F21</f>
        <v>C</v>
      </c>
      <c r="G21" t="str">
        <f>Data!G21</f>
        <v>D</v>
      </c>
      <c r="H21" t="str">
        <f>Data!H21</f>
        <v>STD</v>
      </c>
      <c r="I21" t="str">
        <f>Data!I21</f>
        <v>KODK</v>
      </c>
      <c r="J21" t="str">
        <f>Data!J21</f>
        <v>USD</v>
      </c>
      <c r="K21" t="str">
        <f>Data!K21</f>
        <v>2019Q4</v>
      </c>
      <c r="L21" t="str">
        <f>Data!L21</f>
        <v>2019Q4</v>
      </c>
      <c r="M21">
        <f>Data!M21</f>
        <v>329</v>
      </c>
      <c r="N21" t="s">
        <v>3</v>
      </c>
      <c r="O21">
        <f t="shared" si="0"/>
        <v>1</v>
      </c>
      <c r="P21">
        <f t="shared" si="1"/>
        <v>315</v>
      </c>
      <c r="R21" s="17">
        <f>$T$11+$S$11*T21+$R$11*R20</f>
        <v>261.84072838332463</v>
      </c>
      <c r="S21" s="18">
        <v>2</v>
      </c>
      <c r="T21" s="19">
        <v>1</v>
      </c>
    </row>
    <row r="22" spans="1:20" x14ac:dyDescent="0.25">
      <c r="A22" t="str">
        <f>Data!A22</f>
        <v>004194</v>
      </c>
      <c r="B22">
        <f>Data!B22</f>
        <v>43921</v>
      </c>
      <c r="C22">
        <f>Data!C22</f>
        <v>2020</v>
      </c>
      <c r="D22">
        <f>Data!D22</f>
        <v>1</v>
      </c>
      <c r="E22" t="str">
        <f>Data!E22</f>
        <v>INDL</v>
      </c>
      <c r="F22" t="str">
        <f>Data!F22</f>
        <v>C</v>
      </c>
      <c r="G22" t="str">
        <f>Data!G22</f>
        <v>D</v>
      </c>
      <c r="H22" t="str">
        <f>Data!H22</f>
        <v>STD</v>
      </c>
      <c r="I22" t="str">
        <f>Data!I22</f>
        <v>KODK</v>
      </c>
      <c r="J22" t="str">
        <f>Data!J22</f>
        <v>USD</v>
      </c>
      <c r="K22" t="str">
        <f>Data!K22</f>
        <v>2020Q1</v>
      </c>
      <c r="L22" t="str">
        <f>Data!L22</f>
        <v>2020Q1</v>
      </c>
      <c r="M22">
        <f>Data!M22</f>
        <v>267</v>
      </c>
      <c r="N22" t="s">
        <v>3</v>
      </c>
      <c r="O22">
        <f t="shared" si="0"/>
        <v>0</v>
      </c>
      <c r="P22">
        <f t="shared" si="1"/>
        <v>329</v>
      </c>
      <c r="R22" s="17">
        <f t="shared" ref="R22:R23" si="2">$T$11+$S$11*T22+$R$11*R21</f>
        <v>276.85398315812444</v>
      </c>
      <c r="S22" s="18">
        <v>3</v>
      </c>
      <c r="T22" s="19">
        <v>1</v>
      </c>
    </row>
    <row r="23" spans="1:20" ht="15.75" thickBot="1" x14ac:dyDescent="0.3">
      <c r="A23" t="str">
        <f>Data!A23</f>
        <v>004194</v>
      </c>
      <c r="B23">
        <f>Data!B23</f>
        <v>44012</v>
      </c>
      <c r="C23">
        <f>Data!C23</f>
        <v>2020</v>
      </c>
      <c r="D23">
        <f>Data!D23</f>
        <v>2</v>
      </c>
      <c r="E23" t="str">
        <f>Data!E23</f>
        <v>INDL</v>
      </c>
      <c r="F23" t="str">
        <f>Data!F23</f>
        <v>C</v>
      </c>
      <c r="G23" t="str">
        <f>Data!G23</f>
        <v>D</v>
      </c>
      <c r="H23" t="str">
        <f>Data!H23</f>
        <v>STD</v>
      </c>
      <c r="I23" t="str">
        <f>Data!I23</f>
        <v>KODK</v>
      </c>
      <c r="J23" t="str">
        <f>Data!J23</f>
        <v>USD</v>
      </c>
      <c r="K23" t="str">
        <f>Data!K23</f>
        <v>2020Q2</v>
      </c>
      <c r="L23" t="str">
        <f>Data!L23</f>
        <v>2020Q2</v>
      </c>
      <c r="M23">
        <f>Data!M23</f>
        <v>213</v>
      </c>
      <c r="N23" t="s">
        <v>3</v>
      </c>
      <c r="O23">
        <f t="shared" si="0"/>
        <v>1</v>
      </c>
      <c r="P23">
        <f t="shared" si="1"/>
        <v>267</v>
      </c>
      <c r="R23" s="20">
        <f t="shared" si="2"/>
        <v>289.31928024837737</v>
      </c>
      <c r="S23" s="21">
        <v>4</v>
      </c>
      <c r="T23" s="22">
        <v>1</v>
      </c>
    </row>
    <row r="24" spans="1:20" x14ac:dyDescent="0.25">
      <c r="A24" t="str">
        <f>Data!A24</f>
        <v>004194</v>
      </c>
      <c r="B24">
        <f>Data!B24</f>
        <v>44104</v>
      </c>
      <c r="C24">
        <f>Data!C24</f>
        <v>2020</v>
      </c>
      <c r="D24">
        <f>Data!D24</f>
        <v>3</v>
      </c>
      <c r="E24" t="str">
        <f>Data!E24</f>
        <v>INDL</v>
      </c>
      <c r="F24" t="str">
        <f>Data!F24</f>
        <v>C</v>
      </c>
      <c r="G24" t="str">
        <f>Data!G24</f>
        <v>D</v>
      </c>
      <c r="H24" t="str">
        <f>Data!H24</f>
        <v>STD</v>
      </c>
      <c r="I24" t="str">
        <f>Data!I24</f>
        <v>KODK</v>
      </c>
      <c r="J24" t="str">
        <f>Data!J24</f>
        <v>USD</v>
      </c>
      <c r="K24" t="str">
        <f>Data!K24</f>
        <v>2020Q3</v>
      </c>
      <c r="L24" t="str">
        <f>Data!L24</f>
        <v>2020Q3</v>
      </c>
      <c r="M24">
        <f>Data!M24</f>
        <v>252</v>
      </c>
      <c r="N24" t="s">
        <v>3</v>
      </c>
      <c r="O24">
        <f t="shared" si="0"/>
        <v>1</v>
      </c>
      <c r="P24">
        <f t="shared" si="1"/>
        <v>213</v>
      </c>
    </row>
    <row r="25" spans="1:20" x14ac:dyDescent="0.25">
      <c r="A25" t="str">
        <f>Data!A25</f>
        <v>004194</v>
      </c>
      <c r="B25">
        <f>Data!B25</f>
        <v>44196</v>
      </c>
      <c r="C25">
        <f>Data!C25</f>
        <v>2020</v>
      </c>
      <c r="D25">
        <f>Data!D25</f>
        <v>4</v>
      </c>
      <c r="E25" t="str">
        <f>Data!E25</f>
        <v>INDL</v>
      </c>
      <c r="F25" t="str">
        <f>Data!F25</f>
        <v>C</v>
      </c>
      <c r="G25" t="str">
        <f>Data!G25</f>
        <v>D</v>
      </c>
      <c r="H25" t="str">
        <f>Data!H25</f>
        <v>STD</v>
      </c>
      <c r="I25" t="str">
        <f>Data!I25</f>
        <v>KODK</v>
      </c>
      <c r="J25" t="str">
        <f>Data!J25</f>
        <v>USD</v>
      </c>
      <c r="K25" t="str">
        <f>Data!K25</f>
        <v>2020Q4</v>
      </c>
      <c r="L25" t="str">
        <f>Data!L25</f>
        <v>2020Q4</v>
      </c>
      <c r="M25">
        <f>Data!M25</f>
        <v>297</v>
      </c>
      <c r="N25" t="s">
        <v>3</v>
      </c>
      <c r="O25">
        <f t="shared" si="0"/>
        <v>1</v>
      </c>
      <c r="P25">
        <f t="shared" si="1"/>
        <v>252</v>
      </c>
    </row>
    <row r="26" spans="1:20" x14ac:dyDescent="0.25">
      <c r="A26" t="str">
        <f>Data!A26</f>
        <v>004194</v>
      </c>
      <c r="B26">
        <f>Data!B26</f>
        <v>44286</v>
      </c>
      <c r="C26">
        <f>Data!C26</f>
        <v>2021</v>
      </c>
      <c r="D26">
        <f>Data!D26</f>
        <v>1</v>
      </c>
      <c r="E26" t="str">
        <f>Data!E26</f>
        <v>INDL</v>
      </c>
      <c r="F26" t="str">
        <f>Data!F26</f>
        <v>C</v>
      </c>
      <c r="G26" t="str">
        <f>Data!G26</f>
        <v>D</v>
      </c>
      <c r="H26" t="str">
        <f>Data!H26</f>
        <v>STD</v>
      </c>
      <c r="I26" t="str">
        <f>Data!I26</f>
        <v>KODK</v>
      </c>
      <c r="J26" t="str">
        <f>Data!J26</f>
        <v>USD</v>
      </c>
      <c r="K26" t="str">
        <f>Data!K26</f>
        <v>2021Q1</v>
      </c>
      <c r="L26" t="str">
        <f>Data!L26</f>
        <v>2021Q1</v>
      </c>
      <c r="M26">
        <f>Data!M26</f>
        <v>265</v>
      </c>
      <c r="N26" t="s">
        <v>3</v>
      </c>
      <c r="O26">
        <f t="shared" si="0"/>
        <v>0</v>
      </c>
      <c r="P26">
        <f t="shared" si="1"/>
        <v>297</v>
      </c>
    </row>
    <row r="27" spans="1:20" x14ac:dyDescent="0.25">
      <c r="A27" t="str">
        <f>Data!A27</f>
        <v>004194</v>
      </c>
      <c r="B27">
        <f>Data!B27</f>
        <v>44377</v>
      </c>
      <c r="C27">
        <f>Data!C27</f>
        <v>2021</v>
      </c>
      <c r="D27">
        <f>Data!D27</f>
        <v>2</v>
      </c>
      <c r="E27" t="str">
        <f>Data!E27</f>
        <v>INDL</v>
      </c>
      <c r="F27" t="str">
        <f>Data!F27</f>
        <v>C</v>
      </c>
      <c r="G27" t="str">
        <f>Data!G27</f>
        <v>D</v>
      </c>
      <c r="H27" t="str">
        <f>Data!H27</f>
        <v>STD</v>
      </c>
      <c r="I27" t="str">
        <f>Data!I27</f>
        <v>KODK</v>
      </c>
      <c r="J27" t="str">
        <f>Data!J27</f>
        <v>USD</v>
      </c>
      <c r="K27" t="str">
        <f>Data!K27</f>
        <v>2021Q2</v>
      </c>
      <c r="L27" t="str">
        <f>Data!L27</f>
        <v>2021Q2</v>
      </c>
      <c r="M27">
        <f>Data!M27</f>
        <v>291</v>
      </c>
      <c r="N27" t="s">
        <v>3</v>
      </c>
      <c r="O27">
        <f t="shared" si="0"/>
        <v>1</v>
      </c>
      <c r="P27">
        <f t="shared" si="1"/>
        <v>265</v>
      </c>
    </row>
    <row r="28" spans="1:20" x14ac:dyDescent="0.25">
      <c r="A28" t="str">
        <f>Data!A28</f>
        <v>004194</v>
      </c>
      <c r="B28">
        <f>Data!B28</f>
        <v>44469</v>
      </c>
      <c r="C28">
        <f>Data!C28</f>
        <v>2021</v>
      </c>
      <c r="D28">
        <f>Data!D28</f>
        <v>3</v>
      </c>
      <c r="E28" t="str">
        <f>Data!E28</f>
        <v>INDL</v>
      </c>
      <c r="F28" t="str">
        <f>Data!F28</f>
        <v>C</v>
      </c>
      <c r="G28" t="str">
        <f>Data!G28</f>
        <v>D</v>
      </c>
      <c r="H28" t="str">
        <f>Data!H28</f>
        <v>STD</v>
      </c>
      <c r="I28" t="str">
        <f>Data!I28</f>
        <v>KODK</v>
      </c>
      <c r="J28" t="str">
        <f>Data!J28</f>
        <v>USD</v>
      </c>
      <c r="K28" t="str">
        <f>Data!K28</f>
        <v>2021Q3</v>
      </c>
      <c r="L28" t="str">
        <f>Data!L28</f>
        <v>2021Q3</v>
      </c>
      <c r="M28">
        <f>Data!M28</f>
        <v>287</v>
      </c>
      <c r="N28" t="s">
        <v>3</v>
      </c>
      <c r="O28">
        <f t="shared" si="0"/>
        <v>1</v>
      </c>
      <c r="P28">
        <f t="shared" si="1"/>
        <v>291</v>
      </c>
    </row>
    <row r="29" spans="1:20" x14ac:dyDescent="0.25">
      <c r="A29" t="str">
        <f>Data!A29</f>
        <v>004194</v>
      </c>
      <c r="B29">
        <f>Data!B29</f>
        <v>44561</v>
      </c>
      <c r="C29">
        <f>Data!C29</f>
        <v>2021</v>
      </c>
      <c r="D29">
        <f>Data!D29</f>
        <v>4</v>
      </c>
      <c r="E29" t="str">
        <f>Data!E29</f>
        <v>INDL</v>
      </c>
      <c r="F29" t="str">
        <f>Data!F29</f>
        <v>C</v>
      </c>
      <c r="G29" t="str">
        <f>Data!G29</f>
        <v>D</v>
      </c>
      <c r="H29" t="str">
        <f>Data!H29</f>
        <v>STD</v>
      </c>
      <c r="I29" t="str">
        <f>Data!I29</f>
        <v>KODK</v>
      </c>
      <c r="J29" t="str">
        <f>Data!J29</f>
        <v>USD</v>
      </c>
      <c r="K29" t="str">
        <f>Data!K29</f>
        <v>2021Q4</v>
      </c>
      <c r="L29" t="str">
        <f>Data!L29</f>
        <v>2021Q4</v>
      </c>
      <c r="M29">
        <f>Data!M29</f>
        <v>307</v>
      </c>
      <c r="N29" t="s">
        <v>3</v>
      </c>
      <c r="O29">
        <f t="shared" si="0"/>
        <v>1</v>
      </c>
      <c r="P29">
        <f t="shared" si="1"/>
        <v>287</v>
      </c>
    </row>
    <row r="30" spans="1:20" x14ac:dyDescent="0.25">
      <c r="A30" t="str">
        <f>Data!A30</f>
        <v>004194</v>
      </c>
      <c r="B30">
        <f>Data!B30</f>
        <v>44651</v>
      </c>
      <c r="C30">
        <f>Data!C30</f>
        <v>2022</v>
      </c>
      <c r="D30">
        <f>Data!D30</f>
        <v>1</v>
      </c>
      <c r="E30" t="str">
        <f>Data!E30</f>
        <v>INDL</v>
      </c>
      <c r="F30" t="str">
        <f>Data!F30</f>
        <v>C</v>
      </c>
      <c r="G30" t="str">
        <f>Data!G30</f>
        <v>D</v>
      </c>
      <c r="H30" t="str">
        <f>Data!H30</f>
        <v>STD</v>
      </c>
      <c r="I30" t="str">
        <f>Data!I30</f>
        <v>KODK</v>
      </c>
      <c r="J30" t="str">
        <f>Data!J30</f>
        <v>USD</v>
      </c>
      <c r="K30" t="str">
        <f>Data!K30</f>
        <v>2022Q1</v>
      </c>
      <c r="L30" t="str">
        <f>Data!L30</f>
        <v>2022Q1</v>
      </c>
      <c r="M30">
        <f>Data!M30</f>
        <v>290</v>
      </c>
      <c r="N30" t="s">
        <v>3</v>
      </c>
      <c r="O30">
        <f t="shared" si="0"/>
        <v>0</v>
      </c>
      <c r="P30">
        <f t="shared" si="1"/>
        <v>307</v>
      </c>
    </row>
    <row r="31" spans="1:20" x14ac:dyDescent="0.25">
      <c r="A31" t="str">
        <f>Data!A31</f>
        <v>004194</v>
      </c>
      <c r="B31">
        <f>Data!B31</f>
        <v>44742</v>
      </c>
      <c r="C31">
        <f>Data!C31</f>
        <v>2022</v>
      </c>
      <c r="D31">
        <f>Data!D31</f>
        <v>2</v>
      </c>
      <c r="E31" t="str">
        <f>Data!E31</f>
        <v>INDL</v>
      </c>
      <c r="F31" t="str">
        <f>Data!F31</f>
        <v>C</v>
      </c>
      <c r="G31" t="str">
        <f>Data!G31</f>
        <v>D</v>
      </c>
      <c r="H31" t="str">
        <f>Data!H31</f>
        <v>STD</v>
      </c>
      <c r="I31" t="str">
        <f>Data!I31</f>
        <v>KODK</v>
      </c>
      <c r="J31" t="str">
        <f>Data!J31</f>
        <v>USD</v>
      </c>
      <c r="K31" t="str">
        <f>Data!K31</f>
        <v>2022Q2</v>
      </c>
      <c r="L31" t="str">
        <f>Data!L31</f>
        <v>2022Q2</v>
      </c>
      <c r="M31">
        <f>Data!M31</f>
        <v>321</v>
      </c>
      <c r="N31" t="s">
        <v>3</v>
      </c>
      <c r="O31">
        <f t="shared" si="0"/>
        <v>1</v>
      </c>
      <c r="P31">
        <f t="shared" si="1"/>
        <v>290</v>
      </c>
    </row>
    <row r="32" spans="1:20" x14ac:dyDescent="0.25">
      <c r="A32" t="str">
        <f>Data!A32</f>
        <v>004194</v>
      </c>
      <c r="B32">
        <f>Data!B32</f>
        <v>44834</v>
      </c>
      <c r="C32">
        <f>Data!C32</f>
        <v>2022</v>
      </c>
      <c r="D32">
        <f>Data!D32</f>
        <v>3</v>
      </c>
      <c r="E32" t="str">
        <f>Data!E32</f>
        <v>INDL</v>
      </c>
      <c r="F32" t="str">
        <f>Data!F32</f>
        <v>C</v>
      </c>
      <c r="G32" t="str">
        <f>Data!G32</f>
        <v>D</v>
      </c>
      <c r="H32" t="str">
        <f>Data!H32</f>
        <v>STD</v>
      </c>
      <c r="I32" t="str">
        <f>Data!I32</f>
        <v>KODK</v>
      </c>
      <c r="J32" t="str">
        <f>Data!J32</f>
        <v>USD</v>
      </c>
      <c r="K32" t="str">
        <f>Data!K32</f>
        <v>2022Q3</v>
      </c>
      <c r="L32" t="str">
        <f>Data!L32</f>
        <v>2022Q3</v>
      </c>
      <c r="M32">
        <f>Data!M32</f>
        <v>289</v>
      </c>
      <c r="N32" t="s">
        <v>3</v>
      </c>
      <c r="O32">
        <f t="shared" si="0"/>
        <v>1</v>
      </c>
      <c r="P32">
        <f t="shared" si="1"/>
        <v>321</v>
      </c>
    </row>
    <row r="33" spans="1:16" x14ac:dyDescent="0.25">
      <c r="A33" t="str">
        <f>Data!A33</f>
        <v>004194</v>
      </c>
      <c r="B33">
        <f>Data!B33</f>
        <v>44926</v>
      </c>
      <c r="C33">
        <f>Data!C33</f>
        <v>2022</v>
      </c>
      <c r="D33">
        <f>Data!D33</f>
        <v>4</v>
      </c>
      <c r="E33" t="str">
        <f>Data!E33</f>
        <v>INDL</v>
      </c>
      <c r="F33" t="str">
        <f>Data!F33</f>
        <v>C</v>
      </c>
      <c r="G33" t="str">
        <f>Data!G33</f>
        <v>D</v>
      </c>
      <c r="H33" t="str">
        <f>Data!H33</f>
        <v>STD</v>
      </c>
      <c r="I33" t="str">
        <f>Data!I33</f>
        <v>KODK</v>
      </c>
      <c r="J33" t="str">
        <f>Data!J33</f>
        <v>USD</v>
      </c>
      <c r="K33" t="str">
        <f>Data!K33</f>
        <v>2022Q4</v>
      </c>
      <c r="L33" t="str">
        <f>Data!L33</f>
        <v>2022Q4</v>
      </c>
      <c r="M33">
        <f>Data!M33</f>
        <v>305</v>
      </c>
      <c r="N33" t="s">
        <v>3</v>
      </c>
      <c r="O33">
        <f t="shared" si="0"/>
        <v>1</v>
      </c>
      <c r="P33">
        <f t="shared" si="1"/>
        <v>289</v>
      </c>
    </row>
    <row r="34" spans="1:16" x14ac:dyDescent="0.25">
      <c r="A34" t="str">
        <f>Data!A34</f>
        <v>004194</v>
      </c>
      <c r="B34">
        <f>Data!B34</f>
        <v>45016</v>
      </c>
      <c r="C34">
        <f>Data!C34</f>
        <v>2023</v>
      </c>
      <c r="D34">
        <f>Data!D34</f>
        <v>1</v>
      </c>
      <c r="E34" t="str">
        <f>Data!E34</f>
        <v>INDL</v>
      </c>
      <c r="F34" t="str">
        <f>Data!F34</f>
        <v>C</v>
      </c>
      <c r="G34" t="str">
        <f>Data!G34</f>
        <v>D</v>
      </c>
      <c r="H34" t="str">
        <f>Data!H34</f>
        <v>STD</v>
      </c>
      <c r="I34" t="str">
        <f>Data!I34</f>
        <v>KODK</v>
      </c>
      <c r="J34" t="str">
        <f>Data!J34</f>
        <v>USD</v>
      </c>
      <c r="K34" t="str">
        <f>Data!K34</f>
        <v>2023Q1</v>
      </c>
      <c r="L34" t="str">
        <f>Data!L34</f>
        <v>2023Q1</v>
      </c>
      <c r="M34">
        <f>Data!M34</f>
        <v>278</v>
      </c>
      <c r="N34" t="s">
        <v>3</v>
      </c>
      <c r="O34">
        <f t="shared" si="0"/>
        <v>0</v>
      </c>
      <c r="P34">
        <f t="shared" si="1"/>
        <v>305</v>
      </c>
    </row>
    <row r="35" spans="1:16" x14ac:dyDescent="0.25">
      <c r="A35" t="str">
        <f>Data!A35</f>
        <v>004194</v>
      </c>
      <c r="B35">
        <f>Data!B35</f>
        <v>45107</v>
      </c>
      <c r="C35">
        <f>Data!C35</f>
        <v>2023</v>
      </c>
      <c r="D35">
        <f>Data!D35</f>
        <v>2</v>
      </c>
      <c r="E35" t="str">
        <f>Data!E35</f>
        <v>INDL</v>
      </c>
      <c r="F35" t="str">
        <f>Data!F35</f>
        <v>C</v>
      </c>
      <c r="G35" t="str">
        <f>Data!G35</f>
        <v>D</v>
      </c>
      <c r="H35" t="str">
        <f>Data!H35</f>
        <v>STD</v>
      </c>
      <c r="I35" t="str">
        <f>Data!I35</f>
        <v>KODK</v>
      </c>
      <c r="J35" t="str">
        <f>Data!J35</f>
        <v>USD</v>
      </c>
      <c r="K35" t="str">
        <f>Data!K35</f>
        <v>2023Q2</v>
      </c>
      <c r="L35" t="str">
        <f>Data!L35</f>
        <v>2023Q2</v>
      </c>
      <c r="M35">
        <f>Data!M35</f>
        <v>295</v>
      </c>
      <c r="N35" t="s">
        <v>3</v>
      </c>
      <c r="O35">
        <f t="shared" si="0"/>
        <v>1</v>
      </c>
      <c r="P35">
        <f t="shared" si="1"/>
        <v>278</v>
      </c>
    </row>
    <row r="36" spans="1:16" x14ac:dyDescent="0.25">
      <c r="A36" t="str">
        <f>Data!A36</f>
        <v>004194</v>
      </c>
      <c r="B36">
        <f>Data!B36</f>
        <v>45199</v>
      </c>
      <c r="C36">
        <f>Data!C36</f>
        <v>2023</v>
      </c>
      <c r="D36">
        <f>Data!D36</f>
        <v>3</v>
      </c>
      <c r="E36" t="str">
        <f>Data!E36</f>
        <v>INDL</v>
      </c>
      <c r="F36" t="str">
        <f>Data!F36</f>
        <v>C</v>
      </c>
      <c r="G36" t="str">
        <f>Data!G36</f>
        <v>D</v>
      </c>
      <c r="H36" t="str">
        <f>Data!H36</f>
        <v>STD</v>
      </c>
      <c r="I36" t="str">
        <f>Data!I36</f>
        <v>KODK</v>
      </c>
      <c r="J36" t="str">
        <f>Data!J36</f>
        <v>USD</v>
      </c>
      <c r="K36" t="str">
        <f>Data!K36</f>
        <v>2023Q3</v>
      </c>
      <c r="L36" t="str">
        <f>Data!L36</f>
        <v>2023Q3</v>
      </c>
      <c r="M36">
        <f>Data!M36</f>
        <v>269</v>
      </c>
      <c r="N36" t="s">
        <v>3</v>
      </c>
      <c r="O36">
        <f t="shared" si="0"/>
        <v>1</v>
      </c>
      <c r="P36">
        <f t="shared" si="1"/>
        <v>295</v>
      </c>
    </row>
    <row r="37" spans="1:16" x14ac:dyDescent="0.25">
      <c r="A37" t="str">
        <f>Data!A37</f>
        <v>004194</v>
      </c>
      <c r="B37">
        <f>Data!B37</f>
        <v>45291</v>
      </c>
      <c r="C37">
        <f>Data!C37</f>
        <v>2023</v>
      </c>
      <c r="D37">
        <f>Data!D37</f>
        <v>4</v>
      </c>
      <c r="E37" t="str">
        <f>Data!E37</f>
        <v>INDL</v>
      </c>
      <c r="F37" t="str">
        <f>Data!F37</f>
        <v>C</v>
      </c>
      <c r="G37" t="str">
        <f>Data!G37</f>
        <v>D</v>
      </c>
      <c r="H37" t="str">
        <f>Data!H37</f>
        <v>STD</v>
      </c>
      <c r="I37" t="str">
        <f>Data!I37</f>
        <v>KODK</v>
      </c>
      <c r="J37" t="str">
        <f>Data!J37</f>
        <v>USD</v>
      </c>
      <c r="K37" t="str">
        <f>Data!K37</f>
        <v>2023Q4</v>
      </c>
      <c r="L37" t="str">
        <f>Data!L37</f>
        <v>2023Q4</v>
      </c>
      <c r="M37">
        <f>Data!M37</f>
        <v>275</v>
      </c>
      <c r="N37" t="s">
        <v>3</v>
      </c>
      <c r="O37">
        <f t="shared" si="0"/>
        <v>1</v>
      </c>
      <c r="P37">
        <f t="shared" si="1"/>
        <v>269</v>
      </c>
    </row>
    <row r="38" spans="1:16" x14ac:dyDescent="0.25">
      <c r="A38" t="str">
        <f>Data!A38</f>
        <v>004194</v>
      </c>
      <c r="B38">
        <f>Data!B38</f>
        <v>45382</v>
      </c>
      <c r="C38">
        <f>Data!C38</f>
        <v>2024</v>
      </c>
      <c r="D38">
        <f>Data!D38</f>
        <v>1</v>
      </c>
      <c r="E38" t="str">
        <f>Data!E38</f>
        <v>INDL</v>
      </c>
      <c r="F38" t="str">
        <f>Data!F38</f>
        <v>C</v>
      </c>
      <c r="G38" t="str">
        <f>Data!G38</f>
        <v>D</v>
      </c>
      <c r="H38" t="str">
        <f>Data!H38</f>
        <v>STD</v>
      </c>
      <c r="I38" t="str">
        <f>Data!I38</f>
        <v>KODK</v>
      </c>
      <c r="J38" t="str">
        <f>Data!J38</f>
        <v>USD</v>
      </c>
      <c r="K38" t="str">
        <f>Data!K38</f>
        <v>2024Q1</v>
      </c>
      <c r="L38" t="str">
        <f>Data!L38</f>
        <v>2024Q1</v>
      </c>
      <c r="M38">
        <f>Data!M38</f>
        <v>249</v>
      </c>
      <c r="N38" t="s">
        <v>3</v>
      </c>
      <c r="O38">
        <f t="shared" si="0"/>
        <v>0</v>
      </c>
      <c r="P38">
        <f t="shared" si="1"/>
        <v>275</v>
      </c>
    </row>
    <row r="39" spans="1:16" x14ac:dyDescent="0.25">
      <c r="A39" t="str">
        <f>Data!A39</f>
        <v>004194</v>
      </c>
      <c r="B39">
        <f>Data!B39</f>
        <v>45473</v>
      </c>
      <c r="C39">
        <f>Data!C39</f>
        <v>2024</v>
      </c>
      <c r="D39">
        <f>Data!D39</f>
        <v>2</v>
      </c>
      <c r="E39" t="str">
        <f>Data!E39</f>
        <v>INDL</v>
      </c>
      <c r="F39" t="str">
        <f>Data!F39</f>
        <v>C</v>
      </c>
      <c r="G39" t="str">
        <f>Data!G39</f>
        <v>D</v>
      </c>
      <c r="H39" t="str">
        <f>Data!H39</f>
        <v>STD</v>
      </c>
      <c r="I39" t="str">
        <f>Data!I39</f>
        <v>KODK</v>
      </c>
      <c r="J39" t="str">
        <f>Data!J39</f>
        <v>USD</v>
      </c>
      <c r="K39" t="str">
        <f>Data!K39</f>
        <v>2024Q2</v>
      </c>
      <c r="L39" t="str">
        <f>Data!L39</f>
        <v>2024Q2</v>
      </c>
      <c r="M39">
        <f>Data!M39</f>
        <v>267</v>
      </c>
      <c r="N39" t="s">
        <v>3</v>
      </c>
      <c r="O39">
        <f t="shared" si="0"/>
        <v>1</v>
      </c>
      <c r="P39">
        <f t="shared" si="1"/>
        <v>249</v>
      </c>
    </row>
    <row r="40" spans="1:16" x14ac:dyDescent="0.25">
      <c r="A40" t="str">
        <f>Data!A40</f>
        <v>004194</v>
      </c>
      <c r="B40">
        <f>Data!B40</f>
        <v>45565</v>
      </c>
      <c r="C40">
        <f>Data!C40</f>
        <v>2024</v>
      </c>
      <c r="D40">
        <f>Data!D40</f>
        <v>3</v>
      </c>
      <c r="E40" t="str">
        <f>Data!E40</f>
        <v>INDL</v>
      </c>
      <c r="F40" t="str">
        <f>Data!F40</f>
        <v>C</v>
      </c>
      <c r="G40" t="str">
        <f>Data!G40</f>
        <v>D</v>
      </c>
      <c r="H40" t="str">
        <f>Data!H40</f>
        <v>STD</v>
      </c>
      <c r="I40" t="str">
        <f>Data!I40</f>
        <v>KODK</v>
      </c>
      <c r="J40" t="str">
        <f>Data!J40</f>
        <v>USD</v>
      </c>
      <c r="K40" t="str">
        <f>Data!K40</f>
        <v>2024Q3</v>
      </c>
      <c r="L40" t="str">
        <f>Data!L40</f>
        <v>2024Q3</v>
      </c>
      <c r="M40">
        <f>Data!M40</f>
        <v>261</v>
      </c>
      <c r="N40" t="s">
        <v>3</v>
      </c>
      <c r="O40">
        <f t="shared" si="0"/>
        <v>1</v>
      </c>
      <c r="P40">
        <f t="shared" si="1"/>
        <v>267</v>
      </c>
    </row>
    <row r="41" spans="1:16" x14ac:dyDescent="0.25">
      <c r="A41" t="str">
        <f>Data!A41</f>
        <v>004194</v>
      </c>
      <c r="B41">
        <f>Data!B41</f>
        <v>45657</v>
      </c>
      <c r="C41">
        <f>Data!C41</f>
        <v>2024</v>
      </c>
      <c r="D41">
        <f>Data!D41</f>
        <v>4</v>
      </c>
      <c r="E41" t="str">
        <f>Data!E41</f>
        <v>INDL</v>
      </c>
      <c r="F41" t="str">
        <f>Data!F41</f>
        <v>C</v>
      </c>
      <c r="G41" t="str">
        <f>Data!G41</f>
        <v>D</v>
      </c>
      <c r="H41" t="str">
        <f>Data!H41</f>
        <v>STD</v>
      </c>
      <c r="I41" t="str">
        <f>Data!I41</f>
        <v>KODK</v>
      </c>
      <c r="J41" t="str">
        <f>Data!J41</f>
        <v>USD</v>
      </c>
      <c r="K41" t="str">
        <f>Data!K41</f>
        <v>2024Q4</v>
      </c>
      <c r="L41" t="str">
        <f>Data!L41</f>
        <v>2024Q4</v>
      </c>
      <c r="M41">
        <f>Data!M41</f>
        <v>266</v>
      </c>
      <c r="N41" t="s">
        <v>3</v>
      </c>
      <c r="O41">
        <f t="shared" si="0"/>
        <v>1</v>
      </c>
      <c r="P41">
        <f t="shared" si="1"/>
        <v>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26402-6A98-4AB0-B4AD-E92162BAF57C}">
  <dimension ref="C5:D16"/>
  <sheetViews>
    <sheetView workbookViewId="0">
      <selection activeCell="C6" sqref="C6:D16"/>
    </sheetView>
  </sheetViews>
  <sheetFormatPr defaultColWidth="24.140625" defaultRowHeight="15" x14ac:dyDescent="0.25"/>
  <sheetData>
    <row r="5" spans="3:4" ht="15.75" thickBot="1" x14ac:dyDescent="0.3"/>
    <row r="6" spans="3:4" ht="15.75" thickBot="1" x14ac:dyDescent="0.3">
      <c r="C6" s="13" t="s">
        <v>920</v>
      </c>
      <c r="D6" s="27" t="s">
        <v>921</v>
      </c>
    </row>
    <row r="7" spans="3:4" ht="15.75" thickTop="1" x14ac:dyDescent="0.25">
      <c r="C7" s="28" t="s">
        <v>922</v>
      </c>
      <c r="D7" s="10">
        <v>0.83030000000000004</v>
      </c>
    </row>
    <row r="8" spans="3:4" x14ac:dyDescent="0.25">
      <c r="C8" s="14" t="s">
        <v>923</v>
      </c>
      <c r="D8" s="10">
        <v>36.548699999999997</v>
      </c>
    </row>
    <row r="9" spans="3:4" x14ac:dyDescent="0.25">
      <c r="C9" s="14" t="s">
        <v>924</v>
      </c>
      <c r="D9" s="10">
        <v>8.3099999999999993E-2</v>
      </c>
    </row>
    <row r="10" spans="3:4" x14ac:dyDescent="0.25">
      <c r="C10" s="14" t="s">
        <v>925</v>
      </c>
      <c r="D10" s="10">
        <v>11.773300000000001</v>
      </c>
    </row>
    <row r="11" spans="3:4" x14ac:dyDescent="0.25">
      <c r="C11" s="14" t="s">
        <v>926</v>
      </c>
      <c r="D11" s="10">
        <v>0.74380000000000002</v>
      </c>
    </row>
    <row r="12" spans="3:4" x14ac:dyDescent="0.25">
      <c r="C12" s="14" t="s">
        <v>927</v>
      </c>
      <c r="D12" s="10">
        <v>30.842700000000001</v>
      </c>
    </row>
    <row r="13" spans="3:4" x14ac:dyDescent="0.25">
      <c r="C13" s="14" t="s">
        <v>928</v>
      </c>
      <c r="D13" s="10">
        <v>52.2483</v>
      </c>
    </row>
    <row r="14" spans="3:4" x14ac:dyDescent="0.25">
      <c r="C14" s="14" t="s">
        <v>929</v>
      </c>
      <c r="D14" s="10">
        <v>36</v>
      </c>
    </row>
    <row r="15" spans="3:4" x14ac:dyDescent="0.25">
      <c r="C15" s="14" t="s">
        <v>930</v>
      </c>
      <c r="D15" s="11">
        <v>99404.6</v>
      </c>
    </row>
    <row r="16" spans="3:4" ht="15.75" thickBot="1" x14ac:dyDescent="0.3">
      <c r="C16" s="15" t="s">
        <v>931</v>
      </c>
      <c r="D16" s="12">
        <v>34245.760000000002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DCB7-389F-48AA-BCA9-D025BF2D90D2}">
  <dimension ref="A1:E392"/>
  <sheetViews>
    <sheetView workbookViewId="0">
      <selection activeCell="B2" sqref="B2"/>
    </sheetView>
  </sheetViews>
  <sheetFormatPr defaultRowHeight="15" x14ac:dyDescent="0.25"/>
  <cols>
    <col min="1" max="1" width="69.5703125" bestFit="1" customWidth="1"/>
    <col min="2" max="2" width="10.42578125" bestFit="1" customWidth="1"/>
  </cols>
  <sheetData>
    <row r="1" spans="1:2" x14ac:dyDescent="0.25">
      <c r="A1" t="s">
        <v>88</v>
      </c>
      <c r="B1" t="s">
        <v>101</v>
      </c>
    </row>
    <row r="2" spans="1:2" x14ac:dyDescent="0.25">
      <c r="A2" t="s">
        <v>89</v>
      </c>
      <c r="B2" s="2">
        <v>45657</v>
      </c>
    </row>
    <row r="3" spans="1:2" x14ac:dyDescent="0.25">
      <c r="A3" t="s">
        <v>148</v>
      </c>
      <c r="B3">
        <v>2024</v>
      </c>
    </row>
    <row r="4" spans="1:2" x14ac:dyDescent="0.25">
      <c r="A4" t="s">
        <v>92</v>
      </c>
      <c r="B4" t="s">
        <v>102</v>
      </c>
    </row>
    <row r="5" spans="1:2" x14ac:dyDescent="0.25">
      <c r="A5" t="s">
        <v>149</v>
      </c>
      <c r="B5" t="s">
        <v>103</v>
      </c>
    </row>
    <row r="6" spans="1:2" x14ac:dyDescent="0.25">
      <c r="A6" t="s">
        <v>94</v>
      </c>
      <c r="B6" t="s">
        <v>104</v>
      </c>
    </row>
    <row r="7" spans="1:2" x14ac:dyDescent="0.25">
      <c r="A7" t="s">
        <v>95</v>
      </c>
      <c r="B7" t="s">
        <v>105</v>
      </c>
    </row>
    <row r="8" spans="1:2" x14ac:dyDescent="0.25">
      <c r="A8" t="s">
        <v>96</v>
      </c>
      <c r="B8" t="s">
        <v>106</v>
      </c>
    </row>
    <row r="9" spans="1:2" x14ac:dyDescent="0.25">
      <c r="A9" t="s">
        <v>97</v>
      </c>
      <c r="B9" t="s">
        <v>107</v>
      </c>
    </row>
    <row r="10" spans="1:2" x14ac:dyDescent="0.25">
      <c r="A10" t="s">
        <v>150</v>
      </c>
    </row>
    <row r="11" spans="1:2" x14ac:dyDescent="0.25">
      <c r="A11" t="s">
        <v>151</v>
      </c>
      <c r="B11">
        <v>0</v>
      </c>
    </row>
    <row r="12" spans="1:2" x14ac:dyDescent="0.25">
      <c r="A12" t="s">
        <v>152</v>
      </c>
      <c r="B12">
        <v>22</v>
      </c>
    </row>
    <row r="13" spans="1:2" x14ac:dyDescent="0.25">
      <c r="A13" t="s">
        <v>153</v>
      </c>
      <c r="B13">
        <v>22</v>
      </c>
    </row>
    <row r="14" spans="1:2" x14ac:dyDescent="0.25">
      <c r="A14" t="s">
        <v>154</v>
      </c>
      <c r="B14">
        <v>-104</v>
      </c>
    </row>
    <row r="15" spans="1:2" x14ac:dyDescent="0.25">
      <c r="A15" t="s">
        <v>155</v>
      </c>
      <c r="B15">
        <v>22</v>
      </c>
    </row>
    <row r="16" spans="1:2" x14ac:dyDescent="0.25">
      <c r="A16" t="s">
        <v>156</v>
      </c>
    </row>
    <row r="17" spans="1:5" x14ac:dyDescent="0.25">
      <c r="A17" t="s">
        <v>157</v>
      </c>
      <c r="B17">
        <v>595</v>
      </c>
    </row>
    <row r="18" spans="1:5" x14ac:dyDescent="0.25">
      <c r="A18" t="s">
        <v>158</v>
      </c>
    </row>
    <row r="19" spans="1:5" x14ac:dyDescent="0.25">
      <c r="A19" t="s">
        <v>159</v>
      </c>
      <c r="B19">
        <v>0</v>
      </c>
      <c r="E19" t="s">
        <v>919</v>
      </c>
    </row>
    <row r="20" spans="1:5" x14ac:dyDescent="0.25">
      <c r="A20" t="s">
        <v>160</v>
      </c>
      <c r="B20">
        <v>1158</v>
      </c>
    </row>
    <row r="21" spans="1:5" x14ac:dyDescent="0.25">
      <c r="A21" t="s">
        <v>161</v>
      </c>
      <c r="B21">
        <v>0</v>
      </c>
    </row>
    <row r="22" spans="1:5" x14ac:dyDescent="0.25">
      <c r="A22" t="s">
        <v>162</v>
      </c>
      <c r="B22">
        <v>0</v>
      </c>
    </row>
    <row r="23" spans="1:5" x14ac:dyDescent="0.25">
      <c r="A23" t="s">
        <v>163</v>
      </c>
      <c r="B23">
        <v>32</v>
      </c>
    </row>
    <row r="24" spans="1:5" x14ac:dyDescent="0.25">
      <c r="A24" t="s">
        <v>164</v>
      </c>
      <c r="B24">
        <v>0</v>
      </c>
    </row>
    <row r="25" spans="1:5" x14ac:dyDescent="0.25">
      <c r="A25" t="s">
        <v>165</v>
      </c>
      <c r="B25">
        <v>1158</v>
      </c>
    </row>
    <row r="26" spans="1:5" x14ac:dyDescent="0.25">
      <c r="A26" t="s">
        <v>166</v>
      </c>
      <c r="B26">
        <v>1158</v>
      </c>
    </row>
    <row r="27" spans="1:5" x14ac:dyDescent="0.25">
      <c r="A27" t="s">
        <v>167</v>
      </c>
      <c r="B27">
        <v>120</v>
      </c>
    </row>
    <row r="28" spans="1:5" x14ac:dyDescent="0.25">
      <c r="A28" t="s">
        <v>168</v>
      </c>
    </row>
    <row r="29" spans="1:5" x14ac:dyDescent="0.25">
      <c r="A29" t="s">
        <v>169</v>
      </c>
    </row>
    <row r="30" spans="1:5" x14ac:dyDescent="0.25">
      <c r="A30" t="s">
        <v>170</v>
      </c>
    </row>
    <row r="31" spans="1:5" x14ac:dyDescent="0.25">
      <c r="A31" t="s">
        <v>171</v>
      </c>
    </row>
    <row r="32" spans="1:5" x14ac:dyDescent="0.25">
      <c r="A32" t="s">
        <v>172</v>
      </c>
    </row>
    <row r="33" spans="1:2" x14ac:dyDescent="0.25">
      <c r="A33" t="s">
        <v>173</v>
      </c>
    </row>
    <row r="34" spans="1:2" x14ac:dyDescent="0.25">
      <c r="A34" t="s">
        <v>174</v>
      </c>
      <c r="B34">
        <v>2001</v>
      </c>
    </row>
    <row r="35" spans="1:2" x14ac:dyDescent="0.25">
      <c r="A35" t="s">
        <v>175</v>
      </c>
    </row>
    <row r="36" spans="1:2" x14ac:dyDescent="0.25">
      <c r="A36" t="s">
        <v>176</v>
      </c>
      <c r="B36">
        <v>7.9626999999999999</v>
      </c>
    </row>
    <row r="37" spans="1:2" x14ac:dyDescent="0.25">
      <c r="A37" t="s">
        <v>177</v>
      </c>
    </row>
    <row r="38" spans="1:2" x14ac:dyDescent="0.25">
      <c r="A38" t="s">
        <v>178</v>
      </c>
      <c r="B38">
        <v>1150</v>
      </c>
    </row>
    <row r="39" spans="1:2" x14ac:dyDescent="0.25">
      <c r="A39" t="s">
        <v>179</v>
      </c>
    </row>
    <row r="40" spans="1:2" x14ac:dyDescent="0.25">
      <c r="A40" t="s">
        <v>180</v>
      </c>
      <c r="B40">
        <v>641</v>
      </c>
    </row>
    <row r="41" spans="1:2" x14ac:dyDescent="0.25">
      <c r="A41" t="s">
        <v>181</v>
      </c>
      <c r="B41">
        <v>641</v>
      </c>
    </row>
    <row r="42" spans="1:2" x14ac:dyDescent="0.25">
      <c r="A42" t="s">
        <v>182</v>
      </c>
      <c r="B42">
        <v>609</v>
      </c>
    </row>
    <row r="43" spans="1:2" x14ac:dyDescent="0.25">
      <c r="A43" t="s">
        <v>183</v>
      </c>
      <c r="B43">
        <v>201</v>
      </c>
    </row>
    <row r="44" spans="1:2" x14ac:dyDescent="0.25">
      <c r="A44" t="s">
        <v>184</v>
      </c>
      <c r="B44">
        <v>209</v>
      </c>
    </row>
    <row r="45" spans="1:2" x14ac:dyDescent="0.25">
      <c r="A45" t="s">
        <v>185</v>
      </c>
    </row>
    <row r="46" spans="1:2" x14ac:dyDescent="0.25">
      <c r="A46" t="s">
        <v>186</v>
      </c>
      <c r="B46">
        <v>1</v>
      </c>
    </row>
    <row r="47" spans="1:2" x14ac:dyDescent="0.25">
      <c r="A47" t="s">
        <v>187</v>
      </c>
      <c r="B47">
        <v>0</v>
      </c>
    </row>
    <row r="48" spans="1:2" x14ac:dyDescent="0.25">
      <c r="A48" t="s">
        <v>188</v>
      </c>
      <c r="B48">
        <v>0</v>
      </c>
    </row>
    <row r="49" spans="1:2" x14ac:dyDescent="0.25">
      <c r="A49" t="s">
        <v>189</v>
      </c>
      <c r="B49">
        <v>0</v>
      </c>
    </row>
    <row r="50" spans="1:2" x14ac:dyDescent="0.25">
      <c r="A50" t="s">
        <v>190</v>
      </c>
    </row>
    <row r="51" spans="1:2" x14ac:dyDescent="0.25">
      <c r="A51" t="s">
        <v>191</v>
      </c>
    </row>
    <row r="52" spans="1:2" x14ac:dyDescent="0.25">
      <c r="A52" t="s">
        <v>192</v>
      </c>
    </row>
    <row r="53" spans="1:2" x14ac:dyDescent="0.25">
      <c r="A53" t="s">
        <v>193</v>
      </c>
    </row>
    <row r="54" spans="1:2" x14ac:dyDescent="0.25">
      <c r="A54" t="s">
        <v>194</v>
      </c>
    </row>
    <row r="55" spans="1:2" x14ac:dyDescent="0.25">
      <c r="A55" t="s">
        <v>195</v>
      </c>
    </row>
    <row r="56" spans="1:2" x14ac:dyDescent="0.25">
      <c r="A56" t="s">
        <v>196</v>
      </c>
    </row>
    <row r="57" spans="1:2" x14ac:dyDescent="0.25">
      <c r="A57" t="s">
        <v>197</v>
      </c>
    </row>
    <row r="58" spans="1:2" x14ac:dyDescent="0.25">
      <c r="A58" t="s">
        <v>198</v>
      </c>
    </row>
    <row r="59" spans="1:2" x14ac:dyDescent="0.25">
      <c r="A59" t="s">
        <v>199</v>
      </c>
    </row>
    <row r="60" spans="1:2" x14ac:dyDescent="0.25">
      <c r="A60" t="s">
        <v>200</v>
      </c>
    </row>
    <row r="61" spans="1:2" x14ac:dyDescent="0.25">
      <c r="A61" t="s">
        <v>201</v>
      </c>
    </row>
    <row r="62" spans="1:2" x14ac:dyDescent="0.25">
      <c r="A62" t="s">
        <v>202</v>
      </c>
      <c r="B62">
        <v>0</v>
      </c>
    </row>
    <row r="63" spans="1:2" x14ac:dyDescent="0.25">
      <c r="A63" t="s">
        <v>203</v>
      </c>
      <c r="B63">
        <v>0.01</v>
      </c>
    </row>
    <row r="64" spans="1:2" x14ac:dyDescent="0.25">
      <c r="A64" t="s">
        <v>204</v>
      </c>
      <c r="B64">
        <v>0</v>
      </c>
    </row>
    <row r="65" spans="1:2" x14ac:dyDescent="0.25">
      <c r="A65" t="s">
        <v>205</v>
      </c>
      <c r="B65">
        <v>1</v>
      </c>
    </row>
    <row r="66" spans="1:2" x14ac:dyDescent="0.25">
      <c r="A66" t="s">
        <v>206</v>
      </c>
      <c r="B66">
        <v>0</v>
      </c>
    </row>
    <row r="67" spans="1:2" x14ac:dyDescent="0.25">
      <c r="A67" t="s">
        <v>207</v>
      </c>
      <c r="B67">
        <v>218</v>
      </c>
    </row>
    <row r="68" spans="1:2" x14ac:dyDescent="0.25">
      <c r="A68" t="s">
        <v>208</v>
      </c>
    </row>
    <row r="69" spans="1:2" x14ac:dyDescent="0.25">
      <c r="A69" t="s">
        <v>209</v>
      </c>
      <c r="B69">
        <v>0</v>
      </c>
    </row>
    <row r="70" spans="1:2" x14ac:dyDescent="0.25">
      <c r="A70" t="s">
        <v>210</v>
      </c>
      <c r="B70">
        <v>0</v>
      </c>
    </row>
    <row r="71" spans="1:2" x14ac:dyDescent="0.25">
      <c r="A71" t="s">
        <v>211</v>
      </c>
      <c r="B71">
        <v>0</v>
      </c>
    </row>
    <row r="72" spans="1:2" x14ac:dyDescent="0.25">
      <c r="A72" t="s">
        <v>212</v>
      </c>
      <c r="B72">
        <v>0</v>
      </c>
    </row>
    <row r="73" spans="1:2" x14ac:dyDescent="0.25">
      <c r="A73" t="s">
        <v>213</v>
      </c>
      <c r="B73">
        <v>12</v>
      </c>
    </row>
    <row r="74" spans="1:2" x14ac:dyDescent="0.25">
      <c r="A74" t="s">
        <v>214</v>
      </c>
      <c r="B74">
        <v>1</v>
      </c>
    </row>
    <row r="75" spans="1:2" x14ac:dyDescent="0.25">
      <c r="A75" t="s">
        <v>215</v>
      </c>
      <c r="B75">
        <v>2</v>
      </c>
    </row>
    <row r="76" spans="1:2" x14ac:dyDescent="0.25">
      <c r="A76" t="s">
        <v>216</v>
      </c>
      <c r="B76">
        <v>561</v>
      </c>
    </row>
    <row r="77" spans="1:2" x14ac:dyDescent="0.25">
      <c r="A77" t="s">
        <v>217</v>
      </c>
      <c r="B77">
        <v>1</v>
      </c>
    </row>
    <row r="78" spans="1:2" x14ac:dyDescent="0.25">
      <c r="A78" t="s">
        <v>218</v>
      </c>
    </row>
    <row r="79" spans="1:2" x14ac:dyDescent="0.25">
      <c r="A79" t="s">
        <v>219</v>
      </c>
    </row>
    <row r="80" spans="1:2" x14ac:dyDescent="0.25">
      <c r="A80" t="s">
        <v>220</v>
      </c>
      <c r="B80">
        <v>12</v>
      </c>
    </row>
    <row r="81" spans="1:2" x14ac:dyDescent="0.25">
      <c r="A81" t="s">
        <v>221</v>
      </c>
      <c r="B81">
        <v>486</v>
      </c>
    </row>
    <row r="82" spans="1:2" x14ac:dyDescent="0.25">
      <c r="A82" t="s">
        <v>222</v>
      </c>
      <c r="B82">
        <v>0</v>
      </c>
    </row>
    <row r="83" spans="1:2" x14ac:dyDescent="0.25">
      <c r="A83" t="s">
        <v>223</v>
      </c>
    </row>
    <row r="84" spans="1:2" x14ac:dyDescent="0.25">
      <c r="A84" t="s">
        <v>224</v>
      </c>
      <c r="B84">
        <v>487</v>
      </c>
    </row>
    <row r="85" spans="1:2" x14ac:dyDescent="0.25">
      <c r="A85" t="s">
        <v>225</v>
      </c>
      <c r="B85">
        <v>456</v>
      </c>
    </row>
    <row r="86" spans="1:2" x14ac:dyDescent="0.25">
      <c r="A86" t="s">
        <v>226</v>
      </c>
      <c r="B86">
        <v>0</v>
      </c>
    </row>
    <row r="87" spans="1:2" x14ac:dyDescent="0.25">
      <c r="A87" t="s">
        <v>227</v>
      </c>
    </row>
    <row r="88" spans="1:2" x14ac:dyDescent="0.25">
      <c r="A88" t="s">
        <v>228</v>
      </c>
    </row>
    <row r="89" spans="1:2" x14ac:dyDescent="0.25">
      <c r="A89" t="s">
        <v>229</v>
      </c>
    </row>
    <row r="90" spans="1:2" x14ac:dyDescent="0.25">
      <c r="A90" t="s">
        <v>230</v>
      </c>
    </row>
    <row r="91" spans="1:2" x14ac:dyDescent="0.25">
      <c r="A91" t="s">
        <v>231</v>
      </c>
    </row>
    <row r="92" spans="1:2" x14ac:dyDescent="0.25">
      <c r="A92" t="s">
        <v>232</v>
      </c>
    </row>
    <row r="93" spans="1:2" x14ac:dyDescent="0.25">
      <c r="A93" t="s">
        <v>233</v>
      </c>
    </row>
    <row r="94" spans="1:2" x14ac:dyDescent="0.25">
      <c r="A94" t="s">
        <v>234</v>
      </c>
    </row>
    <row r="95" spans="1:2" x14ac:dyDescent="0.25">
      <c r="A95" t="s">
        <v>235</v>
      </c>
      <c r="B95">
        <v>482</v>
      </c>
    </row>
    <row r="96" spans="1:2" x14ac:dyDescent="0.25">
      <c r="A96" t="s">
        <v>236</v>
      </c>
    </row>
    <row r="97" spans="1:2" x14ac:dyDescent="0.25">
      <c r="A97" t="s">
        <v>237</v>
      </c>
    </row>
    <row r="98" spans="1:2" x14ac:dyDescent="0.25">
      <c r="A98" t="s">
        <v>238</v>
      </c>
    </row>
    <row r="99" spans="1:2" x14ac:dyDescent="0.25">
      <c r="A99" t="s">
        <v>239</v>
      </c>
    </row>
    <row r="100" spans="1:2" x14ac:dyDescent="0.25">
      <c r="A100" t="s">
        <v>240</v>
      </c>
    </row>
    <row r="101" spans="1:2" x14ac:dyDescent="0.25">
      <c r="A101" t="s">
        <v>241</v>
      </c>
    </row>
    <row r="102" spans="1:2" x14ac:dyDescent="0.25">
      <c r="A102" t="s">
        <v>242</v>
      </c>
    </row>
    <row r="103" spans="1:2" x14ac:dyDescent="0.25">
      <c r="A103" t="s">
        <v>243</v>
      </c>
      <c r="B103">
        <v>482</v>
      </c>
    </row>
    <row r="104" spans="1:2" x14ac:dyDescent="0.25">
      <c r="A104" t="s">
        <v>244</v>
      </c>
    </row>
    <row r="105" spans="1:2" x14ac:dyDescent="0.25">
      <c r="A105" t="s">
        <v>245</v>
      </c>
    </row>
    <row r="106" spans="1:2" x14ac:dyDescent="0.25">
      <c r="A106" t="s">
        <v>246</v>
      </c>
      <c r="B106">
        <v>47</v>
      </c>
    </row>
    <row r="107" spans="1:2" x14ac:dyDescent="0.25">
      <c r="A107" t="s">
        <v>247</v>
      </c>
    </row>
    <row r="108" spans="1:2" x14ac:dyDescent="0.25">
      <c r="A108" t="s">
        <v>248</v>
      </c>
      <c r="B108">
        <v>57</v>
      </c>
    </row>
    <row r="109" spans="1:2" x14ac:dyDescent="0.25">
      <c r="A109" t="s">
        <v>249</v>
      </c>
      <c r="B109">
        <v>0</v>
      </c>
    </row>
    <row r="110" spans="1:2" x14ac:dyDescent="0.25">
      <c r="A110" t="s">
        <v>250</v>
      </c>
      <c r="B110">
        <v>0</v>
      </c>
    </row>
    <row r="111" spans="1:2" x14ac:dyDescent="0.25">
      <c r="A111" t="s">
        <v>251</v>
      </c>
      <c r="B111">
        <v>0</v>
      </c>
    </row>
    <row r="112" spans="1:2" x14ac:dyDescent="0.25">
      <c r="A112" t="s">
        <v>252</v>
      </c>
    </row>
    <row r="113" spans="1:2" x14ac:dyDescent="0.25">
      <c r="A113" t="s">
        <v>253</v>
      </c>
      <c r="B113">
        <v>0</v>
      </c>
    </row>
    <row r="114" spans="1:2" x14ac:dyDescent="0.25">
      <c r="A114" t="s">
        <v>254</v>
      </c>
      <c r="B114">
        <v>2</v>
      </c>
    </row>
    <row r="115" spans="1:2" x14ac:dyDescent="0.25">
      <c r="A115" t="s">
        <v>255</v>
      </c>
      <c r="B115">
        <v>561</v>
      </c>
    </row>
    <row r="116" spans="1:2" x14ac:dyDescent="0.25">
      <c r="A116" t="s">
        <v>256</v>
      </c>
      <c r="B116">
        <v>1</v>
      </c>
    </row>
    <row r="117" spans="1:2" x14ac:dyDescent="0.25">
      <c r="A117" t="s">
        <v>257</v>
      </c>
    </row>
    <row r="118" spans="1:2" x14ac:dyDescent="0.25">
      <c r="A118" t="s">
        <v>258</v>
      </c>
      <c r="B118">
        <v>0</v>
      </c>
    </row>
    <row r="119" spans="1:2" x14ac:dyDescent="0.25">
      <c r="A119" t="s">
        <v>259</v>
      </c>
    </row>
    <row r="120" spans="1:2" x14ac:dyDescent="0.25">
      <c r="A120" t="s">
        <v>260</v>
      </c>
      <c r="B120">
        <v>0</v>
      </c>
    </row>
    <row r="121" spans="1:2" x14ac:dyDescent="0.25">
      <c r="A121" t="s">
        <v>261</v>
      </c>
      <c r="B121">
        <v>0</v>
      </c>
    </row>
    <row r="122" spans="1:2" x14ac:dyDescent="0.25">
      <c r="A122" t="s">
        <v>262</v>
      </c>
      <c r="B122">
        <v>0</v>
      </c>
    </row>
    <row r="123" spans="1:2" x14ac:dyDescent="0.25">
      <c r="A123" t="s">
        <v>263</v>
      </c>
    </row>
    <row r="124" spans="1:2" x14ac:dyDescent="0.25">
      <c r="A124" t="s">
        <v>264</v>
      </c>
      <c r="B124">
        <v>137</v>
      </c>
    </row>
    <row r="125" spans="1:2" x14ac:dyDescent="0.25">
      <c r="A125" t="s">
        <v>265</v>
      </c>
      <c r="B125">
        <v>55</v>
      </c>
    </row>
    <row r="126" spans="1:2" x14ac:dyDescent="0.25">
      <c r="A126" t="s">
        <v>266</v>
      </c>
      <c r="B126">
        <v>434</v>
      </c>
    </row>
    <row r="127" spans="1:2" x14ac:dyDescent="0.25">
      <c r="A127" t="s">
        <v>267</v>
      </c>
      <c r="B127">
        <v>27</v>
      </c>
    </row>
    <row r="128" spans="1:2" x14ac:dyDescent="0.25">
      <c r="A128" t="s">
        <v>268</v>
      </c>
      <c r="B128">
        <v>0</v>
      </c>
    </row>
    <row r="129" spans="1:2" x14ac:dyDescent="0.25">
      <c r="A129" t="s">
        <v>269</v>
      </c>
      <c r="B129">
        <v>0</v>
      </c>
    </row>
    <row r="130" spans="1:2" x14ac:dyDescent="0.25">
      <c r="A130" t="s">
        <v>270</v>
      </c>
      <c r="B130">
        <v>45</v>
      </c>
    </row>
    <row r="131" spans="1:2" x14ac:dyDescent="0.25">
      <c r="A131" t="s">
        <v>271</v>
      </c>
    </row>
    <row r="132" spans="1:2" x14ac:dyDescent="0.25">
      <c r="A132" t="s">
        <v>272</v>
      </c>
    </row>
    <row r="133" spans="1:2" x14ac:dyDescent="0.25">
      <c r="A133" t="s">
        <v>273</v>
      </c>
    </row>
    <row r="134" spans="1:2" x14ac:dyDescent="0.25">
      <c r="A134" t="s">
        <v>274</v>
      </c>
    </row>
    <row r="135" spans="1:2" x14ac:dyDescent="0.25">
      <c r="A135" t="s">
        <v>275</v>
      </c>
      <c r="B135">
        <v>12</v>
      </c>
    </row>
    <row r="136" spans="1:2" x14ac:dyDescent="0.25">
      <c r="A136" t="s">
        <v>276</v>
      </c>
    </row>
    <row r="137" spans="1:2" x14ac:dyDescent="0.25">
      <c r="A137" t="s">
        <v>277</v>
      </c>
    </row>
    <row r="138" spans="1:2" x14ac:dyDescent="0.25">
      <c r="A138" t="s">
        <v>278</v>
      </c>
    </row>
    <row r="139" spans="1:2" x14ac:dyDescent="0.25">
      <c r="A139" t="s">
        <v>279</v>
      </c>
    </row>
    <row r="140" spans="1:2" x14ac:dyDescent="0.25">
      <c r="A140" t="s">
        <v>280</v>
      </c>
    </row>
    <row r="141" spans="1:2" x14ac:dyDescent="0.25">
      <c r="A141" t="s">
        <v>281</v>
      </c>
    </row>
    <row r="142" spans="1:2" x14ac:dyDescent="0.25">
      <c r="A142" t="s">
        <v>282</v>
      </c>
    </row>
    <row r="143" spans="1:2" x14ac:dyDescent="0.25">
      <c r="A143" t="s">
        <v>283</v>
      </c>
    </row>
    <row r="144" spans="1:2" x14ac:dyDescent="0.25">
      <c r="A144" t="s">
        <v>284</v>
      </c>
    </row>
    <row r="145" spans="1:2" x14ac:dyDescent="0.25">
      <c r="A145" t="s">
        <v>285</v>
      </c>
    </row>
    <row r="146" spans="1:2" x14ac:dyDescent="0.25">
      <c r="A146" t="s">
        <v>286</v>
      </c>
    </row>
    <row r="147" spans="1:2" x14ac:dyDescent="0.25">
      <c r="A147" t="s">
        <v>287</v>
      </c>
    </row>
    <row r="148" spans="1:2" x14ac:dyDescent="0.25">
      <c r="A148" t="s">
        <v>288</v>
      </c>
    </row>
    <row r="149" spans="1:2" x14ac:dyDescent="0.25">
      <c r="A149" t="s">
        <v>289</v>
      </c>
    </row>
    <row r="150" spans="1:2" x14ac:dyDescent="0.25">
      <c r="A150" t="s">
        <v>290</v>
      </c>
    </row>
    <row r="151" spans="1:2" x14ac:dyDescent="0.25">
      <c r="A151" t="s">
        <v>291</v>
      </c>
    </row>
    <row r="152" spans="1:2" x14ac:dyDescent="0.25">
      <c r="A152" t="s">
        <v>292</v>
      </c>
    </row>
    <row r="153" spans="1:2" x14ac:dyDescent="0.25">
      <c r="A153" t="s">
        <v>293</v>
      </c>
    </row>
    <row r="154" spans="1:2" x14ac:dyDescent="0.25">
      <c r="A154" t="s">
        <v>294</v>
      </c>
    </row>
    <row r="155" spans="1:2" x14ac:dyDescent="0.25">
      <c r="A155" t="s">
        <v>295</v>
      </c>
    </row>
    <row r="156" spans="1:2" x14ac:dyDescent="0.25">
      <c r="A156" t="s">
        <v>296</v>
      </c>
    </row>
    <row r="157" spans="1:2" x14ac:dyDescent="0.25">
      <c r="A157" t="s">
        <v>297</v>
      </c>
    </row>
    <row r="158" spans="1:2" x14ac:dyDescent="0.25">
      <c r="A158" t="s">
        <v>298</v>
      </c>
    </row>
    <row r="159" spans="1:2" x14ac:dyDescent="0.25">
      <c r="A159" t="s">
        <v>299</v>
      </c>
      <c r="B159">
        <v>1346</v>
      </c>
    </row>
    <row r="160" spans="1:2" x14ac:dyDescent="0.25">
      <c r="A160" t="s">
        <v>300</v>
      </c>
      <c r="B160">
        <v>32</v>
      </c>
    </row>
    <row r="161" spans="1:2" x14ac:dyDescent="0.25">
      <c r="A161" t="s">
        <v>301</v>
      </c>
      <c r="B161">
        <v>20</v>
      </c>
    </row>
    <row r="162" spans="1:2" x14ac:dyDescent="0.25">
      <c r="A162" t="s">
        <v>302</v>
      </c>
      <c r="B162">
        <v>90</v>
      </c>
    </row>
    <row r="163" spans="1:2" x14ac:dyDescent="0.25">
      <c r="A163" t="s">
        <v>303</v>
      </c>
      <c r="B163">
        <v>0</v>
      </c>
    </row>
    <row r="164" spans="1:2" x14ac:dyDescent="0.25">
      <c r="A164" t="s">
        <v>304</v>
      </c>
    </row>
    <row r="165" spans="1:2" x14ac:dyDescent="0.25">
      <c r="A165" t="s">
        <v>305</v>
      </c>
    </row>
    <row r="166" spans="1:2" x14ac:dyDescent="0.25">
      <c r="A166" t="s">
        <v>306</v>
      </c>
    </row>
    <row r="167" spans="1:2" x14ac:dyDescent="0.25">
      <c r="A167" t="s">
        <v>307</v>
      </c>
    </row>
    <row r="168" spans="1:2" x14ac:dyDescent="0.25">
      <c r="A168" t="s">
        <v>308</v>
      </c>
      <c r="B168">
        <v>60</v>
      </c>
    </row>
    <row r="169" spans="1:2" x14ac:dyDescent="0.25">
      <c r="A169" t="s">
        <v>17</v>
      </c>
      <c r="B169">
        <v>219</v>
      </c>
    </row>
    <row r="170" spans="1:2" x14ac:dyDescent="0.25">
      <c r="A170" t="s">
        <v>309</v>
      </c>
      <c r="B170">
        <v>69</v>
      </c>
    </row>
    <row r="171" spans="1:2" x14ac:dyDescent="0.25">
      <c r="A171" t="s">
        <v>310</v>
      </c>
    </row>
    <row r="172" spans="1:2" x14ac:dyDescent="0.25">
      <c r="A172" t="s">
        <v>311</v>
      </c>
    </row>
    <row r="173" spans="1:2" x14ac:dyDescent="0.25">
      <c r="A173" t="s">
        <v>312</v>
      </c>
    </row>
    <row r="174" spans="1:2" x14ac:dyDescent="0.25">
      <c r="A174" t="s">
        <v>313</v>
      </c>
    </row>
    <row r="175" spans="1:2" x14ac:dyDescent="0.25">
      <c r="A175" t="s">
        <v>314</v>
      </c>
    </row>
    <row r="176" spans="1:2" x14ac:dyDescent="0.25">
      <c r="A176" t="s">
        <v>315</v>
      </c>
    </row>
    <row r="177" spans="1:1" x14ac:dyDescent="0.25">
      <c r="A177" t="s">
        <v>316</v>
      </c>
    </row>
    <row r="178" spans="1:1" x14ac:dyDescent="0.25">
      <c r="A178" t="s">
        <v>317</v>
      </c>
    </row>
    <row r="179" spans="1:1" x14ac:dyDescent="0.25">
      <c r="A179" t="s">
        <v>318</v>
      </c>
    </row>
    <row r="180" spans="1:1" x14ac:dyDescent="0.25">
      <c r="A180" t="s">
        <v>319</v>
      </c>
    </row>
    <row r="181" spans="1:1" x14ac:dyDescent="0.25">
      <c r="A181" t="s">
        <v>320</v>
      </c>
    </row>
    <row r="182" spans="1:1" x14ac:dyDescent="0.25">
      <c r="A182" t="s">
        <v>321</v>
      </c>
    </row>
    <row r="183" spans="1:1" x14ac:dyDescent="0.25">
      <c r="A183" t="s">
        <v>322</v>
      </c>
    </row>
    <row r="184" spans="1:1" x14ac:dyDescent="0.25">
      <c r="A184" t="s">
        <v>323</v>
      </c>
    </row>
    <row r="185" spans="1:1" x14ac:dyDescent="0.25">
      <c r="A185" t="s">
        <v>324</v>
      </c>
    </row>
    <row r="186" spans="1:1" x14ac:dyDescent="0.25">
      <c r="A186" t="s">
        <v>325</v>
      </c>
    </row>
    <row r="187" spans="1:1" x14ac:dyDescent="0.25">
      <c r="A187" t="s">
        <v>326</v>
      </c>
    </row>
    <row r="188" spans="1:1" x14ac:dyDescent="0.25">
      <c r="A188" t="s">
        <v>327</v>
      </c>
    </row>
    <row r="189" spans="1:1" x14ac:dyDescent="0.25">
      <c r="A189" t="s">
        <v>328</v>
      </c>
    </row>
    <row r="190" spans="1:1" x14ac:dyDescent="0.25">
      <c r="A190" t="s">
        <v>329</v>
      </c>
    </row>
    <row r="191" spans="1:1" x14ac:dyDescent="0.25">
      <c r="A191" t="s">
        <v>330</v>
      </c>
    </row>
    <row r="192" spans="1:1" x14ac:dyDescent="0.25">
      <c r="A192" t="s">
        <v>331</v>
      </c>
    </row>
    <row r="193" spans="1:2" x14ac:dyDescent="0.25">
      <c r="A193" t="s">
        <v>332</v>
      </c>
    </row>
    <row r="194" spans="1:2" x14ac:dyDescent="0.25">
      <c r="A194" t="s">
        <v>333</v>
      </c>
    </row>
    <row r="195" spans="1:2" x14ac:dyDescent="0.25">
      <c r="A195" t="s">
        <v>334</v>
      </c>
    </row>
    <row r="196" spans="1:2" x14ac:dyDescent="0.25">
      <c r="A196" t="s">
        <v>335</v>
      </c>
    </row>
    <row r="197" spans="1:2" x14ac:dyDescent="0.25">
      <c r="A197" t="s">
        <v>336</v>
      </c>
      <c r="B197">
        <v>0</v>
      </c>
    </row>
    <row r="198" spans="1:2" x14ac:dyDescent="0.25">
      <c r="A198" t="s">
        <v>337</v>
      </c>
      <c r="B198">
        <v>0</v>
      </c>
    </row>
    <row r="199" spans="1:2" x14ac:dyDescent="0.25">
      <c r="A199" t="s">
        <v>338</v>
      </c>
    </row>
    <row r="200" spans="1:2" x14ac:dyDescent="0.25">
      <c r="A200" t="s">
        <v>339</v>
      </c>
    </row>
    <row r="201" spans="1:2" x14ac:dyDescent="0.25">
      <c r="A201" t="s">
        <v>340</v>
      </c>
    </row>
    <row r="202" spans="1:2" x14ac:dyDescent="0.25">
      <c r="A202" t="s">
        <v>341</v>
      </c>
      <c r="B202">
        <v>8</v>
      </c>
    </row>
    <row r="203" spans="1:2" x14ac:dyDescent="0.25">
      <c r="A203" t="s">
        <v>342</v>
      </c>
    </row>
    <row r="204" spans="1:2" x14ac:dyDescent="0.25">
      <c r="A204" t="s">
        <v>343</v>
      </c>
    </row>
    <row r="205" spans="1:2" x14ac:dyDescent="0.25">
      <c r="A205" t="s">
        <v>344</v>
      </c>
    </row>
    <row r="206" spans="1:2" x14ac:dyDescent="0.25">
      <c r="A206" t="s">
        <v>345</v>
      </c>
    </row>
    <row r="207" spans="1:2" x14ac:dyDescent="0.25">
      <c r="A207" t="s">
        <v>346</v>
      </c>
    </row>
    <row r="208" spans="1:2" x14ac:dyDescent="0.25">
      <c r="A208" t="s">
        <v>347</v>
      </c>
    </row>
    <row r="209" spans="1:2" x14ac:dyDescent="0.25">
      <c r="A209" t="s">
        <v>348</v>
      </c>
    </row>
    <row r="210" spans="1:2" x14ac:dyDescent="0.25">
      <c r="A210" t="s">
        <v>349</v>
      </c>
    </row>
    <row r="211" spans="1:2" x14ac:dyDescent="0.25">
      <c r="A211" t="s">
        <v>350</v>
      </c>
    </row>
    <row r="212" spans="1:2" x14ac:dyDescent="0.25">
      <c r="A212" t="s">
        <v>351</v>
      </c>
    </row>
    <row r="213" spans="1:2" x14ac:dyDescent="0.25">
      <c r="A213" t="s">
        <v>352</v>
      </c>
      <c r="B213">
        <v>129</v>
      </c>
    </row>
    <row r="214" spans="1:2" x14ac:dyDescent="0.25">
      <c r="A214" t="s">
        <v>353</v>
      </c>
      <c r="B214">
        <v>67</v>
      </c>
    </row>
    <row r="215" spans="1:2" x14ac:dyDescent="0.25">
      <c r="A215" t="s">
        <v>354</v>
      </c>
    </row>
    <row r="216" spans="1:2" x14ac:dyDescent="0.25">
      <c r="A216" t="s">
        <v>355</v>
      </c>
      <c r="B216">
        <v>20</v>
      </c>
    </row>
    <row r="217" spans="1:2" x14ac:dyDescent="0.25">
      <c r="A217" t="s">
        <v>356</v>
      </c>
      <c r="B217">
        <v>261</v>
      </c>
    </row>
    <row r="218" spans="1:2" x14ac:dyDescent="0.25">
      <c r="A218" t="s">
        <v>357</v>
      </c>
    </row>
    <row r="219" spans="1:2" x14ac:dyDescent="0.25">
      <c r="A219" t="s">
        <v>358</v>
      </c>
    </row>
    <row r="220" spans="1:2" x14ac:dyDescent="0.25">
      <c r="A220" t="s">
        <v>359</v>
      </c>
      <c r="B220">
        <v>0</v>
      </c>
    </row>
    <row r="221" spans="1:2" x14ac:dyDescent="0.25">
      <c r="A221" t="s">
        <v>360</v>
      </c>
    </row>
    <row r="222" spans="1:2" x14ac:dyDescent="0.25">
      <c r="A222" t="s">
        <v>361</v>
      </c>
    </row>
    <row r="223" spans="1:2" x14ac:dyDescent="0.25">
      <c r="A223" t="s">
        <v>362</v>
      </c>
    </row>
    <row r="224" spans="1:2" x14ac:dyDescent="0.25">
      <c r="A224" t="s">
        <v>363</v>
      </c>
      <c r="B224">
        <v>370</v>
      </c>
    </row>
    <row r="225" spans="1:2" x14ac:dyDescent="0.25">
      <c r="A225" t="s">
        <v>364</v>
      </c>
      <c r="B225">
        <v>313</v>
      </c>
    </row>
    <row r="226" spans="1:2" x14ac:dyDescent="0.25">
      <c r="A226" t="s">
        <v>365</v>
      </c>
    </row>
    <row r="227" spans="1:2" x14ac:dyDescent="0.25">
      <c r="A227" t="s">
        <v>366</v>
      </c>
    </row>
    <row r="228" spans="1:2" x14ac:dyDescent="0.25">
      <c r="A228" t="s">
        <v>367</v>
      </c>
      <c r="B228">
        <v>2001</v>
      </c>
    </row>
    <row r="229" spans="1:2" x14ac:dyDescent="0.25">
      <c r="A229" t="s">
        <v>368</v>
      </c>
      <c r="B229">
        <v>1142</v>
      </c>
    </row>
    <row r="230" spans="1:2" x14ac:dyDescent="0.25">
      <c r="A230" t="s">
        <v>369</v>
      </c>
      <c r="B230">
        <v>0</v>
      </c>
    </row>
    <row r="231" spans="1:2" x14ac:dyDescent="0.25">
      <c r="A231" t="s">
        <v>370</v>
      </c>
      <c r="B231">
        <v>14</v>
      </c>
    </row>
    <row r="232" spans="1:2" x14ac:dyDescent="0.25">
      <c r="A232" t="s">
        <v>371</v>
      </c>
      <c r="B232">
        <v>8</v>
      </c>
    </row>
    <row r="233" spans="1:2" x14ac:dyDescent="0.25">
      <c r="A233" t="s">
        <v>372</v>
      </c>
      <c r="B233">
        <v>6</v>
      </c>
    </row>
    <row r="234" spans="1:2" x14ac:dyDescent="0.25">
      <c r="A234" t="s">
        <v>373</v>
      </c>
      <c r="B234">
        <v>5</v>
      </c>
    </row>
    <row r="235" spans="1:2" x14ac:dyDescent="0.25">
      <c r="A235" t="s">
        <v>374</v>
      </c>
      <c r="B235">
        <v>4</v>
      </c>
    </row>
    <row r="236" spans="1:2" x14ac:dyDescent="0.25">
      <c r="A236" t="s">
        <v>375</v>
      </c>
      <c r="B236">
        <v>37</v>
      </c>
    </row>
    <row r="237" spans="1:2" x14ac:dyDescent="0.25">
      <c r="A237" t="s">
        <v>376</v>
      </c>
      <c r="B237">
        <v>9</v>
      </c>
    </row>
    <row r="238" spans="1:2" x14ac:dyDescent="0.25">
      <c r="A238" t="s">
        <v>377</v>
      </c>
      <c r="B238">
        <v>0</v>
      </c>
    </row>
    <row r="239" spans="1:2" x14ac:dyDescent="0.25">
      <c r="A239" t="s">
        <v>378</v>
      </c>
    </row>
    <row r="240" spans="1:2" x14ac:dyDescent="0.25">
      <c r="A240" t="s">
        <v>379</v>
      </c>
    </row>
    <row r="241" spans="1:2" x14ac:dyDescent="0.25">
      <c r="A241" t="s">
        <v>380</v>
      </c>
    </row>
    <row r="242" spans="1:2" x14ac:dyDescent="0.25">
      <c r="A242" t="s">
        <v>381</v>
      </c>
      <c r="B242">
        <v>0</v>
      </c>
    </row>
    <row r="243" spans="1:2" x14ac:dyDescent="0.25">
      <c r="A243" t="s">
        <v>382</v>
      </c>
    </row>
    <row r="244" spans="1:2" x14ac:dyDescent="0.25">
      <c r="A244" t="s">
        <v>383</v>
      </c>
    </row>
    <row r="245" spans="1:2" x14ac:dyDescent="0.25">
      <c r="A245" t="s">
        <v>384</v>
      </c>
    </row>
    <row r="246" spans="1:2" x14ac:dyDescent="0.25">
      <c r="A246" t="s">
        <v>385</v>
      </c>
    </row>
    <row r="247" spans="1:2" x14ac:dyDescent="0.25">
      <c r="A247" t="s">
        <v>386</v>
      </c>
    </row>
    <row r="248" spans="1:2" x14ac:dyDescent="0.25">
      <c r="A248" t="s">
        <v>387</v>
      </c>
      <c r="B248">
        <v>12.46</v>
      </c>
    </row>
    <row r="249" spans="1:2" x14ac:dyDescent="0.25">
      <c r="A249" t="s">
        <v>388</v>
      </c>
      <c r="B249">
        <v>3.53</v>
      </c>
    </row>
    <row r="250" spans="1:2" x14ac:dyDescent="0.25">
      <c r="A250" t="s">
        <v>389</v>
      </c>
      <c r="B250">
        <v>6.34</v>
      </c>
    </row>
    <row r="251" spans="1:2" x14ac:dyDescent="0.25">
      <c r="A251" t="s">
        <v>390</v>
      </c>
    </row>
    <row r="252" spans="1:2" x14ac:dyDescent="0.25">
      <c r="A252" t="s">
        <v>391</v>
      </c>
      <c r="B252">
        <v>6.35</v>
      </c>
    </row>
    <row r="253" spans="1:2" x14ac:dyDescent="0.25">
      <c r="A253" t="s">
        <v>392</v>
      </c>
      <c r="B253">
        <v>698</v>
      </c>
    </row>
    <row r="254" spans="1:2" x14ac:dyDescent="0.25">
      <c r="A254" t="s">
        <v>393</v>
      </c>
    </row>
    <row r="255" spans="1:2" x14ac:dyDescent="0.25">
      <c r="A255" t="s">
        <v>394</v>
      </c>
    </row>
    <row r="256" spans="1:2" x14ac:dyDescent="0.25">
      <c r="A256" t="s">
        <v>395</v>
      </c>
    </row>
    <row r="257" spans="1:2" x14ac:dyDescent="0.25">
      <c r="A257" t="s">
        <v>396</v>
      </c>
    </row>
    <row r="258" spans="1:2" x14ac:dyDescent="0.25">
      <c r="A258" t="s">
        <v>397</v>
      </c>
    </row>
    <row r="259" spans="1:2" x14ac:dyDescent="0.25">
      <c r="A259" t="s">
        <v>398</v>
      </c>
    </row>
    <row r="260" spans="1:2" x14ac:dyDescent="0.25">
      <c r="A260" t="s">
        <v>399</v>
      </c>
    </row>
    <row r="261" spans="1:2" x14ac:dyDescent="0.25">
      <c r="A261" t="s">
        <v>400</v>
      </c>
      <c r="B261">
        <v>216</v>
      </c>
    </row>
    <row r="262" spans="1:2" x14ac:dyDescent="0.25">
      <c r="A262" t="s">
        <v>401</v>
      </c>
    </row>
    <row r="263" spans="1:2" x14ac:dyDescent="0.25">
      <c r="A263" t="s">
        <v>402</v>
      </c>
      <c r="B263">
        <v>698</v>
      </c>
    </row>
    <row r="264" spans="1:2" x14ac:dyDescent="0.25">
      <c r="A264" t="s">
        <v>403</v>
      </c>
    </row>
    <row r="265" spans="1:2" x14ac:dyDescent="0.25">
      <c r="A265" t="s">
        <v>404</v>
      </c>
    </row>
    <row r="266" spans="1:2" x14ac:dyDescent="0.25">
      <c r="A266" t="s">
        <v>405</v>
      </c>
    </row>
    <row r="267" spans="1:2" x14ac:dyDescent="0.25">
      <c r="A267" t="s">
        <v>406</v>
      </c>
    </row>
    <row r="268" spans="1:2" x14ac:dyDescent="0.25">
      <c r="A268" t="s">
        <v>407</v>
      </c>
    </row>
    <row r="269" spans="1:2" x14ac:dyDescent="0.25">
      <c r="A269" t="s">
        <v>408</v>
      </c>
      <c r="B269">
        <v>218</v>
      </c>
    </row>
    <row r="270" spans="1:2" x14ac:dyDescent="0.25">
      <c r="A270" t="s">
        <v>409</v>
      </c>
      <c r="B270">
        <v>218</v>
      </c>
    </row>
    <row r="271" spans="1:2" x14ac:dyDescent="0.25">
      <c r="A271" t="s">
        <v>410</v>
      </c>
      <c r="B271">
        <v>218</v>
      </c>
    </row>
    <row r="272" spans="1:2" x14ac:dyDescent="0.25">
      <c r="A272" t="s">
        <v>411</v>
      </c>
      <c r="B272">
        <v>0</v>
      </c>
    </row>
    <row r="273" spans="1:2" x14ac:dyDescent="0.25">
      <c r="A273" t="s">
        <v>412</v>
      </c>
      <c r="B273">
        <v>218</v>
      </c>
    </row>
    <row r="274" spans="1:2" x14ac:dyDescent="0.25">
      <c r="A274" t="s">
        <v>413</v>
      </c>
      <c r="B274">
        <v>218</v>
      </c>
    </row>
    <row r="275" spans="1:2" x14ac:dyDescent="0.25">
      <c r="A275" t="s">
        <v>414</v>
      </c>
    </row>
    <row r="276" spans="1:2" x14ac:dyDescent="0.25">
      <c r="A276" t="s">
        <v>415</v>
      </c>
    </row>
    <row r="277" spans="1:2" x14ac:dyDescent="0.25">
      <c r="A277" t="s">
        <v>416</v>
      </c>
    </row>
    <row r="278" spans="1:2" x14ac:dyDescent="0.25">
      <c r="A278" t="s">
        <v>417</v>
      </c>
    </row>
    <row r="279" spans="1:2" x14ac:dyDescent="0.25">
      <c r="A279" t="s">
        <v>418</v>
      </c>
    </row>
    <row r="280" spans="1:2" x14ac:dyDescent="0.25">
      <c r="A280" t="s">
        <v>419</v>
      </c>
    </row>
    <row r="281" spans="1:2" x14ac:dyDescent="0.25">
      <c r="A281" t="s">
        <v>420</v>
      </c>
    </row>
    <row r="282" spans="1:2" x14ac:dyDescent="0.25">
      <c r="A282" t="s">
        <v>421</v>
      </c>
    </row>
    <row r="283" spans="1:2" x14ac:dyDescent="0.25">
      <c r="A283" t="s">
        <v>422</v>
      </c>
    </row>
    <row r="284" spans="1:2" x14ac:dyDescent="0.25">
      <c r="A284" t="s">
        <v>44</v>
      </c>
      <c r="B284">
        <v>-497</v>
      </c>
    </row>
    <row r="285" spans="1:2" x14ac:dyDescent="0.25">
      <c r="A285" t="s">
        <v>423</v>
      </c>
      <c r="B285">
        <v>0</v>
      </c>
    </row>
    <row r="286" spans="1:2" x14ac:dyDescent="0.25">
      <c r="A286" t="s">
        <v>424</v>
      </c>
      <c r="B286">
        <v>32</v>
      </c>
    </row>
    <row r="287" spans="1:2" x14ac:dyDescent="0.25">
      <c r="A287" t="s">
        <v>425</v>
      </c>
      <c r="B287">
        <v>2</v>
      </c>
    </row>
    <row r="288" spans="1:2" x14ac:dyDescent="0.25">
      <c r="A288" t="s">
        <v>426</v>
      </c>
      <c r="B288">
        <v>7</v>
      </c>
    </row>
    <row r="289" spans="1:2" x14ac:dyDescent="0.25">
      <c r="A289" t="s">
        <v>427</v>
      </c>
      <c r="B289">
        <v>145</v>
      </c>
    </row>
    <row r="290" spans="1:2" x14ac:dyDescent="0.25">
      <c r="A290" t="s">
        <v>428</v>
      </c>
      <c r="B290">
        <v>-136</v>
      </c>
    </row>
    <row r="291" spans="1:2" x14ac:dyDescent="0.25">
      <c r="A291" t="s">
        <v>429</v>
      </c>
      <c r="B291">
        <v>143</v>
      </c>
    </row>
    <row r="292" spans="1:2" x14ac:dyDescent="0.25">
      <c r="A292" t="s">
        <v>430</v>
      </c>
      <c r="B292">
        <v>5</v>
      </c>
    </row>
    <row r="293" spans="1:2" x14ac:dyDescent="0.25">
      <c r="A293" t="s">
        <v>431</v>
      </c>
    </row>
    <row r="294" spans="1:2" x14ac:dyDescent="0.25">
      <c r="A294" t="s">
        <v>432</v>
      </c>
      <c r="B294">
        <v>-393</v>
      </c>
    </row>
    <row r="295" spans="1:2" x14ac:dyDescent="0.25">
      <c r="A295" t="s">
        <v>433</v>
      </c>
    </row>
    <row r="296" spans="1:2" x14ac:dyDescent="0.25">
      <c r="A296" t="s">
        <v>434</v>
      </c>
    </row>
    <row r="297" spans="1:2" x14ac:dyDescent="0.25">
      <c r="A297" t="s">
        <v>435</v>
      </c>
    </row>
    <row r="298" spans="1:2" x14ac:dyDescent="0.25">
      <c r="A298" t="s">
        <v>436</v>
      </c>
    </row>
    <row r="299" spans="1:2" x14ac:dyDescent="0.25">
      <c r="A299" t="s">
        <v>437</v>
      </c>
    </row>
    <row r="300" spans="1:2" x14ac:dyDescent="0.25">
      <c r="A300" t="s">
        <v>438</v>
      </c>
    </row>
    <row r="301" spans="1:2" x14ac:dyDescent="0.25">
      <c r="A301" t="s">
        <v>439</v>
      </c>
    </row>
    <row r="302" spans="1:2" x14ac:dyDescent="0.25">
      <c r="A302" t="s">
        <v>440</v>
      </c>
    </row>
    <row r="303" spans="1:2" x14ac:dyDescent="0.25">
      <c r="A303" t="s">
        <v>441</v>
      </c>
    </row>
    <row r="304" spans="1:2" x14ac:dyDescent="0.25">
      <c r="A304" t="s">
        <v>442</v>
      </c>
    </row>
    <row r="305" spans="1:1" x14ac:dyDescent="0.25">
      <c r="A305" t="s">
        <v>443</v>
      </c>
    </row>
    <row r="306" spans="1:1" x14ac:dyDescent="0.25">
      <c r="A306" t="s">
        <v>444</v>
      </c>
    </row>
    <row r="307" spans="1:1" x14ac:dyDescent="0.25">
      <c r="A307" t="s">
        <v>445</v>
      </c>
    </row>
    <row r="308" spans="1:1" x14ac:dyDescent="0.25">
      <c r="A308" t="s">
        <v>446</v>
      </c>
    </row>
    <row r="309" spans="1:1" x14ac:dyDescent="0.25">
      <c r="A309" t="s">
        <v>447</v>
      </c>
    </row>
    <row r="310" spans="1:1" x14ac:dyDescent="0.25">
      <c r="A310" t="s">
        <v>448</v>
      </c>
    </row>
    <row r="311" spans="1:1" x14ac:dyDescent="0.25">
      <c r="A311" t="s">
        <v>449</v>
      </c>
    </row>
    <row r="312" spans="1:1" x14ac:dyDescent="0.25">
      <c r="A312" t="s">
        <v>450</v>
      </c>
    </row>
    <row r="313" spans="1:1" x14ac:dyDescent="0.25">
      <c r="A313" t="s">
        <v>451</v>
      </c>
    </row>
    <row r="314" spans="1:1" x14ac:dyDescent="0.25">
      <c r="A314" t="s">
        <v>452</v>
      </c>
    </row>
    <row r="315" spans="1:1" x14ac:dyDescent="0.25">
      <c r="A315" t="s">
        <v>453</v>
      </c>
    </row>
    <row r="316" spans="1:1" x14ac:dyDescent="0.25">
      <c r="A316" t="s">
        <v>454</v>
      </c>
    </row>
    <row r="317" spans="1:1" x14ac:dyDescent="0.25">
      <c r="A317" t="s">
        <v>455</v>
      </c>
    </row>
    <row r="318" spans="1:1" x14ac:dyDescent="0.25">
      <c r="A318" t="s">
        <v>456</v>
      </c>
    </row>
    <row r="319" spans="1:1" x14ac:dyDescent="0.25">
      <c r="A319" t="s">
        <v>457</v>
      </c>
    </row>
    <row r="320" spans="1:1" x14ac:dyDescent="0.25">
      <c r="A320" t="s">
        <v>458</v>
      </c>
    </row>
    <row r="321" spans="1:2" x14ac:dyDescent="0.25">
      <c r="A321" t="s">
        <v>459</v>
      </c>
    </row>
    <row r="322" spans="1:2" x14ac:dyDescent="0.25">
      <c r="A322" t="s">
        <v>460</v>
      </c>
    </row>
    <row r="323" spans="1:2" x14ac:dyDescent="0.25">
      <c r="A323" t="s">
        <v>461</v>
      </c>
    </row>
    <row r="324" spans="1:2" x14ac:dyDescent="0.25">
      <c r="A324" t="s">
        <v>462</v>
      </c>
      <c r="B324">
        <v>859</v>
      </c>
    </row>
    <row r="325" spans="1:2" x14ac:dyDescent="0.25">
      <c r="A325" t="s">
        <v>463</v>
      </c>
      <c r="B325">
        <v>0</v>
      </c>
    </row>
    <row r="326" spans="1:2" x14ac:dyDescent="0.25">
      <c r="A326" t="s">
        <v>464</v>
      </c>
    </row>
    <row r="327" spans="1:2" x14ac:dyDescent="0.25">
      <c r="A327" t="s">
        <v>465</v>
      </c>
    </row>
    <row r="328" spans="1:2" x14ac:dyDescent="0.25">
      <c r="A328" t="s">
        <v>466</v>
      </c>
    </row>
    <row r="329" spans="1:2" x14ac:dyDescent="0.25">
      <c r="A329" t="s">
        <v>467</v>
      </c>
    </row>
    <row r="330" spans="1:2" x14ac:dyDescent="0.25">
      <c r="A330" t="s">
        <v>468</v>
      </c>
    </row>
    <row r="331" spans="1:2" x14ac:dyDescent="0.25">
      <c r="A331" t="s">
        <v>469</v>
      </c>
    </row>
    <row r="332" spans="1:2" x14ac:dyDescent="0.25">
      <c r="A332" t="s">
        <v>470</v>
      </c>
    </row>
    <row r="333" spans="1:2" x14ac:dyDescent="0.25">
      <c r="A333" t="s">
        <v>471</v>
      </c>
    </row>
    <row r="334" spans="1:2" x14ac:dyDescent="0.25">
      <c r="A334" t="s">
        <v>472</v>
      </c>
    </row>
    <row r="335" spans="1:2" x14ac:dyDescent="0.25">
      <c r="A335" t="s">
        <v>473</v>
      </c>
    </row>
    <row r="336" spans="1:2" x14ac:dyDescent="0.25">
      <c r="A336" t="s">
        <v>474</v>
      </c>
    </row>
    <row r="337" spans="1:2" x14ac:dyDescent="0.25">
      <c r="A337" t="s">
        <v>475</v>
      </c>
    </row>
    <row r="338" spans="1:2" x14ac:dyDescent="0.25">
      <c r="A338" t="s">
        <v>476</v>
      </c>
      <c r="B338">
        <v>2228</v>
      </c>
    </row>
    <row r="339" spans="1:2" x14ac:dyDescent="0.25">
      <c r="A339" t="s">
        <v>477</v>
      </c>
    </row>
    <row r="340" spans="1:2" x14ac:dyDescent="0.25">
      <c r="A340" t="s">
        <v>478</v>
      </c>
    </row>
    <row r="341" spans="1:2" x14ac:dyDescent="0.25">
      <c r="A341" t="s">
        <v>479</v>
      </c>
    </row>
    <row r="342" spans="1:2" x14ac:dyDescent="0.25">
      <c r="A342" t="s">
        <v>480</v>
      </c>
      <c r="B342">
        <v>12</v>
      </c>
    </row>
    <row r="343" spans="1:2" x14ac:dyDescent="0.25">
      <c r="A343" t="s">
        <v>481</v>
      </c>
      <c r="B343">
        <v>12</v>
      </c>
    </row>
    <row r="344" spans="1:2" x14ac:dyDescent="0.25">
      <c r="A344" t="s">
        <v>482</v>
      </c>
    </row>
    <row r="345" spans="1:2" x14ac:dyDescent="0.25">
      <c r="A345" t="s">
        <v>483</v>
      </c>
      <c r="B345">
        <v>0</v>
      </c>
    </row>
    <row r="346" spans="1:2" x14ac:dyDescent="0.25">
      <c r="A346" t="s">
        <v>484</v>
      </c>
      <c r="B346">
        <v>24</v>
      </c>
    </row>
    <row r="347" spans="1:2" x14ac:dyDescent="0.25">
      <c r="A347" t="s">
        <v>485</v>
      </c>
      <c r="B347">
        <v>0</v>
      </c>
    </row>
    <row r="348" spans="1:2" x14ac:dyDescent="0.25">
      <c r="A348" t="s">
        <v>486</v>
      </c>
      <c r="B348">
        <v>0</v>
      </c>
    </row>
    <row r="349" spans="1:2" x14ac:dyDescent="0.25">
      <c r="A349" t="s">
        <v>487</v>
      </c>
      <c r="B349">
        <v>0</v>
      </c>
    </row>
    <row r="350" spans="1:2" x14ac:dyDescent="0.25">
      <c r="A350" t="s">
        <v>488</v>
      </c>
      <c r="B350">
        <v>24</v>
      </c>
    </row>
    <row r="351" spans="1:2" x14ac:dyDescent="0.25">
      <c r="A351" t="s">
        <v>489</v>
      </c>
      <c r="B351">
        <v>-24</v>
      </c>
    </row>
    <row r="352" spans="1:2" x14ac:dyDescent="0.25">
      <c r="A352" t="s">
        <v>490</v>
      </c>
      <c r="B352">
        <v>207</v>
      </c>
    </row>
    <row r="353" spans="1:2" x14ac:dyDescent="0.25">
      <c r="A353" t="s">
        <v>491</v>
      </c>
      <c r="B353">
        <v>231</v>
      </c>
    </row>
    <row r="354" spans="1:2" x14ac:dyDescent="0.25">
      <c r="A354" t="s">
        <v>492</v>
      </c>
      <c r="B354">
        <v>0</v>
      </c>
    </row>
    <row r="355" spans="1:2" x14ac:dyDescent="0.25">
      <c r="A355" t="s">
        <v>34</v>
      </c>
      <c r="B355">
        <v>0</v>
      </c>
    </row>
    <row r="356" spans="1:2" x14ac:dyDescent="0.25">
      <c r="A356" t="s">
        <v>493</v>
      </c>
      <c r="B356">
        <v>0</v>
      </c>
    </row>
    <row r="357" spans="1:2" x14ac:dyDescent="0.25">
      <c r="A357" t="s">
        <v>494</v>
      </c>
    </row>
    <row r="358" spans="1:2" x14ac:dyDescent="0.25">
      <c r="A358" t="s">
        <v>495</v>
      </c>
    </row>
    <row r="359" spans="1:2" x14ac:dyDescent="0.25">
      <c r="A359" t="s">
        <v>496</v>
      </c>
    </row>
    <row r="360" spans="1:2" x14ac:dyDescent="0.25">
      <c r="A360" t="s">
        <v>497</v>
      </c>
    </row>
    <row r="361" spans="1:2" x14ac:dyDescent="0.25">
      <c r="A361" t="s">
        <v>498</v>
      </c>
    </row>
    <row r="362" spans="1:2" x14ac:dyDescent="0.25">
      <c r="A362" t="s">
        <v>499</v>
      </c>
    </row>
    <row r="363" spans="1:2" x14ac:dyDescent="0.25">
      <c r="A363" t="s">
        <v>500</v>
      </c>
    </row>
    <row r="364" spans="1:2" x14ac:dyDescent="0.25">
      <c r="A364" t="s">
        <v>501</v>
      </c>
    </row>
    <row r="365" spans="1:2" x14ac:dyDescent="0.25">
      <c r="A365" t="s">
        <v>502</v>
      </c>
    </row>
    <row r="366" spans="1:2" x14ac:dyDescent="0.25">
      <c r="A366" t="s">
        <v>503</v>
      </c>
    </row>
    <row r="367" spans="1:2" x14ac:dyDescent="0.25">
      <c r="A367" t="s">
        <v>504</v>
      </c>
    </row>
    <row r="368" spans="1:2" x14ac:dyDescent="0.25">
      <c r="A368" t="s">
        <v>505</v>
      </c>
    </row>
    <row r="369" spans="1:1" x14ac:dyDescent="0.25">
      <c r="A369" t="s">
        <v>506</v>
      </c>
    </row>
    <row r="370" spans="1:1" x14ac:dyDescent="0.25">
      <c r="A370" t="s">
        <v>507</v>
      </c>
    </row>
    <row r="371" spans="1:1" x14ac:dyDescent="0.25">
      <c r="A371" t="s">
        <v>508</v>
      </c>
    </row>
    <row r="372" spans="1:1" x14ac:dyDescent="0.25">
      <c r="A372" t="s">
        <v>509</v>
      </c>
    </row>
    <row r="373" spans="1:1" x14ac:dyDescent="0.25">
      <c r="A373" t="s">
        <v>510</v>
      </c>
    </row>
    <row r="374" spans="1:1" x14ac:dyDescent="0.25">
      <c r="A374" t="s">
        <v>511</v>
      </c>
    </row>
    <row r="375" spans="1:1" x14ac:dyDescent="0.25">
      <c r="A375" t="s">
        <v>512</v>
      </c>
    </row>
    <row r="376" spans="1:1" x14ac:dyDescent="0.25">
      <c r="A376" t="s">
        <v>513</v>
      </c>
    </row>
    <row r="377" spans="1:1" x14ac:dyDescent="0.25">
      <c r="A377" t="s">
        <v>514</v>
      </c>
    </row>
    <row r="378" spans="1:1" x14ac:dyDescent="0.25">
      <c r="A378" t="s">
        <v>515</v>
      </c>
    </row>
    <row r="379" spans="1:1" x14ac:dyDescent="0.25">
      <c r="A379" t="s">
        <v>516</v>
      </c>
    </row>
    <row r="380" spans="1:1" x14ac:dyDescent="0.25">
      <c r="A380" t="s">
        <v>517</v>
      </c>
    </row>
    <row r="381" spans="1:1" x14ac:dyDescent="0.25">
      <c r="A381" t="s">
        <v>518</v>
      </c>
    </row>
    <row r="382" spans="1:1" x14ac:dyDescent="0.25">
      <c r="A382" t="s">
        <v>519</v>
      </c>
    </row>
    <row r="383" spans="1:1" x14ac:dyDescent="0.25">
      <c r="A383" t="s">
        <v>520</v>
      </c>
    </row>
    <row r="384" spans="1:1" x14ac:dyDescent="0.25">
      <c r="A384" t="s">
        <v>521</v>
      </c>
    </row>
    <row r="385" spans="1:2" x14ac:dyDescent="0.25">
      <c r="A385" t="s">
        <v>522</v>
      </c>
    </row>
    <row r="386" spans="1:2" x14ac:dyDescent="0.25">
      <c r="A386" t="s">
        <v>523</v>
      </c>
    </row>
    <row r="387" spans="1:2" x14ac:dyDescent="0.25">
      <c r="A387" t="s">
        <v>524</v>
      </c>
    </row>
    <row r="388" spans="1:2" x14ac:dyDescent="0.25">
      <c r="A388" t="s">
        <v>525</v>
      </c>
    </row>
    <row r="389" spans="1:2" x14ac:dyDescent="0.25">
      <c r="A389" t="s">
        <v>526</v>
      </c>
      <c r="B389">
        <v>334</v>
      </c>
    </row>
    <row r="390" spans="1:2" x14ac:dyDescent="0.25">
      <c r="A390" t="s">
        <v>527</v>
      </c>
      <c r="B390">
        <v>62</v>
      </c>
    </row>
    <row r="391" spans="1:2" x14ac:dyDescent="0.25">
      <c r="A391" t="s">
        <v>528</v>
      </c>
      <c r="B391">
        <v>0</v>
      </c>
    </row>
    <row r="392" spans="1:2" x14ac:dyDescent="0.25">
      <c r="A392" t="s">
        <v>2</v>
      </c>
      <c r="B392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F36F2-AD6C-418C-8E3C-1888AAEBAD5E}">
  <dimension ref="A1:B338"/>
  <sheetViews>
    <sheetView topLeftCell="A305" workbookViewId="0">
      <selection activeCell="F315" sqref="F315"/>
    </sheetView>
  </sheetViews>
  <sheetFormatPr defaultRowHeight="15" x14ac:dyDescent="0.25"/>
  <cols>
    <col min="1" max="1" width="69.28515625" bestFit="1" customWidth="1"/>
    <col min="2" max="2" width="10.42578125" bestFit="1" customWidth="1"/>
  </cols>
  <sheetData>
    <row r="1" spans="1:2" x14ac:dyDescent="0.25">
      <c r="A1" t="s">
        <v>88</v>
      </c>
      <c r="B1" t="s">
        <v>101</v>
      </c>
    </row>
    <row r="2" spans="1:2" x14ac:dyDescent="0.25">
      <c r="A2" t="s">
        <v>89</v>
      </c>
      <c r="B2" s="2">
        <v>45657</v>
      </c>
    </row>
    <row r="3" spans="1:2" x14ac:dyDescent="0.25">
      <c r="A3" t="s">
        <v>148</v>
      </c>
      <c r="B3">
        <v>2024</v>
      </c>
    </row>
    <row r="4" spans="1:2" x14ac:dyDescent="0.25">
      <c r="A4" t="s">
        <v>92</v>
      </c>
      <c r="B4" t="s">
        <v>102</v>
      </c>
    </row>
    <row r="5" spans="1:2" x14ac:dyDescent="0.25">
      <c r="A5" t="s">
        <v>149</v>
      </c>
      <c r="B5" t="s">
        <v>103</v>
      </c>
    </row>
    <row r="6" spans="1:2" x14ac:dyDescent="0.25">
      <c r="A6" t="s">
        <v>94</v>
      </c>
      <c r="B6" t="s">
        <v>104</v>
      </c>
    </row>
    <row r="7" spans="1:2" x14ac:dyDescent="0.25">
      <c r="A7" t="s">
        <v>95</v>
      </c>
      <c r="B7" t="s">
        <v>105</v>
      </c>
    </row>
    <row r="8" spans="1:2" x14ac:dyDescent="0.25">
      <c r="A8" t="s">
        <v>96</v>
      </c>
      <c r="B8" t="s">
        <v>106</v>
      </c>
    </row>
    <row r="9" spans="1:2" x14ac:dyDescent="0.25">
      <c r="A9" t="s">
        <v>97</v>
      </c>
      <c r="B9" t="s">
        <v>107</v>
      </c>
    </row>
    <row r="10" spans="1:2" x14ac:dyDescent="0.25">
      <c r="A10" t="s">
        <v>529</v>
      </c>
      <c r="B10">
        <v>0</v>
      </c>
    </row>
    <row r="11" spans="1:2" x14ac:dyDescent="0.25">
      <c r="A11" t="s">
        <v>530</v>
      </c>
    </row>
    <row r="12" spans="1:2" x14ac:dyDescent="0.25">
      <c r="A12" t="s">
        <v>531</v>
      </c>
      <c r="B12">
        <v>4</v>
      </c>
    </row>
    <row r="13" spans="1:2" x14ac:dyDescent="0.25">
      <c r="A13" t="s">
        <v>532</v>
      </c>
    </row>
    <row r="14" spans="1:2" x14ac:dyDescent="0.25">
      <c r="A14" t="s">
        <v>533</v>
      </c>
    </row>
    <row r="15" spans="1:2" x14ac:dyDescent="0.25">
      <c r="A15" t="s">
        <v>534</v>
      </c>
    </row>
    <row r="16" spans="1:2" x14ac:dyDescent="0.25">
      <c r="A16" t="s">
        <v>535</v>
      </c>
    </row>
    <row r="17" spans="1:1" x14ac:dyDescent="0.25">
      <c r="A17" t="s">
        <v>536</v>
      </c>
    </row>
    <row r="18" spans="1:1" x14ac:dyDescent="0.25">
      <c r="A18" t="s">
        <v>537</v>
      </c>
    </row>
    <row r="19" spans="1:1" x14ac:dyDescent="0.25">
      <c r="A19" t="s">
        <v>538</v>
      </c>
    </row>
    <row r="20" spans="1:1" x14ac:dyDescent="0.25">
      <c r="A20" t="s">
        <v>539</v>
      </c>
    </row>
    <row r="21" spans="1:1" x14ac:dyDescent="0.25">
      <c r="A21" t="s">
        <v>540</v>
      </c>
    </row>
    <row r="22" spans="1:1" x14ac:dyDescent="0.25">
      <c r="A22" t="s">
        <v>541</v>
      </c>
    </row>
    <row r="23" spans="1:1" x14ac:dyDescent="0.25">
      <c r="A23" t="s">
        <v>542</v>
      </c>
    </row>
    <row r="24" spans="1:1" x14ac:dyDescent="0.25">
      <c r="A24" t="s">
        <v>543</v>
      </c>
    </row>
    <row r="25" spans="1:1" x14ac:dyDescent="0.25">
      <c r="A25" t="s">
        <v>544</v>
      </c>
    </row>
    <row r="26" spans="1:1" x14ac:dyDescent="0.25">
      <c r="A26" t="s">
        <v>545</v>
      </c>
    </row>
    <row r="27" spans="1:1" x14ac:dyDescent="0.25">
      <c r="A27" t="s">
        <v>546</v>
      </c>
    </row>
    <row r="28" spans="1:1" x14ac:dyDescent="0.25">
      <c r="A28" t="s">
        <v>547</v>
      </c>
    </row>
    <row r="29" spans="1:1" x14ac:dyDescent="0.25">
      <c r="A29" t="s">
        <v>548</v>
      </c>
    </row>
    <row r="30" spans="1:1" x14ac:dyDescent="0.25">
      <c r="A30" t="s">
        <v>549</v>
      </c>
    </row>
    <row r="31" spans="1:1" x14ac:dyDescent="0.25">
      <c r="A31" t="s">
        <v>550</v>
      </c>
    </row>
    <row r="32" spans="1:1" x14ac:dyDescent="0.25">
      <c r="A32" t="s">
        <v>551</v>
      </c>
    </row>
    <row r="33" spans="1:2" x14ac:dyDescent="0.25">
      <c r="A33" t="s">
        <v>552</v>
      </c>
    </row>
    <row r="34" spans="1:2" x14ac:dyDescent="0.25">
      <c r="A34" t="s">
        <v>553</v>
      </c>
    </row>
    <row r="35" spans="1:2" x14ac:dyDescent="0.25">
      <c r="A35" t="s">
        <v>554</v>
      </c>
    </row>
    <row r="36" spans="1:2" x14ac:dyDescent="0.25">
      <c r="A36" t="s">
        <v>555</v>
      </c>
    </row>
    <row r="37" spans="1:2" x14ac:dyDescent="0.25">
      <c r="A37" t="s">
        <v>556</v>
      </c>
    </row>
    <row r="38" spans="1:2" x14ac:dyDescent="0.25">
      <c r="A38" t="s">
        <v>557</v>
      </c>
    </row>
    <row r="39" spans="1:2" x14ac:dyDescent="0.25">
      <c r="A39" t="s">
        <v>558</v>
      </c>
    </row>
    <row r="40" spans="1:2" x14ac:dyDescent="0.25">
      <c r="A40" t="s">
        <v>559</v>
      </c>
    </row>
    <row r="41" spans="1:2" x14ac:dyDescent="0.25">
      <c r="A41" t="s">
        <v>560</v>
      </c>
    </row>
    <row r="42" spans="1:2" x14ac:dyDescent="0.25">
      <c r="A42" t="s">
        <v>561</v>
      </c>
    </row>
    <row r="43" spans="1:2" x14ac:dyDescent="0.25">
      <c r="A43" t="s">
        <v>562</v>
      </c>
    </row>
    <row r="44" spans="1:2" x14ac:dyDescent="0.25">
      <c r="A44" t="s">
        <v>563</v>
      </c>
    </row>
    <row r="45" spans="1:2" x14ac:dyDescent="0.25">
      <c r="A45" t="s">
        <v>564</v>
      </c>
    </row>
    <row r="46" spans="1:2" x14ac:dyDescent="0.25">
      <c r="A46" t="s">
        <v>565</v>
      </c>
    </row>
    <row r="47" spans="1:2" x14ac:dyDescent="0.25">
      <c r="A47" t="s">
        <v>566</v>
      </c>
      <c r="B47">
        <v>102</v>
      </c>
    </row>
    <row r="48" spans="1:2" x14ac:dyDescent="0.25">
      <c r="A48" t="s">
        <v>567</v>
      </c>
      <c r="B48">
        <v>-16</v>
      </c>
    </row>
    <row r="49" spans="1:2" x14ac:dyDescent="0.25">
      <c r="A49" t="s">
        <v>568</v>
      </c>
      <c r="B49">
        <v>0</v>
      </c>
    </row>
    <row r="50" spans="1:2" x14ac:dyDescent="0.25">
      <c r="A50" t="s">
        <v>569</v>
      </c>
      <c r="B50">
        <v>0</v>
      </c>
    </row>
    <row r="51" spans="1:2" x14ac:dyDescent="0.25">
      <c r="A51" t="s">
        <v>570</v>
      </c>
      <c r="B51">
        <v>-369</v>
      </c>
    </row>
    <row r="52" spans="1:2" x14ac:dyDescent="0.25">
      <c r="A52" t="s">
        <v>571</v>
      </c>
      <c r="B52">
        <v>0</v>
      </c>
    </row>
    <row r="53" spans="1:2" x14ac:dyDescent="0.25">
      <c r="A53" t="s">
        <v>572</v>
      </c>
      <c r="B53">
        <v>-283</v>
      </c>
    </row>
    <row r="54" spans="1:2" x14ac:dyDescent="0.25">
      <c r="A54" t="s">
        <v>573</v>
      </c>
    </row>
    <row r="55" spans="1:2" x14ac:dyDescent="0.25">
      <c r="A55" t="s">
        <v>574</v>
      </c>
      <c r="B55">
        <v>812</v>
      </c>
    </row>
    <row r="56" spans="1:2" x14ac:dyDescent="0.25">
      <c r="A56" t="s">
        <v>575</v>
      </c>
    </row>
    <row r="57" spans="1:2" x14ac:dyDescent="0.25">
      <c r="A57" t="s">
        <v>576</v>
      </c>
    </row>
    <row r="58" spans="1:2" x14ac:dyDescent="0.25">
      <c r="A58" t="s">
        <v>577</v>
      </c>
    </row>
    <row r="59" spans="1:2" x14ac:dyDescent="0.25">
      <c r="A59" t="s">
        <v>578</v>
      </c>
    </row>
    <row r="60" spans="1:2" x14ac:dyDescent="0.25">
      <c r="A60" t="s">
        <v>579</v>
      </c>
    </row>
    <row r="61" spans="1:2" x14ac:dyDescent="0.25">
      <c r="A61" t="s">
        <v>580</v>
      </c>
      <c r="B61">
        <v>0</v>
      </c>
    </row>
    <row r="62" spans="1:2" x14ac:dyDescent="0.25">
      <c r="A62" t="s">
        <v>581</v>
      </c>
    </row>
    <row r="63" spans="1:2" x14ac:dyDescent="0.25">
      <c r="A63" t="s">
        <v>582</v>
      </c>
    </row>
    <row r="64" spans="1:2" x14ac:dyDescent="0.25">
      <c r="A64" t="s">
        <v>583</v>
      </c>
      <c r="B64">
        <v>5</v>
      </c>
    </row>
    <row r="65" spans="1:2" x14ac:dyDescent="0.25">
      <c r="A65" t="s">
        <v>584</v>
      </c>
      <c r="B65">
        <v>83</v>
      </c>
    </row>
    <row r="66" spans="1:2" x14ac:dyDescent="0.25">
      <c r="A66" t="s">
        <v>585</v>
      </c>
      <c r="B66">
        <v>0</v>
      </c>
    </row>
    <row r="67" spans="1:2" x14ac:dyDescent="0.25">
      <c r="A67" t="s">
        <v>586</v>
      </c>
      <c r="B67">
        <v>0</v>
      </c>
    </row>
    <row r="68" spans="1:2" x14ac:dyDescent="0.25">
      <c r="A68" t="s">
        <v>587</v>
      </c>
      <c r="B68">
        <v>28</v>
      </c>
    </row>
    <row r="69" spans="1:2" x14ac:dyDescent="0.25">
      <c r="A69" t="s">
        <v>588</v>
      </c>
    </row>
    <row r="70" spans="1:2" x14ac:dyDescent="0.25">
      <c r="A70" t="s">
        <v>589</v>
      </c>
    </row>
    <row r="71" spans="1:2" x14ac:dyDescent="0.25">
      <c r="A71" t="s">
        <v>590</v>
      </c>
    </row>
    <row r="72" spans="1:2" x14ac:dyDescent="0.25">
      <c r="A72" t="s">
        <v>591</v>
      </c>
    </row>
    <row r="73" spans="1:2" x14ac:dyDescent="0.25">
      <c r="A73" t="s">
        <v>592</v>
      </c>
    </row>
    <row r="74" spans="1:2" x14ac:dyDescent="0.25">
      <c r="A74" t="s">
        <v>593</v>
      </c>
      <c r="B74">
        <v>0</v>
      </c>
    </row>
    <row r="75" spans="1:2" x14ac:dyDescent="0.25">
      <c r="A75" t="s">
        <v>594</v>
      </c>
    </row>
    <row r="76" spans="1:2" x14ac:dyDescent="0.25">
      <c r="A76" t="s">
        <v>595</v>
      </c>
      <c r="B76">
        <v>24</v>
      </c>
    </row>
    <row r="77" spans="1:2" x14ac:dyDescent="0.25">
      <c r="A77" t="s">
        <v>596</v>
      </c>
    </row>
    <row r="78" spans="1:2" x14ac:dyDescent="0.25">
      <c r="A78" t="s">
        <v>597</v>
      </c>
    </row>
    <row r="79" spans="1:2" x14ac:dyDescent="0.25">
      <c r="A79" t="s">
        <v>598</v>
      </c>
    </row>
    <row r="80" spans="1:2" x14ac:dyDescent="0.25">
      <c r="A80" t="s">
        <v>599</v>
      </c>
    </row>
    <row r="81" spans="1:2" x14ac:dyDescent="0.25">
      <c r="A81" t="s">
        <v>600</v>
      </c>
    </row>
    <row r="82" spans="1:2" x14ac:dyDescent="0.25">
      <c r="A82" t="s">
        <v>601</v>
      </c>
      <c r="B82">
        <v>24</v>
      </c>
    </row>
    <row r="83" spans="1:2" x14ac:dyDescent="0.25">
      <c r="A83" t="s">
        <v>602</v>
      </c>
      <c r="B83">
        <v>-9</v>
      </c>
    </row>
    <row r="84" spans="1:2" x14ac:dyDescent="0.25">
      <c r="A84" t="s">
        <v>603</v>
      </c>
      <c r="B84">
        <v>19</v>
      </c>
    </row>
    <row r="85" spans="1:2" x14ac:dyDescent="0.25">
      <c r="A85" t="s">
        <v>604</v>
      </c>
    </row>
    <row r="86" spans="1:2" x14ac:dyDescent="0.25">
      <c r="A86" t="s">
        <v>605</v>
      </c>
    </row>
    <row r="87" spans="1:2" x14ac:dyDescent="0.25">
      <c r="A87" t="s">
        <v>606</v>
      </c>
      <c r="B87">
        <v>0.9</v>
      </c>
    </row>
    <row r="88" spans="1:2" x14ac:dyDescent="0.25">
      <c r="A88" t="s">
        <v>607</v>
      </c>
      <c r="B88">
        <v>0.9</v>
      </c>
    </row>
    <row r="89" spans="1:2" x14ac:dyDescent="0.25">
      <c r="A89" t="s">
        <v>608</v>
      </c>
      <c r="B89">
        <v>0.97</v>
      </c>
    </row>
    <row r="90" spans="1:2" x14ac:dyDescent="0.25">
      <c r="A90" t="s">
        <v>609</v>
      </c>
      <c r="B90">
        <v>0.97</v>
      </c>
    </row>
    <row r="91" spans="1:2" x14ac:dyDescent="0.25">
      <c r="A91" t="s">
        <v>610</v>
      </c>
      <c r="B91">
        <v>0</v>
      </c>
    </row>
    <row r="92" spans="1:2" x14ac:dyDescent="0.25">
      <c r="A92" t="s">
        <v>611</v>
      </c>
    </row>
    <row r="93" spans="1:2" x14ac:dyDescent="0.25">
      <c r="A93" t="s">
        <v>612</v>
      </c>
      <c r="B93">
        <v>-9</v>
      </c>
    </row>
    <row r="94" spans="1:2" x14ac:dyDescent="0.25">
      <c r="A94" t="s">
        <v>613</v>
      </c>
    </row>
    <row r="95" spans="1:2" x14ac:dyDescent="0.25">
      <c r="A95" t="s">
        <v>614</v>
      </c>
    </row>
    <row r="96" spans="1:2" x14ac:dyDescent="0.25">
      <c r="A96" t="s">
        <v>615</v>
      </c>
    </row>
    <row r="97" spans="1:2" x14ac:dyDescent="0.25">
      <c r="A97" t="s">
        <v>616</v>
      </c>
    </row>
    <row r="98" spans="1:2" x14ac:dyDescent="0.25">
      <c r="A98" t="s">
        <v>617</v>
      </c>
    </row>
    <row r="99" spans="1:2" x14ac:dyDescent="0.25">
      <c r="A99" t="s">
        <v>618</v>
      </c>
    </row>
    <row r="100" spans="1:2" x14ac:dyDescent="0.25">
      <c r="A100" t="s">
        <v>619</v>
      </c>
    </row>
    <row r="101" spans="1:2" x14ac:dyDescent="0.25">
      <c r="A101" t="s">
        <v>620</v>
      </c>
    </row>
    <row r="102" spans="1:2" x14ac:dyDescent="0.25">
      <c r="A102" t="s">
        <v>621</v>
      </c>
    </row>
    <row r="103" spans="1:2" x14ac:dyDescent="0.25">
      <c r="A103" t="s">
        <v>622</v>
      </c>
    </row>
    <row r="104" spans="1:2" x14ac:dyDescent="0.25">
      <c r="A104" t="s">
        <v>623</v>
      </c>
    </row>
    <row r="105" spans="1:2" x14ac:dyDescent="0.25">
      <c r="A105" t="s">
        <v>624</v>
      </c>
    </row>
    <row r="106" spans="1:2" x14ac:dyDescent="0.25">
      <c r="A106" t="s">
        <v>625</v>
      </c>
    </row>
    <row r="107" spans="1:2" x14ac:dyDescent="0.25">
      <c r="A107" t="s">
        <v>626</v>
      </c>
    </row>
    <row r="108" spans="1:2" x14ac:dyDescent="0.25">
      <c r="A108" t="s">
        <v>627</v>
      </c>
    </row>
    <row r="109" spans="1:2" x14ac:dyDescent="0.25">
      <c r="A109" t="s">
        <v>628</v>
      </c>
      <c r="B109">
        <v>231</v>
      </c>
    </row>
    <row r="110" spans="1:2" x14ac:dyDescent="0.25">
      <c r="A110" t="s">
        <v>629</v>
      </c>
    </row>
    <row r="111" spans="1:2" x14ac:dyDescent="0.25">
      <c r="A111" t="s">
        <v>630</v>
      </c>
    </row>
    <row r="112" spans="1:2" x14ac:dyDescent="0.25">
      <c r="A112" t="s">
        <v>631</v>
      </c>
    </row>
    <row r="113" spans="1:2" x14ac:dyDescent="0.25">
      <c r="A113" t="s">
        <v>632</v>
      </c>
    </row>
    <row r="114" spans="1:2" x14ac:dyDescent="0.25">
      <c r="A114" t="s">
        <v>633</v>
      </c>
    </row>
    <row r="115" spans="1:2" x14ac:dyDescent="0.25">
      <c r="A115" t="s">
        <v>634</v>
      </c>
    </row>
    <row r="116" spans="1:2" x14ac:dyDescent="0.25">
      <c r="A116" t="s">
        <v>635</v>
      </c>
    </row>
    <row r="117" spans="1:2" x14ac:dyDescent="0.25">
      <c r="A117" t="s">
        <v>636</v>
      </c>
      <c r="B117">
        <v>102</v>
      </c>
    </row>
    <row r="118" spans="1:2" x14ac:dyDescent="0.25">
      <c r="A118" t="s">
        <v>637</v>
      </c>
      <c r="B118">
        <v>78</v>
      </c>
    </row>
    <row r="119" spans="1:2" x14ac:dyDescent="0.25">
      <c r="A119" t="s">
        <v>638</v>
      </c>
    </row>
    <row r="120" spans="1:2" x14ac:dyDescent="0.25">
      <c r="A120" t="s">
        <v>639</v>
      </c>
      <c r="B120">
        <v>78</v>
      </c>
    </row>
    <row r="121" spans="1:2" x14ac:dyDescent="0.25">
      <c r="A121" t="s">
        <v>640</v>
      </c>
    </row>
    <row r="122" spans="1:2" x14ac:dyDescent="0.25">
      <c r="A122" t="s">
        <v>641</v>
      </c>
    </row>
    <row r="123" spans="1:2" x14ac:dyDescent="0.25">
      <c r="A123" t="s">
        <v>642</v>
      </c>
    </row>
    <row r="124" spans="1:2" x14ac:dyDescent="0.25">
      <c r="A124" t="s">
        <v>643</v>
      </c>
    </row>
    <row r="125" spans="1:2" x14ac:dyDescent="0.25">
      <c r="A125" t="s">
        <v>644</v>
      </c>
    </row>
    <row r="126" spans="1:2" x14ac:dyDescent="0.25">
      <c r="A126" t="s">
        <v>645</v>
      </c>
    </row>
    <row r="127" spans="1:2" x14ac:dyDescent="0.25">
      <c r="A127" t="s">
        <v>646</v>
      </c>
      <c r="B127">
        <v>12</v>
      </c>
    </row>
    <row r="128" spans="1:2" x14ac:dyDescent="0.25">
      <c r="A128" t="s">
        <v>647</v>
      </c>
    </row>
    <row r="129" spans="1:2" x14ac:dyDescent="0.25">
      <c r="A129" t="s">
        <v>648</v>
      </c>
    </row>
    <row r="130" spans="1:2" x14ac:dyDescent="0.25">
      <c r="A130" t="s">
        <v>649</v>
      </c>
    </row>
    <row r="131" spans="1:2" x14ac:dyDescent="0.25">
      <c r="A131" t="s">
        <v>650</v>
      </c>
    </row>
    <row r="132" spans="1:2" x14ac:dyDescent="0.25">
      <c r="A132" t="s">
        <v>651</v>
      </c>
    </row>
    <row r="133" spans="1:2" x14ac:dyDescent="0.25">
      <c r="A133" t="s">
        <v>652</v>
      </c>
    </row>
    <row r="134" spans="1:2" x14ac:dyDescent="0.25">
      <c r="A134" t="s">
        <v>653</v>
      </c>
    </row>
    <row r="135" spans="1:2" x14ac:dyDescent="0.25">
      <c r="A135" t="s">
        <v>654</v>
      </c>
    </row>
    <row r="136" spans="1:2" x14ac:dyDescent="0.25">
      <c r="A136" t="s">
        <v>655</v>
      </c>
    </row>
    <row r="137" spans="1:2" x14ac:dyDescent="0.25">
      <c r="A137" t="s">
        <v>656</v>
      </c>
    </row>
    <row r="138" spans="1:2" x14ac:dyDescent="0.25">
      <c r="A138" t="s">
        <v>657</v>
      </c>
    </row>
    <row r="139" spans="1:2" x14ac:dyDescent="0.25">
      <c r="A139" t="s">
        <v>658</v>
      </c>
    </row>
    <row r="140" spans="1:2" x14ac:dyDescent="0.25">
      <c r="A140" t="s">
        <v>659</v>
      </c>
    </row>
    <row r="141" spans="1:2" x14ac:dyDescent="0.25">
      <c r="A141" t="s">
        <v>660</v>
      </c>
    </row>
    <row r="142" spans="1:2" x14ac:dyDescent="0.25">
      <c r="A142" t="s">
        <v>661</v>
      </c>
      <c r="B142">
        <v>17</v>
      </c>
    </row>
    <row r="143" spans="1:2" x14ac:dyDescent="0.25">
      <c r="A143" t="s">
        <v>662</v>
      </c>
    </row>
    <row r="144" spans="1:2" x14ac:dyDescent="0.25">
      <c r="A144" t="s">
        <v>663</v>
      </c>
    </row>
    <row r="145" spans="1:2" x14ac:dyDescent="0.25">
      <c r="A145" t="s">
        <v>664</v>
      </c>
    </row>
    <row r="146" spans="1:2" x14ac:dyDescent="0.25">
      <c r="A146" t="s">
        <v>665</v>
      </c>
    </row>
    <row r="147" spans="1:2" x14ac:dyDescent="0.25">
      <c r="A147" t="s">
        <v>666</v>
      </c>
    </row>
    <row r="148" spans="1:2" x14ac:dyDescent="0.25">
      <c r="A148" t="s">
        <v>667</v>
      </c>
    </row>
    <row r="149" spans="1:2" x14ac:dyDescent="0.25">
      <c r="A149" t="s">
        <v>668</v>
      </c>
    </row>
    <row r="150" spans="1:2" x14ac:dyDescent="0.25">
      <c r="A150" t="s">
        <v>669</v>
      </c>
    </row>
    <row r="151" spans="1:2" x14ac:dyDescent="0.25">
      <c r="A151" t="s">
        <v>670</v>
      </c>
    </row>
    <row r="152" spans="1:2" x14ac:dyDescent="0.25">
      <c r="A152" t="s">
        <v>671</v>
      </c>
    </row>
    <row r="153" spans="1:2" x14ac:dyDescent="0.25">
      <c r="A153" t="s">
        <v>672</v>
      </c>
    </row>
    <row r="154" spans="1:2" x14ac:dyDescent="0.25">
      <c r="A154" t="s">
        <v>673</v>
      </c>
    </row>
    <row r="155" spans="1:2" x14ac:dyDescent="0.25">
      <c r="A155" t="s">
        <v>674</v>
      </c>
    </row>
    <row r="156" spans="1:2" x14ac:dyDescent="0.25">
      <c r="A156" t="s">
        <v>675</v>
      </c>
    </row>
    <row r="157" spans="1:2" x14ac:dyDescent="0.25">
      <c r="A157" t="s">
        <v>676</v>
      </c>
    </row>
    <row r="158" spans="1:2" x14ac:dyDescent="0.25">
      <c r="A158" t="s">
        <v>677</v>
      </c>
      <c r="B158">
        <v>0</v>
      </c>
    </row>
    <row r="159" spans="1:2" x14ac:dyDescent="0.25">
      <c r="A159" t="s">
        <v>678</v>
      </c>
    </row>
    <row r="160" spans="1:2" x14ac:dyDescent="0.25">
      <c r="A160" t="s">
        <v>679</v>
      </c>
    </row>
    <row r="161" spans="1:2" x14ac:dyDescent="0.25">
      <c r="A161" t="s">
        <v>680</v>
      </c>
      <c r="B161">
        <v>102</v>
      </c>
    </row>
    <row r="162" spans="1:2" x14ac:dyDescent="0.25">
      <c r="A162" t="s">
        <v>681</v>
      </c>
      <c r="B162">
        <v>78</v>
      </c>
    </row>
    <row r="163" spans="1:2" x14ac:dyDescent="0.25">
      <c r="A163" t="s">
        <v>682</v>
      </c>
    </row>
    <row r="164" spans="1:2" x14ac:dyDescent="0.25">
      <c r="A164" t="s">
        <v>683</v>
      </c>
    </row>
    <row r="165" spans="1:2" x14ac:dyDescent="0.25">
      <c r="A165" t="s">
        <v>684</v>
      </c>
    </row>
    <row r="166" spans="1:2" x14ac:dyDescent="0.25">
      <c r="A166" t="s">
        <v>685</v>
      </c>
    </row>
    <row r="167" spans="1:2" x14ac:dyDescent="0.25">
      <c r="A167" t="s">
        <v>686</v>
      </c>
    </row>
    <row r="168" spans="1:2" x14ac:dyDescent="0.25">
      <c r="A168" t="s">
        <v>687</v>
      </c>
    </row>
    <row r="169" spans="1:2" x14ac:dyDescent="0.25">
      <c r="A169" t="s">
        <v>688</v>
      </c>
    </row>
    <row r="170" spans="1:2" x14ac:dyDescent="0.25">
      <c r="A170" t="s">
        <v>689</v>
      </c>
      <c r="B170">
        <v>191</v>
      </c>
    </row>
    <row r="171" spans="1:2" x14ac:dyDescent="0.25">
      <c r="A171" t="s">
        <v>690</v>
      </c>
      <c r="B171">
        <v>179</v>
      </c>
    </row>
    <row r="172" spans="1:2" x14ac:dyDescent="0.25">
      <c r="A172" t="s">
        <v>691</v>
      </c>
    </row>
    <row r="173" spans="1:2" x14ac:dyDescent="0.25">
      <c r="A173" t="s">
        <v>692</v>
      </c>
    </row>
    <row r="174" spans="1:2" x14ac:dyDescent="0.25">
      <c r="A174" t="s">
        <v>693</v>
      </c>
    </row>
    <row r="175" spans="1:2" x14ac:dyDescent="0.25">
      <c r="A175" t="s">
        <v>694</v>
      </c>
      <c r="B175">
        <v>-9</v>
      </c>
    </row>
    <row r="176" spans="1:2" x14ac:dyDescent="0.25">
      <c r="A176" t="s">
        <v>695</v>
      </c>
      <c r="B176">
        <v>19</v>
      </c>
    </row>
    <row r="177" spans="1:2" x14ac:dyDescent="0.25">
      <c r="A177" t="s">
        <v>696</v>
      </c>
      <c r="B177">
        <v>1.1000000000000001</v>
      </c>
    </row>
    <row r="178" spans="1:2" x14ac:dyDescent="0.25">
      <c r="A178" t="s">
        <v>697</v>
      </c>
    </row>
    <row r="179" spans="1:2" x14ac:dyDescent="0.25">
      <c r="A179" t="s">
        <v>698</v>
      </c>
    </row>
    <row r="180" spans="1:2" x14ac:dyDescent="0.25">
      <c r="A180" t="s">
        <v>699</v>
      </c>
    </row>
    <row r="181" spans="1:2" x14ac:dyDescent="0.25">
      <c r="A181" t="s">
        <v>700</v>
      </c>
    </row>
    <row r="182" spans="1:2" x14ac:dyDescent="0.25">
      <c r="A182" t="s">
        <v>701</v>
      </c>
    </row>
    <row r="183" spans="1:2" x14ac:dyDescent="0.25">
      <c r="A183" t="s">
        <v>702</v>
      </c>
    </row>
    <row r="184" spans="1:2" x14ac:dyDescent="0.25">
      <c r="A184" t="s">
        <v>703</v>
      </c>
      <c r="B184">
        <v>1.01</v>
      </c>
    </row>
    <row r="185" spans="1:2" x14ac:dyDescent="0.25">
      <c r="A185" t="s">
        <v>704</v>
      </c>
    </row>
    <row r="186" spans="1:2" x14ac:dyDescent="0.25">
      <c r="A186" t="s">
        <v>705</v>
      </c>
    </row>
    <row r="187" spans="1:2" x14ac:dyDescent="0.25">
      <c r="A187" t="s">
        <v>706</v>
      </c>
    </row>
    <row r="188" spans="1:2" x14ac:dyDescent="0.25">
      <c r="A188" t="s">
        <v>707</v>
      </c>
    </row>
    <row r="189" spans="1:2" x14ac:dyDescent="0.25">
      <c r="A189" t="s">
        <v>708</v>
      </c>
    </row>
    <row r="190" spans="1:2" x14ac:dyDescent="0.25">
      <c r="A190" t="s">
        <v>709</v>
      </c>
    </row>
    <row r="191" spans="1:2" x14ac:dyDescent="0.25">
      <c r="A191" t="s">
        <v>710</v>
      </c>
    </row>
    <row r="192" spans="1:2" x14ac:dyDescent="0.25">
      <c r="A192" t="s">
        <v>711</v>
      </c>
      <c r="B192">
        <v>110</v>
      </c>
    </row>
    <row r="193" spans="1:2" x14ac:dyDescent="0.25">
      <c r="A193" t="s">
        <v>712</v>
      </c>
      <c r="B193">
        <v>70</v>
      </c>
    </row>
    <row r="194" spans="1:2" x14ac:dyDescent="0.25">
      <c r="A194" t="s">
        <v>713</v>
      </c>
      <c r="B194">
        <v>40</v>
      </c>
    </row>
    <row r="195" spans="1:2" x14ac:dyDescent="0.25">
      <c r="A195" t="s">
        <v>714</v>
      </c>
    </row>
    <row r="196" spans="1:2" x14ac:dyDescent="0.25">
      <c r="A196" t="s">
        <v>715</v>
      </c>
    </row>
    <row r="197" spans="1:2" x14ac:dyDescent="0.25">
      <c r="A197" t="s">
        <v>716</v>
      </c>
    </row>
    <row r="198" spans="1:2" x14ac:dyDescent="0.25">
      <c r="A198" t="s">
        <v>717</v>
      </c>
    </row>
    <row r="199" spans="1:2" x14ac:dyDescent="0.25">
      <c r="A199" t="s">
        <v>718</v>
      </c>
    </row>
    <row r="200" spans="1:2" x14ac:dyDescent="0.25">
      <c r="A200" t="s">
        <v>719</v>
      </c>
    </row>
    <row r="201" spans="1:2" x14ac:dyDescent="0.25">
      <c r="A201" t="s">
        <v>720</v>
      </c>
    </row>
    <row r="202" spans="1:2" x14ac:dyDescent="0.25">
      <c r="A202" t="s">
        <v>721</v>
      </c>
    </row>
    <row r="203" spans="1:2" x14ac:dyDescent="0.25">
      <c r="A203" t="s">
        <v>722</v>
      </c>
    </row>
    <row r="204" spans="1:2" x14ac:dyDescent="0.25">
      <c r="A204" t="s">
        <v>723</v>
      </c>
    </row>
    <row r="205" spans="1:2" x14ac:dyDescent="0.25">
      <c r="A205" t="s">
        <v>724</v>
      </c>
    </row>
    <row r="206" spans="1:2" x14ac:dyDescent="0.25">
      <c r="A206" t="s">
        <v>725</v>
      </c>
    </row>
    <row r="207" spans="1:2" x14ac:dyDescent="0.25">
      <c r="A207" t="s">
        <v>726</v>
      </c>
    </row>
    <row r="208" spans="1:2" x14ac:dyDescent="0.25">
      <c r="A208" t="s">
        <v>727</v>
      </c>
    </row>
    <row r="209" spans="1:1" x14ac:dyDescent="0.25">
      <c r="A209" t="s">
        <v>728</v>
      </c>
    </row>
    <row r="210" spans="1:1" x14ac:dyDescent="0.25">
      <c r="A210" t="s">
        <v>729</v>
      </c>
    </row>
    <row r="211" spans="1:1" x14ac:dyDescent="0.25">
      <c r="A211" t="s">
        <v>730</v>
      </c>
    </row>
    <row r="212" spans="1:1" x14ac:dyDescent="0.25">
      <c r="A212" t="s">
        <v>731</v>
      </c>
    </row>
    <row r="213" spans="1:1" x14ac:dyDescent="0.25">
      <c r="A213" t="s">
        <v>732</v>
      </c>
    </row>
    <row r="214" spans="1:1" x14ac:dyDescent="0.25">
      <c r="A214" t="s">
        <v>733</v>
      </c>
    </row>
    <row r="215" spans="1:1" x14ac:dyDescent="0.25">
      <c r="A215" t="s">
        <v>734</v>
      </c>
    </row>
    <row r="216" spans="1:1" x14ac:dyDescent="0.25">
      <c r="A216" t="s">
        <v>735</v>
      </c>
    </row>
    <row r="217" spans="1:1" x14ac:dyDescent="0.25">
      <c r="A217" t="s">
        <v>736</v>
      </c>
    </row>
    <row r="218" spans="1:1" x14ac:dyDescent="0.25">
      <c r="A218" t="s">
        <v>737</v>
      </c>
    </row>
    <row r="219" spans="1:1" x14ac:dyDescent="0.25">
      <c r="A219" t="s">
        <v>738</v>
      </c>
    </row>
    <row r="220" spans="1:1" x14ac:dyDescent="0.25">
      <c r="A220" t="s">
        <v>739</v>
      </c>
    </row>
    <row r="221" spans="1:1" x14ac:dyDescent="0.25">
      <c r="A221" t="s">
        <v>740</v>
      </c>
    </row>
    <row r="222" spans="1:1" x14ac:dyDescent="0.25">
      <c r="A222" t="s">
        <v>741</v>
      </c>
    </row>
    <row r="223" spans="1:1" x14ac:dyDescent="0.25">
      <c r="A223" t="s">
        <v>742</v>
      </c>
    </row>
    <row r="224" spans="1:1" x14ac:dyDescent="0.25">
      <c r="A224" t="s">
        <v>743</v>
      </c>
    </row>
    <row r="225" spans="1:2" x14ac:dyDescent="0.25">
      <c r="A225" t="s">
        <v>744</v>
      </c>
    </row>
    <row r="226" spans="1:2" x14ac:dyDescent="0.25">
      <c r="A226" t="s">
        <v>745</v>
      </c>
      <c r="B226">
        <v>-5.2</v>
      </c>
    </row>
    <row r="227" spans="1:2" x14ac:dyDescent="0.25">
      <c r="A227" t="s">
        <v>746</v>
      </c>
      <c r="B227">
        <v>-0.06</v>
      </c>
    </row>
    <row r="228" spans="1:2" x14ac:dyDescent="0.25">
      <c r="A228" t="s">
        <v>747</v>
      </c>
      <c r="B228">
        <v>-0.06</v>
      </c>
    </row>
    <row r="229" spans="1:2" x14ac:dyDescent="0.25">
      <c r="A229" t="s">
        <v>748</v>
      </c>
      <c r="B229">
        <v>-8</v>
      </c>
    </row>
    <row r="230" spans="1:2" x14ac:dyDescent="0.25">
      <c r="A230" t="s">
        <v>749</v>
      </c>
      <c r="B230">
        <v>0</v>
      </c>
    </row>
    <row r="231" spans="1:2" x14ac:dyDescent="0.25">
      <c r="A231" t="s">
        <v>750</v>
      </c>
      <c r="B231">
        <v>0</v>
      </c>
    </row>
    <row r="232" spans="1:2" x14ac:dyDescent="0.25">
      <c r="A232" t="s">
        <v>751</v>
      </c>
      <c r="B232">
        <v>0</v>
      </c>
    </row>
    <row r="233" spans="1:2" x14ac:dyDescent="0.25">
      <c r="A233" t="s">
        <v>752</v>
      </c>
      <c r="B233">
        <v>0</v>
      </c>
    </row>
    <row r="234" spans="1:2" x14ac:dyDescent="0.25">
      <c r="A234" t="s">
        <v>753</v>
      </c>
      <c r="B234">
        <v>1043</v>
      </c>
    </row>
    <row r="235" spans="1:2" x14ac:dyDescent="0.25">
      <c r="A235" t="s">
        <v>754</v>
      </c>
    </row>
    <row r="236" spans="1:2" x14ac:dyDescent="0.25">
      <c r="A236" t="s">
        <v>755</v>
      </c>
    </row>
    <row r="237" spans="1:2" x14ac:dyDescent="0.25">
      <c r="A237" t="s">
        <v>756</v>
      </c>
    </row>
    <row r="238" spans="1:2" x14ac:dyDescent="0.25">
      <c r="A238" t="s">
        <v>757</v>
      </c>
    </row>
    <row r="239" spans="1:2" x14ac:dyDescent="0.25">
      <c r="A239" t="s">
        <v>758</v>
      </c>
    </row>
    <row r="240" spans="1:2" x14ac:dyDescent="0.25">
      <c r="A240" t="s">
        <v>100</v>
      </c>
      <c r="B240">
        <v>1043</v>
      </c>
    </row>
    <row r="241" spans="1:2" x14ac:dyDescent="0.25">
      <c r="A241" t="s">
        <v>759</v>
      </c>
      <c r="B241">
        <v>-0.65</v>
      </c>
    </row>
    <row r="242" spans="1:2" x14ac:dyDescent="0.25">
      <c r="A242" t="s">
        <v>760</v>
      </c>
      <c r="B242">
        <v>-0.01</v>
      </c>
    </row>
    <row r="243" spans="1:2" x14ac:dyDescent="0.25">
      <c r="A243" t="s">
        <v>761</v>
      </c>
      <c r="B243">
        <v>-0.01</v>
      </c>
    </row>
    <row r="244" spans="1:2" x14ac:dyDescent="0.25">
      <c r="A244" t="s">
        <v>762</v>
      </c>
      <c r="B244">
        <v>-1</v>
      </c>
    </row>
    <row r="245" spans="1:2" x14ac:dyDescent="0.25">
      <c r="A245" t="s">
        <v>763</v>
      </c>
    </row>
    <row r="246" spans="1:2" x14ac:dyDescent="0.25">
      <c r="A246" t="s">
        <v>764</v>
      </c>
    </row>
    <row r="247" spans="1:2" x14ac:dyDescent="0.25">
      <c r="A247" t="s">
        <v>765</v>
      </c>
    </row>
    <row r="248" spans="1:2" x14ac:dyDescent="0.25">
      <c r="A248" t="s">
        <v>766</v>
      </c>
      <c r="B248">
        <v>-13</v>
      </c>
    </row>
    <row r="249" spans="1:2" x14ac:dyDescent="0.25">
      <c r="A249" t="s">
        <v>767</v>
      </c>
    </row>
    <row r="250" spans="1:2" x14ac:dyDescent="0.25">
      <c r="A250" t="s">
        <v>768</v>
      </c>
    </row>
    <row r="251" spans="1:2" x14ac:dyDescent="0.25">
      <c r="A251" t="s">
        <v>769</v>
      </c>
    </row>
    <row r="252" spans="1:2" x14ac:dyDescent="0.25">
      <c r="A252" t="s">
        <v>770</v>
      </c>
    </row>
    <row r="253" spans="1:2" x14ac:dyDescent="0.25">
      <c r="A253" t="s">
        <v>771</v>
      </c>
    </row>
    <row r="254" spans="1:2" x14ac:dyDescent="0.25">
      <c r="A254" t="s">
        <v>772</v>
      </c>
      <c r="B254">
        <v>6</v>
      </c>
    </row>
    <row r="255" spans="1:2" x14ac:dyDescent="0.25">
      <c r="A255" t="s">
        <v>773</v>
      </c>
    </row>
    <row r="256" spans="1:2" x14ac:dyDescent="0.25">
      <c r="A256" t="s">
        <v>774</v>
      </c>
    </row>
    <row r="257" spans="1:2" x14ac:dyDescent="0.25">
      <c r="A257" t="s">
        <v>775</v>
      </c>
    </row>
    <row r="258" spans="1:2" x14ac:dyDescent="0.25">
      <c r="A258" t="s">
        <v>776</v>
      </c>
    </row>
    <row r="259" spans="1:2" x14ac:dyDescent="0.25">
      <c r="A259" t="s">
        <v>777</v>
      </c>
    </row>
    <row r="260" spans="1:2" x14ac:dyDescent="0.25">
      <c r="A260" t="s">
        <v>778</v>
      </c>
      <c r="B260">
        <v>9</v>
      </c>
    </row>
    <row r="261" spans="1:2" x14ac:dyDescent="0.25">
      <c r="A261" t="s">
        <v>779</v>
      </c>
    </row>
    <row r="262" spans="1:2" x14ac:dyDescent="0.25">
      <c r="A262" t="s">
        <v>780</v>
      </c>
      <c r="B262">
        <v>0</v>
      </c>
    </row>
    <row r="263" spans="1:2" x14ac:dyDescent="0.25">
      <c r="A263" t="s">
        <v>781</v>
      </c>
      <c r="B263">
        <v>-1</v>
      </c>
    </row>
    <row r="264" spans="1:2" x14ac:dyDescent="0.25">
      <c r="A264" t="s">
        <v>782</v>
      </c>
    </row>
    <row r="265" spans="1:2" x14ac:dyDescent="0.25">
      <c r="A265" t="s">
        <v>783</v>
      </c>
    </row>
    <row r="266" spans="1:2" x14ac:dyDescent="0.25">
      <c r="A266" t="s">
        <v>784</v>
      </c>
    </row>
    <row r="267" spans="1:2" x14ac:dyDescent="0.25">
      <c r="A267" t="s">
        <v>785</v>
      </c>
      <c r="B267">
        <v>0</v>
      </c>
    </row>
    <row r="268" spans="1:2" x14ac:dyDescent="0.25">
      <c r="A268" t="s">
        <v>786</v>
      </c>
      <c r="B268">
        <v>9</v>
      </c>
    </row>
    <row r="269" spans="1:2" x14ac:dyDescent="0.25">
      <c r="A269" t="s">
        <v>787</v>
      </c>
      <c r="B269">
        <v>0</v>
      </c>
    </row>
    <row r="270" spans="1:2" x14ac:dyDescent="0.25">
      <c r="A270" t="s">
        <v>788</v>
      </c>
      <c r="B270">
        <v>0</v>
      </c>
    </row>
    <row r="271" spans="1:2" x14ac:dyDescent="0.25">
      <c r="A271" t="s">
        <v>789</v>
      </c>
      <c r="B271">
        <v>8</v>
      </c>
    </row>
    <row r="272" spans="1:2" x14ac:dyDescent="0.25">
      <c r="A272" t="s">
        <v>790</v>
      </c>
    </row>
    <row r="273" spans="1:2" x14ac:dyDescent="0.25">
      <c r="A273" t="s">
        <v>791</v>
      </c>
      <c r="B273">
        <v>0</v>
      </c>
    </row>
    <row r="274" spans="1:2" x14ac:dyDescent="0.25">
      <c r="A274" t="s">
        <v>792</v>
      </c>
    </row>
    <row r="275" spans="1:2" x14ac:dyDescent="0.25">
      <c r="A275" t="s">
        <v>793</v>
      </c>
    </row>
    <row r="276" spans="1:2" x14ac:dyDescent="0.25">
      <c r="A276" t="s">
        <v>794</v>
      </c>
    </row>
    <row r="277" spans="1:2" x14ac:dyDescent="0.25">
      <c r="A277" t="s">
        <v>795</v>
      </c>
    </row>
    <row r="278" spans="1:2" x14ac:dyDescent="0.25">
      <c r="A278" t="s">
        <v>796</v>
      </c>
    </row>
    <row r="279" spans="1:2" x14ac:dyDescent="0.25">
      <c r="A279" t="s">
        <v>797</v>
      </c>
    </row>
    <row r="280" spans="1:2" x14ac:dyDescent="0.25">
      <c r="A280" t="s">
        <v>798</v>
      </c>
    </row>
    <row r="281" spans="1:2" x14ac:dyDescent="0.25">
      <c r="A281" t="s">
        <v>766</v>
      </c>
    </row>
    <row r="282" spans="1:2" x14ac:dyDescent="0.25">
      <c r="A282" t="s">
        <v>799</v>
      </c>
    </row>
    <row r="283" spans="1:2" x14ac:dyDescent="0.25">
      <c r="A283" t="s">
        <v>800</v>
      </c>
    </row>
    <row r="284" spans="1:2" x14ac:dyDescent="0.25">
      <c r="A284" t="s">
        <v>801</v>
      </c>
    </row>
    <row r="285" spans="1:2" x14ac:dyDescent="0.25">
      <c r="A285" t="s">
        <v>802</v>
      </c>
    </row>
    <row r="286" spans="1:2" x14ac:dyDescent="0.25">
      <c r="A286" t="s">
        <v>803</v>
      </c>
    </row>
    <row r="287" spans="1:2" x14ac:dyDescent="0.25">
      <c r="A287" t="s">
        <v>804</v>
      </c>
      <c r="B287">
        <v>-2.6</v>
      </c>
    </row>
    <row r="288" spans="1:2" x14ac:dyDescent="0.25">
      <c r="A288" t="s">
        <v>805</v>
      </c>
      <c r="B288">
        <v>-0.03</v>
      </c>
    </row>
    <row r="289" spans="1:2" x14ac:dyDescent="0.25">
      <c r="A289" t="s">
        <v>806</v>
      </c>
      <c r="B289">
        <v>-0.03</v>
      </c>
    </row>
    <row r="290" spans="1:2" x14ac:dyDescent="0.25">
      <c r="A290" t="s">
        <v>807</v>
      </c>
      <c r="B290">
        <v>-4</v>
      </c>
    </row>
    <row r="291" spans="1:2" x14ac:dyDescent="0.25">
      <c r="A291" t="s">
        <v>808</v>
      </c>
      <c r="B291">
        <v>4</v>
      </c>
    </row>
    <row r="292" spans="1:2" x14ac:dyDescent="0.25">
      <c r="A292" t="s">
        <v>809</v>
      </c>
    </row>
    <row r="293" spans="1:2" x14ac:dyDescent="0.25">
      <c r="A293" t="s">
        <v>810</v>
      </c>
    </row>
    <row r="294" spans="1:2" x14ac:dyDescent="0.25">
      <c r="A294" t="s">
        <v>811</v>
      </c>
    </row>
    <row r="295" spans="1:2" x14ac:dyDescent="0.25">
      <c r="A295" t="s">
        <v>812</v>
      </c>
    </row>
    <row r="296" spans="1:2" x14ac:dyDescent="0.25">
      <c r="A296" t="s">
        <v>813</v>
      </c>
    </row>
    <row r="297" spans="1:2" x14ac:dyDescent="0.25">
      <c r="A297" t="s">
        <v>814</v>
      </c>
    </row>
    <row r="298" spans="1:2" x14ac:dyDescent="0.25">
      <c r="A298" t="s">
        <v>815</v>
      </c>
    </row>
    <row r="299" spans="1:2" x14ac:dyDescent="0.25">
      <c r="A299" t="s">
        <v>816</v>
      </c>
    </row>
    <row r="300" spans="1:2" x14ac:dyDescent="0.25">
      <c r="A300" t="s">
        <v>817</v>
      </c>
      <c r="B300">
        <v>0</v>
      </c>
    </row>
    <row r="301" spans="1:2" x14ac:dyDescent="0.25">
      <c r="A301" t="s">
        <v>818</v>
      </c>
      <c r="B301">
        <v>0</v>
      </c>
    </row>
    <row r="302" spans="1:2" x14ac:dyDescent="0.25">
      <c r="A302" t="s">
        <v>819</v>
      </c>
    </row>
    <row r="303" spans="1:2" x14ac:dyDescent="0.25">
      <c r="A303" t="s">
        <v>820</v>
      </c>
    </row>
    <row r="304" spans="1:2" x14ac:dyDescent="0.25">
      <c r="A304" t="s">
        <v>821</v>
      </c>
    </row>
    <row r="305" spans="1:2" x14ac:dyDescent="0.25">
      <c r="A305" t="s">
        <v>822</v>
      </c>
    </row>
    <row r="306" spans="1:2" x14ac:dyDescent="0.25">
      <c r="A306" t="s">
        <v>823</v>
      </c>
      <c r="B306">
        <v>59</v>
      </c>
    </row>
    <row r="307" spans="1:2" x14ac:dyDescent="0.25">
      <c r="A307" t="s">
        <v>824</v>
      </c>
    </row>
    <row r="308" spans="1:2" x14ac:dyDescent="0.25">
      <c r="A308" t="s">
        <v>825</v>
      </c>
    </row>
    <row r="309" spans="1:2" x14ac:dyDescent="0.25">
      <c r="A309" t="s">
        <v>826</v>
      </c>
    </row>
    <row r="310" spans="1:2" x14ac:dyDescent="0.25">
      <c r="A310" t="s">
        <v>827</v>
      </c>
    </row>
    <row r="311" spans="1:2" x14ac:dyDescent="0.25">
      <c r="A311" t="s">
        <v>828</v>
      </c>
    </row>
    <row r="312" spans="1:2" x14ac:dyDescent="0.25">
      <c r="A312" t="s">
        <v>829</v>
      </c>
    </row>
    <row r="313" spans="1:2" x14ac:dyDescent="0.25">
      <c r="A313" t="s">
        <v>830</v>
      </c>
    </row>
    <row r="314" spans="1:2" x14ac:dyDescent="0.25">
      <c r="A314" t="s">
        <v>831</v>
      </c>
    </row>
    <row r="315" spans="1:2" x14ac:dyDescent="0.25">
      <c r="A315" t="s">
        <v>832</v>
      </c>
    </row>
    <row r="316" spans="1:2" x14ac:dyDescent="0.25">
      <c r="A316" t="s">
        <v>833</v>
      </c>
    </row>
    <row r="317" spans="1:2" x14ac:dyDescent="0.25">
      <c r="A317" t="s">
        <v>834</v>
      </c>
    </row>
    <row r="318" spans="1:2" x14ac:dyDescent="0.25">
      <c r="A318" t="s">
        <v>835</v>
      </c>
      <c r="B318">
        <v>1024</v>
      </c>
    </row>
    <row r="319" spans="1:2" x14ac:dyDescent="0.25">
      <c r="A319" t="s">
        <v>836</v>
      </c>
    </row>
    <row r="320" spans="1:2" x14ac:dyDescent="0.25">
      <c r="A320" t="s">
        <v>837</v>
      </c>
    </row>
    <row r="321" spans="1:2" x14ac:dyDescent="0.25">
      <c r="A321" t="s">
        <v>838</v>
      </c>
    </row>
    <row r="322" spans="1:2" x14ac:dyDescent="0.25">
      <c r="A322" t="s">
        <v>839</v>
      </c>
    </row>
    <row r="323" spans="1:2" x14ac:dyDescent="0.25">
      <c r="A323" t="s">
        <v>840</v>
      </c>
      <c r="B323">
        <v>-155</v>
      </c>
    </row>
    <row r="324" spans="1:2" x14ac:dyDescent="0.25">
      <c r="A324" t="s">
        <v>841</v>
      </c>
      <c r="B324">
        <v>33</v>
      </c>
    </row>
    <row r="325" spans="1:2" x14ac:dyDescent="0.25">
      <c r="A325" t="s">
        <v>842</v>
      </c>
      <c r="B325">
        <v>23</v>
      </c>
    </row>
    <row r="326" spans="1:2" x14ac:dyDescent="0.25">
      <c r="A326" t="s">
        <v>843</v>
      </c>
    </row>
    <row r="327" spans="1:2" x14ac:dyDescent="0.25">
      <c r="A327" t="s">
        <v>844</v>
      </c>
      <c r="B327">
        <v>212</v>
      </c>
    </row>
    <row r="328" spans="1:2" x14ac:dyDescent="0.25">
      <c r="A328" t="s">
        <v>845</v>
      </c>
    </row>
    <row r="329" spans="1:2" x14ac:dyDescent="0.25">
      <c r="A329" t="s">
        <v>846</v>
      </c>
    </row>
    <row r="330" spans="1:2" x14ac:dyDescent="0.25">
      <c r="A330" t="s">
        <v>847</v>
      </c>
    </row>
    <row r="331" spans="1:2" x14ac:dyDescent="0.25">
      <c r="A331" t="s">
        <v>848</v>
      </c>
    </row>
    <row r="332" spans="1:2" x14ac:dyDescent="0.25">
      <c r="A332" t="s">
        <v>849</v>
      </c>
    </row>
    <row r="333" spans="1:2" x14ac:dyDescent="0.25">
      <c r="A333" t="s">
        <v>850</v>
      </c>
    </row>
    <row r="334" spans="1:2" x14ac:dyDescent="0.25">
      <c r="A334" t="s">
        <v>851</v>
      </c>
    </row>
    <row r="335" spans="1:2" x14ac:dyDescent="0.25">
      <c r="A335" t="s">
        <v>852</v>
      </c>
    </row>
    <row r="336" spans="1:2" x14ac:dyDescent="0.25">
      <c r="A336" t="s">
        <v>853</v>
      </c>
    </row>
    <row r="337" spans="1:2" x14ac:dyDescent="0.25">
      <c r="A337" t="s">
        <v>854</v>
      </c>
    </row>
    <row r="338" spans="1:2" x14ac:dyDescent="0.25">
      <c r="A338" t="s">
        <v>2</v>
      </c>
      <c r="B338" t="s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C33C-3268-4E2B-96D5-2CBD8A2D17E6}">
  <dimension ref="A1:B76"/>
  <sheetViews>
    <sheetView topLeftCell="A36" workbookViewId="0">
      <selection activeCell="E3" sqref="E3"/>
    </sheetView>
  </sheetViews>
  <sheetFormatPr defaultRowHeight="15" x14ac:dyDescent="0.25"/>
  <cols>
    <col min="1" max="1" width="64.140625" bestFit="1" customWidth="1"/>
    <col min="2" max="2" width="10.42578125" bestFit="1" customWidth="1"/>
  </cols>
  <sheetData>
    <row r="1" spans="1:2" x14ac:dyDescent="0.25">
      <c r="A1" t="s">
        <v>88</v>
      </c>
      <c r="B1" t="s">
        <v>101</v>
      </c>
    </row>
    <row r="2" spans="1:2" x14ac:dyDescent="0.25">
      <c r="A2" t="s">
        <v>89</v>
      </c>
      <c r="B2" s="2">
        <v>45657</v>
      </c>
    </row>
    <row r="3" spans="1:2" x14ac:dyDescent="0.25">
      <c r="A3" t="s">
        <v>148</v>
      </c>
      <c r="B3">
        <v>2024</v>
      </c>
    </row>
    <row r="4" spans="1:2" x14ac:dyDescent="0.25">
      <c r="A4" t="s">
        <v>92</v>
      </c>
      <c r="B4" t="s">
        <v>102</v>
      </c>
    </row>
    <row r="5" spans="1:2" x14ac:dyDescent="0.25">
      <c r="A5" t="s">
        <v>149</v>
      </c>
      <c r="B5" t="s">
        <v>103</v>
      </c>
    </row>
    <row r="6" spans="1:2" x14ac:dyDescent="0.25">
      <c r="A6" t="s">
        <v>94</v>
      </c>
      <c r="B6" t="s">
        <v>104</v>
      </c>
    </row>
    <row r="7" spans="1:2" x14ac:dyDescent="0.25">
      <c r="A7" t="s">
        <v>95</v>
      </c>
      <c r="B7" t="s">
        <v>105</v>
      </c>
    </row>
    <row r="8" spans="1:2" x14ac:dyDescent="0.25">
      <c r="A8" t="s">
        <v>96</v>
      </c>
      <c r="B8" t="s">
        <v>106</v>
      </c>
    </row>
    <row r="9" spans="1:2" x14ac:dyDescent="0.25">
      <c r="A9" t="s">
        <v>97</v>
      </c>
      <c r="B9" t="s">
        <v>107</v>
      </c>
    </row>
    <row r="10" spans="1:2" x14ac:dyDescent="0.25">
      <c r="A10" t="s">
        <v>855</v>
      </c>
    </row>
    <row r="11" spans="1:2" x14ac:dyDescent="0.25">
      <c r="A11" t="s">
        <v>856</v>
      </c>
    </row>
    <row r="12" spans="1:2" x14ac:dyDescent="0.25">
      <c r="A12" t="s">
        <v>857</v>
      </c>
    </row>
    <row r="13" spans="1:2" x14ac:dyDescent="0.25">
      <c r="A13" t="s">
        <v>858</v>
      </c>
      <c r="B13">
        <v>-46</v>
      </c>
    </row>
    <row r="14" spans="1:2" x14ac:dyDescent="0.25">
      <c r="A14" t="s">
        <v>859</v>
      </c>
      <c r="B14">
        <v>-3</v>
      </c>
    </row>
    <row r="15" spans="1:2" x14ac:dyDescent="0.25">
      <c r="A15" t="s">
        <v>71</v>
      </c>
      <c r="B15">
        <v>0</v>
      </c>
    </row>
    <row r="16" spans="1:2" x14ac:dyDescent="0.25">
      <c r="A16" t="s">
        <v>860</v>
      </c>
      <c r="B16">
        <v>56</v>
      </c>
    </row>
    <row r="17" spans="1:2" x14ac:dyDescent="0.25">
      <c r="A17" t="s">
        <v>861</v>
      </c>
      <c r="B17">
        <v>56</v>
      </c>
    </row>
    <row r="18" spans="1:2" x14ac:dyDescent="0.25">
      <c r="A18" t="s">
        <v>862</v>
      </c>
    </row>
    <row r="19" spans="1:2" x14ac:dyDescent="0.25">
      <c r="A19" t="s">
        <v>863</v>
      </c>
      <c r="B19">
        <v>-76</v>
      </c>
    </row>
    <row r="20" spans="1:2" x14ac:dyDescent="0.25">
      <c r="A20" t="s">
        <v>864</v>
      </c>
    </row>
    <row r="21" spans="1:2" x14ac:dyDescent="0.25">
      <c r="A21" t="s">
        <v>865</v>
      </c>
      <c r="B21">
        <v>0</v>
      </c>
    </row>
    <row r="22" spans="1:2" x14ac:dyDescent="0.25">
      <c r="A22" t="s">
        <v>866</v>
      </c>
      <c r="B22">
        <v>0</v>
      </c>
    </row>
    <row r="23" spans="1:2" x14ac:dyDescent="0.25">
      <c r="A23" t="s">
        <v>867</v>
      </c>
      <c r="B23">
        <v>18</v>
      </c>
    </row>
    <row r="24" spans="1:2" x14ac:dyDescent="0.25">
      <c r="A24" t="s">
        <v>868</v>
      </c>
      <c r="B24">
        <v>28</v>
      </c>
    </row>
    <row r="25" spans="1:2" x14ac:dyDescent="0.25">
      <c r="A25" t="s">
        <v>869</v>
      </c>
      <c r="B25">
        <v>4</v>
      </c>
    </row>
    <row r="26" spans="1:2" x14ac:dyDescent="0.25">
      <c r="A26" t="s">
        <v>870</v>
      </c>
      <c r="B26">
        <v>0</v>
      </c>
    </row>
    <row r="27" spans="1:2" x14ac:dyDescent="0.25">
      <c r="A27" t="s">
        <v>84</v>
      </c>
      <c r="B27">
        <v>-7</v>
      </c>
    </row>
    <row r="28" spans="1:2" x14ac:dyDescent="0.25">
      <c r="A28" t="s">
        <v>871</v>
      </c>
      <c r="B28">
        <v>0</v>
      </c>
    </row>
    <row r="29" spans="1:2" x14ac:dyDescent="0.25">
      <c r="A29" t="s">
        <v>872</v>
      </c>
      <c r="B29">
        <v>-23</v>
      </c>
    </row>
    <row r="30" spans="1:2" x14ac:dyDescent="0.25">
      <c r="A30" t="s">
        <v>873</v>
      </c>
      <c r="B30">
        <v>-115</v>
      </c>
    </row>
    <row r="31" spans="1:2" x14ac:dyDescent="0.25">
      <c r="A31" t="s">
        <v>874</v>
      </c>
      <c r="B31">
        <v>-115</v>
      </c>
    </row>
    <row r="32" spans="1:2" x14ac:dyDescent="0.25">
      <c r="A32" t="s">
        <v>875</v>
      </c>
    </row>
    <row r="33" spans="1:2" x14ac:dyDescent="0.25">
      <c r="A33" t="s">
        <v>876</v>
      </c>
    </row>
    <row r="34" spans="1:2" x14ac:dyDescent="0.25">
      <c r="A34" t="s">
        <v>877</v>
      </c>
    </row>
    <row r="35" spans="1:2" x14ac:dyDescent="0.25">
      <c r="A35" t="s">
        <v>878</v>
      </c>
    </row>
    <row r="36" spans="1:2" x14ac:dyDescent="0.25">
      <c r="A36" t="s">
        <v>879</v>
      </c>
    </row>
    <row r="37" spans="1:2" x14ac:dyDescent="0.25">
      <c r="A37" t="s">
        <v>880</v>
      </c>
      <c r="B37">
        <v>102</v>
      </c>
    </row>
    <row r="38" spans="1:2" x14ac:dyDescent="0.25">
      <c r="A38" t="s">
        <v>881</v>
      </c>
      <c r="B38">
        <v>31</v>
      </c>
    </row>
    <row r="39" spans="1:2" x14ac:dyDescent="0.25">
      <c r="A39" t="s">
        <v>882</v>
      </c>
      <c r="B39">
        <v>-7</v>
      </c>
    </row>
    <row r="40" spans="1:2" x14ac:dyDescent="0.25">
      <c r="A40" t="s">
        <v>883</v>
      </c>
    </row>
    <row r="41" spans="1:2" x14ac:dyDescent="0.25">
      <c r="A41" t="s">
        <v>884</v>
      </c>
      <c r="B41">
        <v>0</v>
      </c>
    </row>
    <row r="42" spans="1:2" x14ac:dyDescent="0.25">
      <c r="A42" t="s">
        <v>885</v>
      </c>
      <c r="B42">
        <v>0</v>
      </c>
    </row>
    <row r="43" spans="1:2" x14ac:dyDescent="0.25">
      <c r="A43" t="s">
        <v>886</v>
      </c>
      <c r="B43">
        <v>-39</v>
      </c>
    </row>
    <row r="44" spans="1:2" x14ac:dyDescent="0.25">
      <c r="A44" t="s">
        <v>887</v>
      </c>
    </row>
    <row r="45" spans="1:2" x14ac:dyDescent="0.25">
      <c r="A45" t="s">
        <v>888</v>
      </c>
      <c r="B45">
        <v>-7</v>
      </c>
    </row>
    <row r="46" spans="1:2" x14ac:dyDescent="0.25">
      <c r="A46" t="s">
        <v>889</v>
      </c>
    </row>
    <row r="47" spans="1:2" x14ac:dyDescent="0.25">
      <c r="A47" t="s">
        <v>890</v>
      </c>
      <c r="B47">
        <v>1</v>
      </c>
    </row>
    <row r="48" spans="1:2" x14ac:dyDescent="0.25">
      <c r="A48" t="s">
        <v>891</v>
      </c>
    </row>
    <row r="49" spans="1:2" x14ac:dyDescent="0.25">
      <c r="A49" t="s">
        <v>892</v>
      </c>
    </row>
    <row r="50" spans="1:2" x14ac:dyDescent="0.25">
      <c r="A50" t="s">
        <v>893</v>
      </c>
      <c r="B50">
        <v>52</v>
      </c>
    </row>
    <row r="51" spans="1:2" x14ac:dyDescent="0.25">
      <c r="A51" t="s">
        <v>894</v>
      </c>
    </row>
    <row r="52" spans="1:2" x14ac:dyDescent="0.25">
      <c r="A52" t="s">
        <v>895</v>
      </c>
      <c r="B52">
        <v>0</v>
      </c>
    </row>
    <row r="53" spans="1:2" x14ac:dyDescent="0.25">
      <c r="A53" t="s">
        <v>896</v>
      </c>
      <c r="B53">
        <v>17</v>
      </c>
    </row>
    <row r="54" spans="1:2" x14ac:dyDescent="0.25">
      <c r="A54" t="s">
        <v>897</v>
      </c>
      <c r="B54">
        <v>-17</v>
      </c>
    </row>
    <row r="55" spans="1:2" x14ac:dyDescent="0.25">
      <c r="A55" t="s">
        <v>898</v>
      </c>
    </row>
    <row r="56" spans="1:2" x14ac:dyDescent="0.25">
      <c r="A56" t="s">
        <v>899</v>
      </c>
      <c r="B56">
        <v>0</v>
      </c>
    </row>
    <row r="57" spans="1:2" x14ac:dyDescent="0.25">
      <c r="A57" t="s">
        <v>900</v>
      </c>
    </row>
    <row r="58" spans="1:2" x14ac:dyDescent="0.25">
      <c r="A58" t="s">
        <v>901</v>
      </c>
    </row>
    <row r="59" spans="1:2" x14ac:dyDescent="0.25">
      <c r="A59" t="s">
        <v>902</v>
      </c>
      <c r="B59">
        <v>0</v>
      </c>
    </row>
    <row r="60" spans="1:2" x14ac:dyDescent="0.25">
      <c r="A60" t="s">
        <v>903</v>
      </c>
      <c r="B60">
        <v>0</v>
      </c>
    </row>
    <row r="61" spans="1:2" x14ac:dyDescent="0.25">
      <c r="A61" t="s">
        <v>904</v>
      </c>
      <c r="B61">
        <v>0</v>
      </c>
    </row>
    <row r="62" spans="1:2" x14ac:dyDescent="0.25">
      <c r="A62" t="s">
        <v>905</v>
      </c>
      <c r="B62">
        <v>-1</v>
      </c>
    </row>
    <row r="63" spans="1:2" x14ac:dyDescent="0.25">
      <c r="A63" t="s">
        <v>906</v>
      </c>
      <c r="B63">
        <v>13</v>
      </c>
    </row>
    <row r="64" spans="1:2" x14ac:dyDescent="0.25">
      <c r="A64" t="s">
        <v>907</v>
      </c>
    </row>
    <row r="65" spans="1:2" x14ac:dyDescent="0.25">
      <c r="A65" t="s">
        <v>908</v>
      </c>
    </row>
    <row r="66" spans="1:2" x14ac:dyDescent="0.25">
      <c r="A66" t="s">
        <v>909</v>
      </c>
    </row>
    <row r="67" spans="1:2" x14ac:dyDescent="0.25">
      <c r="A67" t="s">
        <v>910</v>
      </c>
    </row>
    <row r="68" spans="1:2" x14ac:dyDescent="0.25">
      <c r="A68" t="s">
        <v>911</v>
      </c>
    </row>
    <row r="69" spans="1:2" x14ac:dyDescent="0.25">
      <c r="A69" t="s">
        <v>912</v>
      </c>
    </row>
    <row r="70" spans="1:2" x14ac:dyDescent="0.25">
      <c r="A70" t="s">
        <v>913</v>
      </c>
    </row>
    <row r="71" spans="1:2" x14ac:dyDescent="0.25">
      <c r="A71" t="s">
        <v>914</v>
      </c>
    </row>
    <row r="72" spans="1:2" x14ac:dyDescent="0.25">
      <c r="A72" t="s">
        <v>915</v>
      </c>
    </row>
    <row r="73" spans="1:2" x14ac:dyDescent="0.25">
      <c r="A73" t="s">
        <v>916</v>
      </c>
    </row>
    <row r="74" spans="1:2" x14ac:dyDescent="0.25">
      <c r="A74" t="s">
        <v>917</v>
      </c>
    </row>
    <row r="75" spans="1:2" x14ac:dyDescent="0.25">
      <c r="A75" t="s">
        <v>918</v>
      </c>
      <c r="B75">
        <v>0</v>
      </c>
    </row>
    <row r="76" spans="1:2" x14ac:dyDescent="0.25">
      <c r="A76" t="s">
        <v>2</v>
      </c>
      <c r="B76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1796-3492-4C4F-BE9A-E7E3EC59EA82}">
  <sheetPr codeName="Sheet6"/>
  <dimension ref="A1:C37"/>
  <sheetViews>
    <sheetView workbookViewId="0">
      <selection activeCell="A24" sqref="A24"/>
    </sheetView>
  </sheetViews>
  <sheetFormatPr defaultRowHeight="15" x14ac:dyDescent="0.25"/>
  <cols>
    <col min="3" max="3" width="14.140625" customWidth="1"/>
  </cols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>
        <v>44</v>
      </c>
      <c r="B2">
        <v>240</v>
      </c>
      <c r="C2">
        <v>37</v>
      </c>
    </row>
    <row r="3" spans="1:3" x14ac:dyDescent="0.25">
      <c r="A3">
        <v>289</v>
      </c>
      <c r="B3">
        <v>55</v>
      </c>
      <c r="C3">
        <v>24</v>
      </c>
    </row>
    <row r="4" spans="1:3" x14ac:dyDescent="0.25">
      <c r="A4">
        <v>169</v>
      </c>
      <c r="B4">
        <v>68</v>
      </c>
      <c r="C4">
        <v>62</v>
      </c>
    </row>
    <row r="5" spans="1:3" x14ac:dyDescent="0.25">
      <c r="A5">
        <v>13</v>
      </c>
      <c r="B5">
        <v>327</v>
      </c>
      <c r="C5">
        <v>30</v>
      </c>
    </row>
    <row r="6" spans="1:3" x14ac:dyDescent="0.25">
      <c r="A6">
        <v>17</v>
      </c>
    </row>
    <row r="7" spans="1:3" x14ac:dyDescent="0.25">
      <c r="B7">
        <v>83</v>
      </c>
    </row>
    <row r="8" spans="1:3" x14ac:dyDescent="0.25">
      <c r="C8">
        <v>45</v>
      </c>
    </row>
    <row r="9" spans="1:3" x14ac:dyDescent="0.25">
      <c r="A9">
        <v>124</v>
      </c>
      <c r="B9">
        <v>306</v>
      </c>
    </row>
    <row r="10" spans="1:3" x14ac:dyDescent="0.25">
      <c r="A10">
        <v>126</v>
      </c>
      <c r="B10">
        <v>192</v>
      </c>
    </row>
    <row r="11" spans="1:3" x14ac:dyDescent="0.25">
      <c r="B11">
        <v>260</v>
      </c>
      <c r="C11">
        <v>16</v>
      </c>
    </row>
    <row r="12" spans="1:3" x14ac:dyDescent="0.25">
      <c r="A12">
        <v>253</v>
      </c>
      <c r="C12">
        <v>15</v>
      </c>
    </row>
    <row r="13" spans="1:3" x14ac:dyDescent="0.25">
      <c r="A13">
        <v>95</v>
      </c>
      <c r="B13">
        <v>161</v>
      </c>
      <c r="C13">
        <v>41</v>
      </c>
    </row>
    <row r="15" spans="1:3" x14ac:dyDescent="0.25">
      <c r="A15">
        <v>198</v>
      </c>
      <c r="C15">
        <v>43</v>
      </c>
    </row>
    <row r="17" spans="1:3" x14ac:dyDescent="0.25">
      <c r="A17">
        <v>160</v>
      </c>
    </row>
    <row r="18" spans="1:3" x14ac:dyDescent="0.25">
      <c r="C18">
        <v>21</v>
      </c>
    </row>
    <row r="19" spans="1:3" x14ac:dyDescent="0.25">
      <c r="A19">
        <v>34</v>
      </c>
      <c r="C19">
        <v>22</v>
      </c>
    </row>
    <row r="20" spans="1:3" x14ac:dyDescent="0.25">
      <c r="C20">
        <v>23</v>
      </c>
    </row>
    <row r="21" spans="1:3" x14ac:dyDescent="0.25">
      <c r="C21">
        <v>56</v>
      </c>
    </row>
    <row r="22" spans="1:3" x14ac:dyDescent="0.25">
      <c r="A22">
        <v>27</v>
      </c>
      <c r="C22">
        <v>47</v>
      </c>
    </row>
    <row r="23" spans="1:3" x14ac:dyDescent="0.25">
      <c r="A23">
        <v>73</v>
      </c>
      <c r="C23">
        <v>25</v>
      </c>
    </row>
    <row r="24" spans="1:3" x14ac:dyDescent="0.25">
      <c r="A24">
        <v>355</v>
      </c>
    </row>
    <row r="25" spans="1:3" x14ac:dyDescent="0.25">
      <c r="C25">
        <v>29</v>
      </c>
    </row>
    <row r="26" spans="1:3" x14ac:dyDescent="0.25">
      <c r="A26">
        <v>217</v>
      </c>
    </row>
    <row r="27" spans="1:3" x14ac:dyDescent="0.25">
      <c r="A27">
        <v>84</v>
      </c>
      <c r="C27">
        <v>27</v>
      </c>
    </row>
    <row r="28" spans="1:3" x14ac:dyDescent="0.25">
      <c r="A28">
        <v>346</v>
      </c>
      <c r="C28">
        <v>19</v>
      </c>
    </row>
    <row r="29" spans="1:3" x14ac:dyDescent="0.25">
      <c r="C29">
        <v>63</v>
      </c>
    </row>
    <row r="30" spans="1:3" x14ac:dyDescent="0.25">
      <c r="A30">
        <v>229</v>
      </c>
      <c r="C30">
        <v>38</v>
      </c>
    </row>
    <row r="33" spans="1:1" x14ac:dyDescent="0.25">
      <c r="A33">
        <v>14</v>
      </c>
    </row>
    <row r="34" spans="1:1" x14ac:dyDescent="0.25">
      <c r="A34">
        <v>294</v>
      </c>
    </row>
    <row r="35" spans="1:1" x14ac:dyDescent="0.25">
      <c r="A35">
        <v>342</v>
      </c>
    </row>
    <row r="36" spans="1:1" x14ac:dyDescent="0.25">
      <c r="A36">
        <v>40</v>
      </c>
    </row>
    <row r="37" spans="1:1" x14ac:dyDescent="0.25">
      <c r="A37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B7732-2C5D-4615-A8F2-7F5F17CDE41D}">
  <sheetPr codeName="Sheet7"/>
  <dimension ref="A1:O39"/>
  <sheetViews>
    <sheetView workbookViewId="0">
      <selection sqref="A1:F39"/>
    </sheetView>
  </sheetViews>
  <sheetFormatPr defaultRowHeight="15" x14ac:dyDescent="0.25"/>
  <cols>
    <col min="1" max="1" width="49.28515625" style="8" bestFit="1" customWidth="1"/>
    <col min="2" max="2" width="11.28515625" bestFit="1" customWidth="1"/>
    <col min="3" max="3" width="10.5703125" bestFit="1" customWidth="1"/>
    <col min="5" max="5" width="14.28515625" customWidth="1"/>
    <col min="6" max="6" width="12" bestFit="1" customWidth="1"/>
  </cols>
  <sheetData>
    <row r="1" spans="1:6" ht="15.75" thickBot="1" x14ac:dyDescent="0.3">
      <c r="B1" s="31" t="s">
        <v>11</v>
      </c>
      <c r="C1" s="33">
        <f>SUM(Sales!M38:M41)</f>
        <v>1043</v>
      </c>
      <c r="D1" s="30"/>
      <c r="E1" s="31" t="s">
        <v>12</v>
      </c>
      <c r="F1" s="34">
        <f>SUM(Sales!R20:R23)</f>
        <v>1071.7726947467941</v>
      </c>
    </row>
    <row r="2" spans="1:6" x14ac:dyDescent="0.25">
      <c r="B2" s="30"/>
      <c r="C2" s="30"/>
      <c r="D2" s="30"/>
      <c r="E2" s="30"/>
      <c r="F2" s="30"/>
    </row>
    <row r="3" spans="1:6" x14ac:dyDescent="0.25">
      <c r="A3" s="23" t="s">
        <v>13</v>
      </c>
      <c r="B3" s="29"/>
      <c r="C3" s="32" t="s">
        <v>14</v>
      </c>
      <c r="D3" s="30"/>
      <c r="E3" s="30"/>
      <c r="F3" s="30"/>
    </row>
    <row r="4" spans="1:6" x14ac:dyDescent="0.25">
      <c r="A4" s="24" t="s">
        <v>15</v>
      </c>
      <c r="B4" s="35" cm="1">
        <f t="array" ref="B4">INDEX(BalData!$B$1:$B$392,Index!A2)</f>
        <v>209</v>
      </c>
      <c r="C4" s="36">
        <f>B4/$C$1</f>
        <v>0.20038350910834132</v>
      </c>
      <c r="D4" s="37"/>
      <c r="E4" s="37"/>
      <c r="F4" s="38">
        <f>$F$1*C4</f>
        <v>214.76557353986573</v>
      </c>
    </row>
    <row r="5" spans="1:6" x14ac:dyDescent="0.25">
      <c r="A5" s="24" t="s">
        <v>16</v>
      </c>
      <c r="B5" s="35" cm="1">
        <f t="array" ref="B5">INDEX(BalData!$B$1:$B$392,Index!A3)</f>
        <v>145</v>
      </c>
      <c r="C5" s="36">
        <f t="shared" ref="C5:C39" si="0">B5/$C$1</f>
        <v>0.13902205177372962</v>
      </c>
      <c r="D5" s="37"/>
      <c r="E5" s="37"/>
      <c r="F5" s="38">
        <f t="shared" ref="F5:F8" si="1">$F$1*C5</f>
        <v>149.00003905875852</v>
      </c>
    </row>
    <row r="6" spans="1:6" x14ac:dyDescent="0.25">
      <c r="A6" s="24" t="s">
        <v>17</v>
      </c>
      <c r="B6" s="35" cm="1">
        <f t="array" ref="B6">INDEX(BalData!$B$1:$B$392,Index!A4)</f>
        <v>219</v>
      </c>
      <c r="C6" s="36">
        <f t="shared" si="0"/>
        <v>0.20997123681687441</v>
      </c>
      <c r="D6" s="37"/>
      <c r="E6" s="37"/>
      <c r="F6" s="38">
        <f t="shared" si="1"/>
        <v>225.04143830253875</v>
      </c>
    </row>
    <row r="7" spans="1:6" x14ac:dyDescent="0.25">
      <c r="A7" s="24" t="s">
        <v>18</v>
      </c>
      <c r="B7" s="35" cm="1">
        <f t="array" ref="B7">INDEX(BalData!$B$1:$B$392,Index!A5)</f>
        <v>22</v>
      </c>
      <c r="C7" s="36">
        <f t="shared" si="0"/>
        <v>2.109300095877277E-2</v>
      </c>
      <c r="D7" s="37"/>
      <c r="E7" s="37"/>
      <c r="F7" s="38">
        <f t="shared" si="1"/>
        <v>22.606902477880602</v>
      </c>
    </row>
    <row r="8" spans="1:6" x14ac:dyDescent="0.25">
      <c r="A8" s="23" t="s">
        <v>19</v>
      </c>
      <c r="B8" s="35" cm="1">
        <f t="array" ref="B8">INDEX(BalData!$B$1:$B$392,Index!A6)</f>
        <v>595</v>
      </c>
      <c r="C8" s="36">
        <f t="shared" si="0"/>
        <v>0.57046979865771807</v>
      </c>
      <c r="D8" s="39"/>
      <c r="E8" s="37"/>
      <c r="F8" s="38">
        <f t="shared" si="1"/>
        <v>611.41395337904351</v>
      </c>
    </row>
    <row r="9" spans="1:6" x14ac:dyDescent="0.25">
      <c r="B9" s="40"/>
      <c r="C9" s="41"/>
      <c r="D9" s="37"/>
      <c r="E9" s="37"/>
      <c r="F9" s="37"/>
    </row>
    <row r="10" spans="1:6" x14ac:dyDescent="0.25">
      <c r="A10" s="23" t="s">
        <v>20</v>
      </c>
      <c r="B10" s="42"/>
      <c r="C10" s="43"/>
      <c r="D10" s="37"/>
      <c r="E10" s="37"/>
      <c r="F10" s="37"/>
    </row>
    <row r="11" spans="1:6" x14ac:dyDescent="0.25">
      <c r="A11" s="24" t="s">
        <v>21</v>
      </c>
      <c r="B11" s="35" cm="1">
        <f t="array" ref="B11">INDEX(BalData!$B$1:$B$392,Index!A9)</f>
        <v>137</v>
      </c>
      <c r="C11" s="36">
        <f t="shared" si="0"/>
        <v>0.13135186960690318</v>
      </c>
      <c r="D11" s="37"/>
      <c r="E11" s="37"/>
      <c r="F11" s="38">
        <f t="shared" ref="F11:F21" si="2">$F$1*C11</f>
        <v>140.77934724862013</v>
      </c>
    </row>
    <row r="12" spans="1:6" x14ac:dyDescent="0.25">
      <c r="A12" s="24" t="s">
        <v>22</v>
      </c>
      <c r="B12" s="35" cm="1">
        <f t="array" ref="B12">INDEX(BalData!$B$1:$B$392,Index!A10)</f>
        <v>434</v>
      </c>
      <c r="C12" s="36">
        <f t="shared" si="0"/>
        <v>0.41610738255033558</v>
      </c>
      <c r="D12" s="37"/>
      <c r="E12" s="37"/>
      <c r="F12" s="38">
        <f t="shared" si="2"/>
        <v>445.97253070000829</v>
      </c>
    </row>
    <row r="13" spans="1:6" x14ac:dyDescent="0.25">
      <c r="A13" s="24" t="s">
        <v>23</v>
      </c>
      <c r="B13" s="35">
        <f>B14-SUM(B11:B12)</f>
        <v>127</v>
      </c>
      <c r="C13" s="36">
        <f t="shared" si="0"/>
        <v>0.12176414189837009</v>
      </c>
      <c r="D13" s="37"/>
      <c r="E13" s="37"/>
      <c r="F13" s="38">
        <f t="shared" si="2"/>
        <v>130.50348248594713</v>
      </c>
    </row>
    <row r="14" spans="1:6" x14ac:dyDescent="0.25">
      <c r="A14" s="24" t="s">
        <v>24</v>
      </c>
      <c r="B14" s="35" cm="1">
        <f t="array" ref="B14">INDEX(BalData!$B$1:$B$392,Index!A12)</f>
        <v>698</v>
      </c>
      <c r="C14" s="36">
        <f t="shared" si="0"/>
        <v>0.66922339405560882</v>
      </c>
      <c r="D14" s="37"/>
      <c r="E14" s="37"/>
      <c r="F14" s="38">
        <f t="shared" si="2"/>
        <v>717.25536043457555</v>
      </c>
    </row>
    <row r="15" spans="1:6" x14ac:dyDescent="0.25">
      <c r="A15" s="24" t="s">
        <v>25</v>
      </c>
      <c r="B15" s="35" cm="1">
        <f t="array" ref="B15">INDEX(BalData!$B$1:$B$392,Index!A13)</f>
        <v>482</v>
      </c>
      <c r="C15" s="36">
        <f t="shared" si="0"/>
        <v>0.46212847555129433</v>
      </c>
      <c r="D15" s="37"/>
      <c r="E15" s="37"/>
      <c r="F15" s="38">
        <f t="shared" si="2"/>
        <v>495.29668156083864</v>
      </c>
    </row>
    <row r="16" spans="1:6" x14ac:dyDescent="0.25">
      <c r="A16" s="24" t="s">
        <v>26</v>
      </c>
      <c r="B16" s="35">
        <f>B14-B15</f>
        <v>216</v>
      </c>
      <c r="C16" s="36">
        <f t="shared" si="0"/>
        <v>0.20709491850431447</v>
      </c>
      <c r="D16" s="37"/>
      <c r="E16" s="37"/>
      <c r="F16" s="38">
        <f t="shared" si="2"/>
        <v>221.95867887373683</v>
      </c>
    </row>
    <row r="17" spans="1:15" x14ac:dyDescent="0.25">
      <c r="A17" s="24" t="s">
        <v>27</v>
      </c>
      <c r="B17" s="35" cm="1">
        <f t="array" ref="B17">INDEX(BalData!$B$1:$B$392,Index!A15)</f>
        <v>0</v>
      </c>
      <c r="C17" s="36">
        <f t="shared" si="0"/>
        <v>0</v>
      </c>
      <c r="D17" s="37"/>
      <c r="E17" s="37"/>
      <c r="F17" s="38">
        <f t="shared" si="2"/>
        <v>0</v>
      </c>
      <c r="I17" s="5">
        <f>SUM(B11:B17)</f>
        <v>2094</v>
      </c>
      <c r="O17">
        <v>9234</v>
      </c>
    </row>
    <row r="18" spans="1:15" x14ac:dyDescent="0.25">
      <c r="B18" s="44"/>
      <c r="C18" s="45"/>
      <c r="D18" s="37"/>
      <c r="E18" s="37"/>
      <c r="F18" s="37"/>
      <c r="O18">
        <v>11247</v>
      </c>
    </row>
    <row r="19" spans="1:15" x14ac:dyDescent="0.25">
      <c r="A19" s="24" t="s">
        <v>28</v>
      </c>
      <c r="B19" s="35" cm="1">
        <f t="array" ref="B19">INDEX(BalData!$B$1:$B$392,Index!A17)</f>
        <v>32</v>
      </c>
      <c r="C19" s="36">
        <f t="shared" si="0"/>
        <v>3.0680728667305847E-2</v>
      </c>
      <c r="D19" s="37"/>
      <c r="E19" s="37"/>
      <c r="F19" s="38">
        <f t="shared" si="2"/>
        <v>32.882767240553605</v>
      </c>
      <c r="O19">
        <f>SUM(O17:O18)</f>
        <v>20481</v>
      </c>
    </row>
    <row r="20" spans="1:15" x14ac:dyDescent="0.25">
      <c r="A20" s="24" t="s">
        <v>29</v>
      </c>
      <c r="B20" s="35">
        <f>B21-SUM(B16:B19)</f>
        <v>1753</v>
      </c>
      <c r="C20" s="36">
        <f t="shared" si="0"/>
        <v>1.6807286673058486</v>
      </c>
      <c r="D20" s="37"/>
      <c r="E20" s="37"/>
      <c r="F20" s="38">
        <f t="shared" si="2"/>
        <v>1801.3590928965773</v>
      </c>
    </row>
    <row r="21" spans="1:15" x14ac:dyDescent="0.25">
      <c r="A21" s="23" t="s">
        <v>30</v>
      </c>
      <c r="B21" s="35" cm="1">
        <f t="array" ref="B21">INDEX(BalData!$B$1:$B$392,Index!A19)</f>
        <v>2001</v>
      </c>
      <c r="C21" s="36">
        <f t="shared" si="0"/>
        <v>1.9185043144774689</v>
      </c>
      <c r="D21" s="37"/>
      <c r="E21" s="37"/>
      <c r="F21" s="38">
        <f t="shared" si="2"/>
        <v>2056.2005390108675</v>
      </c>
    </row>
    <row r="22" spans="1:15" x14ac:dyDescent="0.25">
      <c r="B22" s="40"/>
      <c r="C22" s="41"/>
      <c r="D22" s="37"/>
      <c r="E22" s="37"/>
      <c r="F22" s="37"/>
    </row>
    <row r="23" spans="1:15" x14ac:dyDescent="0.25">
      <c r="A23" s="23" t="s">
        <v>31</v>
      </c>
      <c r="B23" s="42"/>
      <c r="C23" s="43"/>
      <c r="D23" s="37"/>
      <c r="E23" s="37"/>
      <c r="F23" s="37"/>
    </row>
    <row r="24" spans="1:15" x14ac:dyDescent="0.25">
      <c r="A24" s="24" t="s">
        <v>32</v>
      </c>
      <c r="B24" s="35" cm="1">
        <f t="array" ref="B24">INDEX(BalData!$B$1:$B$392,Index!A22)</f>
        <v>120</v>
      </c>
      <c r="C24" s="36">
        <f t="shared" si="0"/>
        <v>0.11505273250239693</v>
      </c>
      <c r="D24" s="37"/>
      <c r="E24" s="37"/>
      <c r="F24" s="38">
        <f t="shared" ref="F24:F39" si="3">$F$1*C24</f>
        <v>123.31037715207601</v>
      </c>
    </row>
    <row r="25" spans="1:15" x14ac:dyDescent="0.25">
      <c r="A25" s="24" t="s">
        <v>33</v>
      </c>
      <c r="B25" s="35" cm="1">
        <f t="array" ref="B25">INDEX(BalData!$B$1:$B$392,Index!A23)</f>
        <v>12</v>
      </c>
      <c r="C25" s="36">
        <f t="shared" si="0"/>
        <v>1.1505273250239693E-2</v>
      </c>
      <c r="D25" s="37"/>
      <c r="E25" s="37"/>
      <c r="F25" s="38">
        <f t="shared" si="3"/>
        <v>12.331037715207602</v>
      </c>
    </row>
    <row r="26" spans="1:15" x14ac:dyDescent="0.25">
      <c r="A26" s="24" t="s">
        <v>34</v>
      </c>
      <c r="B26" s="35" cm="1">
        <f t="array" ref="B26">INDEX(BalData!$B$1:$B$392,Index!A24)</f>
        <v>0</v>
      </c>
      <c r="C26" s="36">
        <f t="shared" si="0"/>
        <v>0</v>
      </c>
      <c r="D26" s="37"/>
      <c r="E26" s="37"/>
      <c r="F26" s="38">
        <f t="shared" si="3"/>
        <v>0</v>
      </c>
    </row>
    <row r="27" spans="1:15" x14ac:dyDescent="0.25">
      <c r="A27" s="24" t="s">
        <v>35</v>
      </c>
      <c r="B27" s="35">
        <f>B28-SUM(B24:B26)</f>
        <v>129</v>
      </c>
      <c r="C27" s="36">
        <f t="shared" si="0"/>
        <v>0.1236816874400767</v>
      </c>
      <c r="D27" s="37"/>
      <c r="E27" s="37"/>
      <c r="F27" s="38">
        <f t="shared" si="3"/>
        <v>132.55865543848171</v>
      </c>
    </row>
    <row r="28" spans="1:15" x14ac:dyDescent="0.25">
      <c r="A28" s="24" t="s">
        <v>36</v>
      </c>
      <c r="B28" s="35" cm="1">
        <f t="array" ref="B28">INDEX(BalData!$B$1:$B$392,Index!A26)</f>
        <v>261</v>
      </c>
      <c r="C28" s="36">
        <f t="shared" si="0"/>
        <v>0.25023969319271333</v>
      </c>
      <c r="D28" s="37"/>
      <c r="E28" s="37"/>
      <c r="F28" s="38">
        <f t="shared" si="3"/>
        <v>268.20007030576534</v>
      </c>
    </row>
    <row r="29" spans="1:15" x14ac:dyDescent="0.25">
      <c r="A29" s="24" t="s">
        <v>37</v>
      </c>
      <c r="B29" s="35" cm="1">
        <f t="array" ref="B29">INDEX(BalData!$B$1:$B$392,Index!A27)</f>
        <v>487</v>
      </c>
      <c r="C29" s="36">
        <f t="shared" si="0"/>
        <v>0.46692233940556088</v>
      </c>
      <c r="D29" s="37"/>
      <c r="E29" s="37"/>
      <c r="F29" s="38">
        <f t="shared" si="3"/>
        <v>500.43461394217519</v>
      </c>
    </row>
    <row r="30" spans="1:15" x14ac:dyDescent="0.25">
      <c r="A30" s="24" t="s">
        <v>38</v>
      </c>
      <c r="B30" s="35" cm="1">
        <f t="array" ref="B30">INDEX(BalData!$B$1:$B$392,Index!A28)</f>
        <v>24</v>
      </c>
      <c r="C30" s="36">
        <f t="shared" si="0"/>
        <v>2.3010546500479387E-2</v>
      </c>
      <c r="D30" s="37"/>
      <c r="E30" s="37"/>
      <c r="F30" s="38">
        <f t="shared" si="3"/>
        <v>24.662075430415204</v>
      </c>
    </row>
    <row r="31" spans="1:15" x14ac:dyDescent="0.25">
      <c r="A31" s="24" t="s">
        <v>39</v>
      </c>
      <c r="B31" s="35">
        <f>B32-SUM(B24:B30)</f>
        <v>109</v>
      </c>
      <c r="C31" s="36">
        <f t="shared" si="0"/>
        <v>0.10450623202301054</v>
      </c>
      <c r="D31" s="37"/>
      <c r="E31" s="37"/>
      <c r="F31" s="38">
        <f t="shared" si="3"/>
        <v>112.00692591313572</v>
      </c>
    </row>
    <row r="32" spans="1:15" x14ac:dyDescent="0.25">
      <c r="A32" s="24" t="s">
        <v>40</v>
      </c>
      <c r="B32" s="35" cm="1">
        <f t="array" ref="B32">INDEX(BalData!$B$1:$B$392,Index!A30)</f>
        <v>1142</v>
      </c>
      <c r="C32" s="36">
        <f t="shared" si="0"/>
        <v>1.0949185043144776</v>
      </c>
      <c r="D32" s="37"/>
      <c r="E32" s="37"/>
      <c r="F32" s="38">
        <f t="shared" si="3"/>
        <v>1173.503755897257</v>
      </c>
    </row>
    <row r="33" spans="1:6" x14ac:dyDescent="0.25">
      <c r="A33" s="23" t="s">
        <v>41</v>
      </c>
      <c r="B33" s="35"/>
      <c r="C33" s="36"/>
      <c r="D33" s="37"/>
      <c r="E33" s="37"/>
      <c r="F33" s="37"/>
    </row>
    <row r="34" spans="1:6" x14ac:dyDescent="0.25">
      <c r="A34" s="24" t="s">
        <v>42</v>
      </c>
      <c r="B34" s="35">
        <f>B39-SUM(B35:B38)</f>
        <v>1869</v>
      </c>
      <c r="C34" s="36">
        <f t="shared" si="0"/>
        <v>1.7919463087248322</v>
      </c>
      <c r="D34" s="37"/>
      <c r="E34" s="37"/>
      <c r="F34" s="38">
        <f t="shared" si="3"/>
        <v>1920.5591241435839</v>
      </c>
    </row>
    <row r="35" spans="1:6" x14ac:dyDescent="0.25">
      <c r="A35" s="24" t="s">
        <v>43</v>
      </c>
      <c r="B35" s="35" cm="1">
        <f t="array" ref="B35">INDEX(BalData!$B$1:$B$392,Index!A33)</f>
        <v>-104</v>
      </c>
      <c r="C35" s="36">
        <f t="shared" si="0"/>
        <v>-9.9712368168744014E-2</v>
      </c>
      <c r="D35" s="37"/>
      <c r="E35" s="37"/>
      <c r="F35" s="38">
        <f t="shared" si="3"/>
        <v>-106.86899353179922</v>
      </c>
    </row>
    <row r="36" spans="1:6" x14ac:dyDescent="0.25">
      <c r="A36" s="24" t="s">
        <v>44</v>
      </c>
      <c r="B36" s="35" cm="1">
        <f t="array" ref="B36">INDEX(BalData!$B$1:$B$392,Index!A34)</f>
        <v>-393</v>
      </c>
      <c r="C36" s="36">
        <f t="shared" si="0"/>
        <v>-0.37679769894534998</v>
      </c>
      <c r="D36" s="37"/>
      <c r="E36" s="37"/>
      <c r="F36" s="38">
        <f t="shared" si="3"/>
        <v>-403.84148517304897</v>
      </c>
    </row>
    <row r="37" spans="1:6" x14ac:dyDescent="0.25">
      <c r="A37" s="24" t="s">
        <v>45</v>
      </c>
      <c r="B37" s="35" cm="1">
        <f t="array" ref="B37">-INDEX(BalData!$B$1:$B$392,Index!A35)</f>
        <v>-12</v>
      </c>
      <c r="C37" s="36">
        <f t="shared" si="0"/>
        <v>-1.1505273250239693E-2</v>
      </c>
      <c r="D37" s="37"/>
      <c r="E37" s="37"/>
      <c r="F37" s="38">
        <f t="shared" si="3"/>
        <v>-12.331037715207602</v>
      </c>
    </row>
    <row r="38" spans="1:6" x14ac:dyDescent="0.25">
      <c r="A38" s="24" t="s">
        <v>46</v>
      </c>
      <c r="B38" s="35" cm="1">
        <f t="array" ref="B38">INDEX(BalData!$B$1:$B$392,Index!A36)</f>
        <v>641</v>
      </c>
      <c r="C38" s="36">
        <f t="shared" si="0"/>
        <v>0.61457334611697023</v>
      </c>
      <c r="D38" s="37"/>
      <c r="E38" s="37"/>
      <c r="F38" s="38">
        <f t="shared" si="3"/>
        <v>658.68293128733933</v>
      </c>
    </row>
    <row r="39" spans="1:6" x14ac:dyDescent="0.25">
      <c r="A39" s="23" t="s">
        <v>47</v>
      </c>
      <c r="B39" s="35" cm="1">
        <f t="array" ref="B39">INDEX(BalData!$B$1:$B$392,Index!A37)</f>
        <v>2001</v>
      </c>
      <c r="C39" s="36">
        <f t="shared" si="0"/>
        <v>1.9185043144774689</v>
      </c>
      <c r="D39" s="37"/>
      <c r="E39" s="37"/>
      <c r="F39" s="38">
        <f t="shared" si="3"/>
        <v>2056.2005390108675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6F423-EA9C-4839-ACE3-F6DC96511A16}">
  <sheetPr codeName="Sheet8"/>
  <dimension ref="A1:H14"/>
  <sheetViews>
    <sheetView topLeftCell="I1" workbookViewId="0">
      <selection activeCell="T19" sqref="T19:U19"/>
    </sheetView>
  </sheetViews>
  <sheetFormatPr defaultRowHeight="15" x14ac:dyDescent="0.25"/>
  <cols>
    <col min="1" max="1" width="39.28515625" style="30" bestFit="1" customWidth="1"/>
    <col min="2" max="2" width="10.5703125" bestFit="1" customWidth="1"/>
    <col min="4" max="4" width="14.42578125" customWidth="1"/>
    <col min="5" max="5" width="9.5703125" bestFit="1" customWidth="1"/>
  </cols>
  <sheetData>
    <row r="1" spans="1:8" ht="15.75" thickBot="1" x14ac:dyDescent="0.3">
      <c r="D1" s="31" t="s">
        <v>48</v>
      </c>
      <c r="E1" s="6">
        <f>Sales!R20</f>
        <v>243.75870295696754</v>
      </c>
    </row>
    <row r="2" spans="1:8" x14ac:dyDescent="0.25">
      <c r="A2" s="46"/>
      <c r="B2" s="7"/>
      <c r="C2" s="32" t="s">
        <v>14</v>
      </c>
      <c r="E2" s="3"/>
    </row>
    <row r="3" spans="1:8" x14ac:dyDescent="0.25">
      <c r="A3" s="32" t="s">
        <v>49</v>
      </c>
      <c r="B3" s="35" cm="1">
        <f t="array" ref="B3">INDEX(IncomeData!$B$1:$B$338,Index!B2)</f>
        <v>1043</v>
      </c>
      <c r="C3" s="36">
        <f>B3/$B$3</f>
        <v>1</v>
      </c>
      <c r="D3" s="37"/>
      <c r="E3" s="35">
        <f>$E$1*C3</f>
        <v>243.75870295696754</v>
      </c>
    </row>
    <row r="4" spans="1:8" x14ac:dyDescent="0.25">
      <c r="A4" s="29" t="s">
        <v>50</v>
      </c>
      <c r="B4" s="35" cm="1">
        <f t="array" ref="B4">INDEX(IncomeData!$B$1:$B$338,Index!B3)</f>
        <v>812</v>
      </c>
      <c r="C4" s="36">
        <f t="shared" ref="C4:C14" si="0">B4/$B$3</f>
        <v>0.77852348993288589</v>
      </c>
      <c r="D4" s="37"/>
      <c r="E4" s="35">
        <f t="shared" ref="E4:E14" si="1">$E$1*C4</f>
        <v>189.77187612757203</v>
      </c>
    </row>
    <row r="5" spans="1:8" x14ac:dyDescent="0.25">
      <c r="A5" s="29" t="s">
        <v>51</v>
      </c>
      <c r="B5" s="35" cm="1">
        <f t="array" ref="B5">INDEX(IncomeData!$B$1:$B$338,Index!B4)</f>
        <v>28</v>
      </c>
      <c r="C5" s="36">
        <f t="shared" si="0"/>
        <v>2.6845637583892617E-2</v>
      </c>
      <c r="D5" s="37"/>
      <c r="E5" s="35">
        <f t="shared" si="1"/>
        <v>6.5438577975024845</v>
      </c>
    </row>
    <row r="6" spans="1:8" x14ac:dyDescent="0.25">
      <c r="A6" s="29" t="s">
        <v>52</v>
      </c>
      <c r="B6" s="47">
        <f>B3-SUM(B4:B5,B7:B8)</f>
        <v>0</v>
      </c>
      <c r="C6" s="36">
        <f t="shared" si="0"/>
        <v>0</v>
      </c>
      <c r="D6" s="37"/>
      <c r="E6" s="35">
        <f t="shared" si="1"/>
        <v>0</v>
      </c>
    </row>
    <row r="7" spans="1:8" x14ac:dyDescent="0.25">
      <c r="A7" s="29" t="s">
        <v>53</v>
      </c>
      <c r="B7" s="35" cm="1">
        <f t="array" ref="B7">INDEX(IncomeData!$B$1:$B$338,Index!B5)</f>
        <v>212</v>
      </c>
      <c r="C7" s="36">
        <f t="shared" si="0"/>
        <v>0.20325982742090123</v>
      </c>
      <c r="D7" s="37"/>
      <c r="E7" s="35">
        <f t="shared" si="1"/>
        <v>49.546351895375949</v>
      </c>
    </row>
    <row r="8" spans="1:8" x14ac:dyDescent="0.25">
      <c r="A8" s="32" t="s">
        <v>54</v>
      </c>
      <c r="B8" s="35" cm="1">
        <f t="array" ref="B8">INDEX(IncomeData!$B$1:$B$338,Index!B7)</f>
        <v>-9</v>
      </c>
      <c r="C8" s="36">
        <f t="shared" si="0"/>
        <v>-8.6289549376797701E-3</v>
      </c>
      <c r="D8" s="37"/>
      <c r="E8" s="35">
        <f t="shared" si="1"/>
        <v>-2.1033828634829415</v>
      </c>
    </row>
    <row r="9" spans="1:8" x14ac:dyDescent="0.25">
      <c r="A9" s="29" t="s">
        <v>55</v>
      </c>
      <c r="B9" s="35">
        <f>B11-(B8-B10)</f>
        <v>178</v>
      </c>
      <c r="C9" s="36">
        <f t="shared" si="0"/>
        <v>0.17066155321188878</v>
      </c>
      <c r="D9" s="37"/>
      <c r="E9" s="35">
        <f t="shared" si="1"/>
        <v>41.600238855551503</v>
      </c>
      <c r="H9" t="s">
        <v>919</v>
      </c>
    </row>
    <row r="10" spans="1:8" x14ac:dyDescent="0.25">
      <c r="A10" s="29" t="s">
        <v>56</v>
      </c>
      <c r="B10" s="35" cm="1">
        <f t="array" ref="B10">INDEX(IncomeData!$B$1:$B$338,Index!B9)</f>
        <v>59</v>
      </c>
      <c r="C10" s="36">
        <f t="shared" si="0"/>
        <v>5.6567593480345159E-2</v>
      </c>
      <c r="D10" s="37"/>
      <c r="E10" s="35">
        <f t="shared" si="1"/>
        <v>13.788843216165949</v>
      </c>
    </row>
    <row r="11" spans="1:8" x14ac:dyDescent="0.25">
      <c r="A11" s="32" t="s">
        <v>57</v>
      </c>
      <c r="B11" s="35" cm="1">
        <f t="array" ref="B11">INDEX(IncomeData!$B$1:$B$338,Index!B10)</f>
        <v>110</v>
      </c>
      <c r="C11" s="36">
        <f t="shared" si="0"/>
        <v>0.10546500479386385</v>
      </c>
      <c r="D11" s="37"/>
      <c r="E11" s="35">
        <f t="shared" si="1"/>
        <v>25.708012775902617</v>
      </c>
    </row>
    <row r="12" spans="1:8" x14ac:dyDescent="0.25">
      <c r="A12" s="29" t="s">
        <v>58</v>
      </c>
      <c r="B12" s="35" cm="1">
        <f t="array" ref="B12">INDEX(IncomeData!$B$1:$B$338,Index!B11)</f>
        <v>9</v>
      </c>
      <c r="C12" s="36">
        <f t="shared" si="0"/>
        <v>8.6289549376797701E-3</v>
      </c>
      <c r="D12" s="37"/>
      <c r="E12" s="35">
        <f t="shared" si="1"/>
        <v>2.1033828634829415</v>
      </c>
    </row>
    <row r="13" spans="1:8" x14ac:dyDescent="0.25">
      <c r="A13" s="29" t="s">
        <v>59</v>
      </c>
      <c r="B13" s="35">
        <f>B14-(B11-B12)</f>
        <v>1</v>
      </c>
      <c r="C13" s="36">
        <f t="shared" si="0"/>
        <v>9.5877277085330771E-4</v>
      </c>
      <c r="D13" s="37"/>
      <c r="E13" s="35">
        <f t="shared" si="1"/>
        <v>0.23370920705366013</v>
      </c>
    </row>
    <row r="14" spans="1:8" x14ac:dyDescent="0.25">
      <c r="A14" s="32" t="s">
        <v>60</v>
      </c>
      <c r="B14" s="35" cm="1">
        <f t="array" ref="B14">INDEX(IncomeData!$B$1:$B$338,Index!B13)</f>
        <v>102</v>
      </c>
      <c r="C14" s="36">
        <f t="shared" si="0"/>
        <v>9.7794822627037398E-2</v>
      </c>
      <c r="D14" s="37"/>
      <c r="E14" s="35">
        <f t="shared" si="1"/>
        <v>23.838339119473336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AC322-C170-4BA1-B09D-E69FD87D3CA1}">
  <sheetPr codeName="Sheet9"/>
  <dimension ref="A1:E32"/>
  <sheetViews>
    <sheetView workbookViewId="0">
      <selection activeCell="P23" sqref="P23"/>
    </sheetView>
  </sheetViews>
  <sheetFormatPr defaultRowHeight="15" x14ac:dyDescent="0.25"/>
  <cols>
    <col min="1" max="1" width="37.7109375" style="30" bestFit="1" customWidth="1"/>
    <col min="2" max="2" width="9.5703125" bestFit="1" customWidth="1"/>
    <col min="4" max="4" width="13.5703125" bestFit="1" customWidth="1"/>
    <col min="5" max="5" width="9.5703125" bestFit="1" customWidth="1"/>
  </cols>
  <sheetData>
    <row r="1" spans="1:5" ht="15.75" thickBot="1" x14ac:dyDescent="0.3">
      <c r="A1" s="48"/>
      <c r="B1" s="31" t="s">
        <v>11</v>
      </c>
      <c r="C1" s="64">
        <f>BalSheet!C1</f>
        <v>1043</v>
      </c>
      <c r="D1" s="31" t="s">
        <v>48</v>
      </c>
      <c r="E1" s="65">
        <f>IncomeStat!E1</f>
        <v>243.75870295696754</v>
      </c>
    </row>
    <row r="2" spans="1:5" x14ac:dyDescent="0.25">
      <c r="A2" s="49"/>
      <c r="B2" s="66"/>
      <c r="C2" s="26"/>
      <c r="D2" s="26"/>
      <c r="E2" s="10"/>
    </row>
    <row r="3" spans="1:5" x14ac:dyDescent="0.25">
      <c r="A3" s="50" t="s">
        <v>61</v>
      </c>
      <c r="B3" s="25"/>
      <c r="C3" s="24" t="s">
        <v>14</v>
      </c>
      <c r="D3" s="26"/>
      <c r="E3" s="10"/>
    </row>
    <row r="4" spans="1:5" x14ac:dyDescent="0.25">
      <c r="A4" s="51" t="s">
        <v>62</v>
      </c>
      <c r="B4" s="35" cm="1">
        <f t="array" ref="B4">INDEX(CshFlwData!$B$1:$B$76,Index!C2)</f>
        <v>102</v>
      </c>
      <c r="C4" s="36">
        <f>B4/$C$1</f>
        <v>9.7794822627037398E-2</v>
      </c>
      <c r="D4" s="53"/>
      <c r="E4" s="54">
        <f>C4*$E$1</f>
        <v>23.838339119473336</v>
      </c>
    </row>
    <row r="5" spans="1:5" x14ac:dyDescent="0.25">
      <c r="A5" s="51" t="s">
        <v>63</v>
      </c>
      <c r="B5" s="35" cm="1">
        <f t="array" ref="B5">INDEX(CshFlwData!$B$1:$B$76,Index!C3)</f>
        <v>28</v>
      </c>
      <c r="C5" s="36">
        <f>B5/$C$1</f>
        <v>2.6845637583892617E-2</v>
      </c>
      <c r="D5" s="53"/>
      <c r="E5" s="54">
        <f>C5*$E$1</f>
        <v>6.5438577975024845</v>
      </c>
    </row>
    <row r="6" spans="1:5" x14ac:dyDescent="0.25">
      <c r="A6" s="51" t="s">
        <v>64</v>
      </c>
      <c r="B6" s="35" cm="1">
        <f t="array" ref="B6">INDEX(CshFlwData!$B$1:$B$76,Index!C4)</f>
        <v>-1</v>
      </c>
      <c r="C6" s="36">
        <f>B6/$C$1</f>
        <v>-9.5877277085330771E-4</v>
      </c>
      <c r="D6" s="53"/>
      <c r="E6" s="54">
        <f>C6*$E$1</f>
        <v>-0.23370920705366013</v>
      </c>
    </row>
    <row r="7" spans="1:5" x14ac:dyDescent="0.25">
      <c r="A7" s="51" t="s">
        <v>65</v>
      </c>
      <c r="B7" s="35" cm="1">
        <f t="array" ref="B7">INDEX(CshFlwData!$B$1:$B$76,Index!C5)</f>
        <v>-115</v>
      </c>
      <c r="C7" s="36">
        <f>B7/$C$1</f>
        <v>-0.11025886864813039</v>
      </c>
      <c r="D7" s="53"/>
      <c r="E7" s="54">
        <f>C7*$E$1</f>
        <v>-26.876558811170916</v>
      </c>
    </row>
    <row r="8" spans="1:5" x14ac:dyDescent="0.25">
      <c r="A8" s="51" t="s">
        <v>66</v>
      </c>
      <c r="B8" s="47">
        <f>SUM(B4:B7)</f>
        <v>14</v>
      </c>
      <c r="C8" s="36">
        <f>B8/$C$1</f>
        <v>1.3422818791946308E-2</v>
      </c>
      <c r="D8" s="53"/>
      <c r="E8" s="54">
        <f>C8*$E$1</f>
        <v>3.2719288987512423</v>
      </c>
    </row>
    <row r="9" spans="1:5" x14ac:dyDescent="0.25">
      <c r="A9" s="51" t="s">
        <v>67</v>
      </c>
      <c r="B9" s="47">
        <f>B10-B8</f>
        <v>-21</v>
      </c>
      <c r="C9" s="36">
        <f>B9/$C$1</f>
        <v>-2.0134228187919462E-2</v>
      </c>
      <c r="D9" s="53"/>
      <c r="E9" s="54">
        <f>C9*$E$1</f>
        <v>-4.907893348126863</v>
      </c>
    </row>
    <row r="10" spans="1:5" x14ac:dyDescent="0.25">
      <c r="A10" s="51" t="s">
        <v>68</v>
      </c>
      <c r="B10" s="35" cm="1">
        <f t="array" ref="B10">INDEX(CshFlwData!$B$1:$B$76,Index!C8)</f>
        <v>-7</v>
      </c>
      <c r="C10" s="36">
        <f>B10/$C$1</f>
        <v>-6.7114093959731542E-3</v>
      </c>
      <c r="D10" s="53"/>
      <c r="E10" s="54">
        <f>C10*$E$1</f>
        <v>-1.6359644493756211</v>
      </c>
    </row>
    <row r="11" spans="1:5" x14ac:dyDescent="0.25">
      <c r="A11" s="49"/>
      <c r="B11" s="55"/>
      <c r="C11" s="55"/>
      <c r="D11" s="53"/>
      <c r="E11" s="19"/>
    </row>
    <row r="12" spans="1:5" x14ac:dyDescent="0.25">
      <c r="A12" s="50" t="s">
        <v>69</v>
      </c>
      <c r="B12" s="56"/>
      <c r="C12" s="57"/>
      <c r="D12" s="53"/>
      <c r="E12" s="58"/>
    </row>
    <row r="13" spans="1:5" x14ac:dyDescent="0.25">
      <c r="A13" s="51" t="s">
        <v>70</v>
      </c>
      <c r="B13" s="35" cm="1">
        <f t="array" ref="B13">INDEX(CshFlwData!$B$1:$B$76,Index!C11)</f>
        <v>56</v>
      </c>
      <c r="C13" s="36">
        <f>B13/$C$1</f>
        <v>5.3691275167785234E-2</v>
      </c>
      <c r="D13" s="53"/>
      <c r="E13" s="54">
        <f>C13*$E$1</f>
        <v>13.087715595004969</v>
      </c>
    </row>
    <row r="14" spans="1:5" x14ac:dyDescent="0.25">
      <c r="A14" s="51" t="s">
        <v>71</v>
      </c>
      <c r="B14" s="35" cm="1">
        <f t="array" ref="B14">INDEX(CshFlwData!$B$1:$B$76,Index!C12)</f>
        <v>0</v>
      </c>
      <c r="C14" s="36">
        <f>B14/$C$1</f>
        <v>0</v>
      </c>
      <c r="D14" s="53"/>
      <c r="E14" s="54">
        <f>C14*$E$1</f>
        <v>0</v>
      </c>
    </row>
    <row r="15" spans="1:5" x14ac:dyDescent="0.25">
      <c r="A15" s="51" t="s">
        <v>72</v>
      </c>
      <c r="B15" s="35" cm="1">
        <f t="array" ref="B15">INDEX(CshFlwData!$B$1:$B$76,Index!C13)</f>
        <v>0</v>
      </c>
      <c r="C15" s="36">
        <f>B15/$C$1</f>
        <v>0</v>
      </c>
      <c r="D15" s="53"/>
      <c r="E15" s="54">
        <f>C15*$E$1</f>
        <v>0</v>
      </c>
    </row>
    <row r="16" spans="1:5" x14ac:dyDescent="0.25">
      <c r="A16" s="51" t="s">
        <v>73</v>
      </c>
      <c r="B16" s="47">
        <f>B17-SUM(B13:B15)</f>
        <v>-95</v>
      </c>
      <c r="C16" s="36">
        <f>B16/$C$1</f>
        <v>-9.1083413231064239E-2</v>
      </c>
      <c r="D16" s="53"/>
      <c r="E16" s="54">
        <f>C16*$E$1</f>
        <v>-22.202374670097715</v>
      </c>
    </row>
    <row r="17" spans="1:5" x14ac:dyDescent="0.25">
      <c r="A17" s="51" t="s">
        <v>74</v>
      </c>
      <c r="B17" s="35" cm="1">
        <f t="array" ref="B17">INDEX(CshFlwData!$B$1:$B$76,Index!C15)</f>
        <v>-39</v>
      </c>
      <c r="C17" s="36">
        <f>B17/$C$1</f>
        <v>-3.7392138063279005E-2</v>
      </c>
      <c r="D17" s="53"/>
      <c r="E17" s="54">
        <f>C17*$E$1</f>
        <v>-9.1146590750927459</v>
      </c>
    </row>
    <row r="18" spans="1:5" x14ac:dyDescent="0.25">
      <c r="A18" s="49"/>
      <c r="B18" s="55"/>
      <c r="C18" s="55"/>
      <c r="D18" s="53"/>
      <c r="E18" s="19"/>
    </row>
    <row r="19" spans="1:5" x14ac:dyDescent="0.25">
      <c r="A19" s="50" t="s">
        <v>75</v>
      </c>
      <c r="B19" s="56"/>
      <c r="C19" s="57"/>
      <c r="D19" s="53"/>
      <c r="E19" s="58"/>
    </row>
    <row r="20" spans="1:5" x14ac:dyDescent="0.25">
      <c r="A20" s="51" t="s">
        <v>76</v>
      </c>
      <c r="B20" s="35" cm="1">
        <f t="array" ref="B20">INDEX(CshFlwData!$B$1:$B$76,Index!C18)</f>
        <v>0</v>
      </c>
      <c r="C20" s="36">
        <f>B20/$C$1</f>
        <v>0</v>
      </c>
      <c r="D20" s="53"/>
      <c r="E20" s="54">
        <f>C20*$E$1</f>
        <v>0</v>
      </c>
    </row>
    <row r="21" spans="1:5" x14ac:dyDescent="0.25">
      <c r="A21" s="51" t="s">
        <v>77</v>
      </c>
      <c r="B21" s="35" cm="1">
        <f t="array" ref="B21">INDEX(CshFlwData!$B$1:$B$76,Index!C19)</f>
        <v>0</v>
      </c>
      <c r="C21" s="36">
        <f>B21/$C$1</f>
        <v>0</v>
      </c>
      <c r="D21" s="53"/>
      <c r="E21" s="54">
        <f>C21*$E$1</f>
        <v>0</v>
      </c>
    </row>
    <row r="22" spans="1:5" x14ac:dyDescent="0.25">
      <c r="A22" s="51" t="s">
        <v>78</v>
      </c>
      <c r="B22" s="35" cm="1">
        <f t="array" ref="B22">-INDEX(CshFlwData!$B$1:$B$76,Index!C20)</f>
        <v>-18</v>
      </c>
      <c r="C22" s="36">
        <f>B22/$C$1</f>
        <v>-1.725790987535954E-2</v>
      </c>
      <c r="D22" s="53"/>
      <c r="E22" s="54">
        <f>C22*$E$1</f>
        <v>-4.2067657269658829</v>
      </c>
    </row>
    <row r="23" spans="1:5" x14ac:dyDescent="0.25">
      <c r="A23" s="51" t="s">
        <v>79</v>
      </c>
      <c r="B23" s="35" cm="1">
        <f t="array" ref="B23">INDEX(CshFlwData!$B$1:$B$76,Index!C21)</f>
        <v>0</v>
      </c>
      <c r="C23" s="36">
        <f>B23/$C$1</f>
        <v>0</v>
      </c>
      <c r="D23" s="53"/>
      <c r="E23" s="59">
        <f>C23*$E$1</f>
        <v>0</v>
      </c>
    </row>
    <row r="24" spans="1:5" x14ac:dyDescent="0.25">
      <c r="A24" s="51" t="s">
        <v>80</v>
      </c>
      <c r="B24" s="35" cm="1">
        <f t="array" ref="B24">-INDEX(CshFlwData!$B$1:$B$76,Index!C22)</f>
        <v>-1</v>
      </c>
      <c r="C24" s="36">
        <f>B24/$C$1</f>
        <v>-9.5877277085330771E-4</v>
      </c>
      <c r="D24" s="53"/>
      <c r="E24" s="54">
        <f>C24*$E$1</f>
        <v>-0.23370920705366013</v>
      </c>
    </row>
    <row r="25" spans="1:5" x14ac:dyDescent="0.25">
      <c r="A25" s="51" t="s">
        <v>81</v>
      </c>
      <c r="B25" s="35" cm="1">
        <f t="array" ref="B25">-INDEX(CshFlwData!$B$1:$B$76,Index!C23)</f>
        <v>-4</v>
      </c>
      <c r="C25" s="36">
        <f>B25/$C$1</f>
        <v>-3.8350910834132309E-3</v>
      </c>
      <c r="D25" s="53"/>
      <c r="E25" s="54">
        <f>C25*$E$1</f>
        <v>-0.93483682821464054</v>
      </c>
    </row>
    <row r="26" spans="1:5" x14ac:dyDescent="0.25">
      <c r="A26" s="51" t="s">
        <v>82</v>
      </c>
      <c r="B26" s="47">
        <f>B27-SUM(B20:B25)</f>
        <v>0</v>
      </c>
      <c r="C26" s="36">
        <f>B26/$C$1</f>
        <v>0</v>
      </c>
      <c r="D26" s="53"/>
      <c r="E26" s="54">
        <f>C26*$E$1</f>
        <v>0</v>
      </c>
    </row>
    <row r="27" spans="1:5" x14ac:dyDescent="0.25">
      <c r="A27" s="51" t="s">
        <v>83</v>
      </c>
      <c r="B27" s="35" cm="1">
        <f t="array" ref="B27">INDEX(CshFlwData!$B$1:$B$76,Index!C25)</f>
        <v>-23</v>
      </c>
      <c r="C27" s="36">
        <f>B27/$C$1</f>
        <v>-2.2051773729626079E-2</v>
      </c>
      <c r="D27" s="53"/>
      <c r="E27" s="54">
        <f>C27*$E$1</f>
        <v>-5.3753117622341833</v>
      </c>
    </row>
    <row r="28" spans="1:5" x14ac:dyDescent="0.25">
      <c r="A28" s="49"/>
      <c r="B28" s="53"/>
      <c r="C28" s="53"/>
      <c r="D28" s="53"/>
      <c r="E28" s="19"/>
    </row>
    <row r="29" spans="1:5" x14ac:dyDescent="0.25">
      <c r="A29" s="51" t="s">
        <v>84</v>
      </c>
      <c r="B29" s="35" cm="1">
        <f t="array" ref="B29">INDEX(CshFlwData!$B$1:$B$76,Index!C27)</f>
        <v>-7</v>
      </c>
      <c r="C29" s="36">
        <f>B29/$C$1</f>
        <v>-6.7114093959731542E-3</v>
      </c>
      <c r="D29" s="53"/>
      <c r="E29" s="54">
        <f>C29*$E$1</f>
        <v>-1.6359644493756211</v>
      </c>
    </row>
    <row r="30" spans="1:5" x14ac:dyDescent="0.25">
      <c r="A30" s="51" t="s">
        <v>85</v>
      </c>
      <c r="B30" s="35" cm="1">
        <f t="array" ref="B30">INDEX(CshFlwData!$B$1:$B$76,Index!C28)</f>
        <v>-76</v>
      </c>
      <c r="C30" s="36">
        <f>B30/$C$1</f>
        <v>-7.2866730584851394E-2</v>
      </c>
      <c r="D30" s="53"/>
      <c r="E30" s="54">
        <f>C30*$E$1</f>
        <v>-17.761899736078174</v>
      </c>
    </row>
    <row r="31" spans="1:5" x14ac:dyDescent="0.25">
      <c r="A31" s="51" t="s">
        <v>86</v>
      </c>
      <c r="B31" s="35" cm="1">
        <f t="array" ref="B31">INDEX(CshFlwData!$B$1:$B$76,Index!C29)</f>
        <v>13</v>
      </c>
      <c r="C31" s="36">
        <f>B31/$C$1</f>
        <v>1.2464046021093002E-2</v>
      </c>
      <c r="D31" s="53"/>
      <c r="E31" s="54">
        <f>C31*$E$1</f>
        <v>3.0382196916975821</v>
      </c>
    </row>
    <row r="32" spans="1:5" ht="15.75" thickBot="1" x14ac:dyDescent="0.3">
      <c r="A32" s="52" t="s">
        <v>87</v>
      </c>
      <c r="B32" s="60" cm="1">
        <f t="array" ref="B32">INDEX(CshFlwData!$B$1:$B$76,Index!C30)</f>
        <v>31</v>
      </c>
      <c r="C32" s="61">
        <f>B32/$C$1</f>
        <v>2.9721955896452542E-2</v>
      </c>
      <c r="D32" s="62"/>
      <c r="E32" s="63">
        <f>C32*$E$1</f>
        <v>7.2449854186634655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Charts</vt:lpstr>
      </vt:variant>
      <vt:variant>
        <vt:i4>1</vt:i4>
      </vt:variant>
    </vt:vector>
  </HeadingPairs>
  <TitlesOfParts>
    <vt:vector size="11" baseType="lpstr">
      <vt:lpstr>Data</vt:lpstr>
      <vt:lpstr>Sales</vt:lpstr>
      <vt:lpstr>Sheet1</vt:lpstr>
      <vt:lpstr>BalData</vt:lpstr>
      <vt:lpstr>IncomeData</vt:lpstr>
      <vt:lpstr>CshFlwData</vt:lpstr>
      <vt:lpstr>Index</vt:lpstr>
      <vt:lpstr>BalSheet</vt:lpstr>
      <vt:lpstr>IncomeStat</vt:lpstr>
      <vt:lpstr>CshFlow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Stephens, Mason E</dc:creator>
  <cp:lastModifiedBy>Stephens, Mason E</cp:lastModifiedBy>
  <dcterms:created xsi:type="dcterms:W3CDTF">2025-04-29T06:02:06Z</dcterms:created>
  <dcterms:modified xsi:type="dcterms:W3CDTF">2025-05-14T06:00:42Z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3649dc-6fee-4eb8-a128-734c3c842ea8_Enabled">
    <vt:lpwstr>true</vt:lpwstr>
  </property>
  <property fmtid="{D5CDD505-2E9C-101B-9397-08002B2CF9AE}" pid="3" name="MSIP_Label_b73649dc-6fee-4eb8-a128-734c3c842ea8_SetDate">
    <vt:lpwstr>2025-04-29T06:02:06Z</vt:lpwstr>
  </property>
  <property fmtid="{D5CDD505-2E9C-101B-9397-08002B2CF9AE}" pid="4" name="MSIP_Label_b73649dc-6fee-4eb8-a128-734c3c842ea8_Method">
    <vt:lpwstr>Standard</vt:lpwstr>
  </property>
  <property fmtid="{D5CDD505-2E9C-101B-9397-08002B2CF9AE}" pid="5" name="MSIP_Label_b73649dc-6fee-4eb8-a128-734c3c842ea8_Name">
    <vt:lpwstr>defa4170-0d19-0005-0004-bc88714345d2</vt:lpwstr>
  </property>
  <property fmtid="{D5CDD505-2E9C-101B-9397-08002B2CF9AE}" pid="6" name="MSIP_Label_b73649dc-6fee-4eb8-a128-734c3c842ea8_SiteId">
    <vt:lpwstr>857c21d2-1a16-43a4-90cf-d57f3fab9d2f</vt:lpwstr>
  </property>
  <property fmtid="{D5CDD505-2E9C-101B-9397-08002B2CF9AE}" pid="7" name="MSIP_Label_b73649dc-6fee-4eb8-a128-734c3c842ea8_ActionId">
    <vt:lpwstr>414db26c-e8b2-40d8-9dab-bce9b892eb4d</vt:lpwstr>
  </property>
  <property fmtid="{D5CDD505-2E9C-101B-9397-08002B2CF9AE}" pid="8" name="MSIP_Label_b73649dc-6fee-4eb8-a128-734c3c842ea8_ContentBits">
    <vt:lpwstr>0</vt:lpwstr>
  </property>
  <property fmtid="{D5CDD505-2E9C-101B-9397-08002B2CF9AE}" pid="9" name="MSIP_Label_b73649dc-6fee-4eb8-a128-734c3c842ea8_Tag">
    <vt:lpwstr>10, 3, 0, 1</vt:lpwstr>
  </property>
</Properties>
</file>