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heets/sheet1.xml" ContentType="application/vnd.openxmlformats-officedocument.spreadsheetml.chart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inersutep-my.sharepoint.com/personal/mestephens_miners_utep_edu/Documents/Portfolio Formation Project 3/"/>
    </mc:Choice>
  </mc:AlternateContent>
  <xr:revisionPtr revIDLastSave="5803" documentId="8_{D139C769-3B63-4A24-AD27-241BFCA6DD14}" xr6:coauthVersionLast="47" xr6:coauthVersionMax="47" xr10:uidLastSave="{531A8186-BCE1-4795-A7F3-EA1F0B95F52C}"/>
  <bookViews>
    <workbookView xWindow="-120" yWindow="-120" windowWidth="20730" windowHeight="11040" firstSheet="5" activeTab="6" xr2:uid="{C1F7B154-68DB-44F5-9490-A0421180BE31}"/>
  </bookViews>
  <sheets>
    <sheet name="StudentData" sheetId="2" state="veryHidden" r:id="rId1"/>
    <sheet name="Portfolio" sheetId="3" r:id="rId2"/>
    <sheet name="Rtrns" sheetId="4" r:id="rId3"/>
    <sheet name="RawData" sheetId="5" r:id="rId4"/>
    <sheet name="YTDrtrns" sheetId="6" r:id="rId5"/>
    <sheet name="YTDraw" sheetId="7" r:id="rId6"/>
    <sheet name="StkPerf" sheetId="8" r:id="rId7"/>
    <sheet name="PortVals" sheetId="9" r:id="rId8"/>
    <sheet name="Portfolio Values Chart" sheetId="10" r:id="rId9"/>
    <sheet name="Table 1" sheetId="11" r:id="rId10"/>
    <sheet name="Table 2" sheetId="12" r:id="rId11"/>
    <sheet name="Sheet1" sheetId="13" r:id="rId12"/>
  </sheets>
  <definedNames>
    <definedName name="solver_adj" localSheetId="1" hidden="1">Portfolio!$F$4:$F$13</definedName>
    <definedName name="solver_cvg" localSheetId="1" hidden="1">0.0001</definedName>
    <definedName name="solver_drv" localSheetId="1" hidden="1">2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Portfolio!$F$14</definedName>
    <definedName name="solver_lhs2" localSheetId="1" hidden="1">Portfolio!$F$4:$F$13</definedName>
    <definedName name="solver_lhs3" localSheetId="1" hidden="1">Portfolio!$F$4:$F$13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Portfolio!$L$6</definedName>
    <definedName name="solver_pre" localSheetId="1" hidden="1">0.000001</definedName>
    <definedName name="solver_rbv" localSheetId="1" hidden="1">2</definedName>
    <definedName name="solver_rel1" localSheetId="1" hidden="1">2</definedName>
    <definedName name="solver_rel2" localSheetId="1" hidden="1">1</definedName>
    <definedName name="solver_rel3" localSheetId="1" hidden="1">3</definedName>
    <definedName name="solver_rhs1" localSheetId="1" hidden="1">1</definedName>
    <definedName name="solver_rhs2" localSheetId="1" hidden="1">0.22</definedName>
    <definedName name="solver_rhs3" localSheetId="1" hidden="1">0.04</definedName>
    <definedName name="solver_rlx" localSheetId="1" hidden="1">2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1</definedName>
    <definedName name="solver_val" localSheetId="1" hidden="1">0.82</definedName>
    <definedName name="solver_ver" localSheetId="1" hidden="1">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7" i="3" l="1"/>
  <c r="M5" i="6"/>
  <c r="M6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7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7" i="6"/>
  <c r="M158" i="6"/>
  <c r="M159" i="6"/>
  <c r="M160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3" i="6"/>
  <c r="M214" i="6"/>
  <c r="M215" i="6"/>
  <c r="M216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4" i="6"/>
  <c r="O5" i="8"/>
  <c r="U5" i="8"/>
  <c r="Q5" i="8"/>
  <c r="T5" i="8"/>
  <c r="M5" i="8"/>
  <c r="S5" i="8"/>
  <c r="N5" i="8"/>
  <c r="P5" i="8"/>
  <c r="R5" i="8"/>
  <c r="G47" i="8" l="1"/>
  <c r="G46" i="8"/>
  <c r="G45" i="8"/>
  <c r="G44" i="8"/>
  <c r="G43" i="8"/>
  <c r="G42" i="8"/>
  <c r="G41" i="8"/>
  <c r="G40" i="8"/>
  <c r="G39" i="8"/>
  <c r="G38" i="8"/>
  <c r="G37" i="8"/>
  <c r="G36" i="8"/>
  <c r="G35" i="8"/>
  <c r="G34" i="8"/>
  <c r="G33" i="8"/>
  <c r="G32" i="8"/>
  <c r="G31" i="8"/>
  <c r="G30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D12" i="3"/>
  <c r="B14" i="11" s="1"/>
  <c r="D11" i="3"/>
  <c r="B13" i="11" s="1"/>
  <c r="D10" i="3"/>
  <c r="B12" i="11" s="1"/>
  <c r="D9" i="3"/>
  <c r="B11" i="11" s="1"/>
  <c r="D8" i="3"/>
  <c r="B10" i="11" s="1"/>
  <c r="D7" i="3"/>
  <c r="B9" i="11" s="1"/>
  <c r="D6" i="3"/>
  <c r="B8" i="11" s="1"/>
  <c r="D5" i="3"/>
  <c r="B7" i="11" s="1"/>
  <c r="D4" i="3"/>
  <c r="B6" i="11" s="1"/>
  <c r="F7" i="11"/>
  <c r="F8" i="11"/>
  <c r="F9" i="11"/>
  <c r="F10" i="11"/>
  <c r="F11" i="11"/>
  <c r="F12" i="11"/>
  <c r="F13" i="11"/>
  <c r="F14" i="11"/>
  <c r="F15" i="11"/>
  <c r="F6" i="11"/>
  <c r="A7" i="11"/>
  <c r="A8" i="11"/>
  <c r="A9" i="11"/>
  <c r="A10" i="11"/>
  <c r="A11" i="11"/>
  <c r="A12" i="11"/>
  <c r="A13" i="11"/>
  <c r="A14" i="11"/>
  <c r="A6" i="11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A226" i="9"/>
  <c r="A227" i="9"/>
  <c r="A228" i="9"/>
  <c r="A229" i="9"/>
  <c r="A230" i="9"/>
  <c r="A231" i="9"/>
  <c r="A232" i="9"/>
  <c r="A233" i="9"/>
  <c r="A234" i="9"/>
  <c r="A235" i="9"/>
  <c r="A236" i="9"/>
  <c r="A237" i="9"/>
  <c r="A238" i="9"/>
  <c r="A239" i="9"/>
  <c r="A240" i="9"/>
  <c r="A241" i="9"/>
  <c r="A242" i="9"/>
  <c r="A243" i="9"/>
  <c r="A244" i="9"/>
  <c r="A245" i="9"/>
  <c r="A246" i="9"/>
  <c r="A247" i="9"/>
  <c r="A248" i="9"/>
  <c r="A249" i="9"/>
  <c r="A250" i="9"/>
  <c r="A251" i="9"/>
  <c r="A252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4" i="9"/>
  <c r="A3" i="9"/>
  <c r="B1" i="9"/>
  <c r="E4" i="12" s="1"/>
  <c r="M1" i="8"/>
  <c r="N1" i="8"/>
  <c r="O1" i="8"/>
  <c r="P1" i="8"/>
  <c r="Q1" i="8"/>
  <c r="R1" i="8"/>
  <c r="S1" i="8"/>
  <c r="T1" i="8"/>
  <c r="U1" i="8"/>
  <c r="L1" i="8"/>
  <c r="A3" i="8"/>
  <c r="B3" i="8"/>
  <c r="C3" i="8"/>
  <c r="D3" i="8"/>
  <c r="E3" i="8"/>
  <c r="F3" i="8"/>
  <c r="G3" i="8"/>
  <c r="H3" i="8"/>
  <c r="I3" i="8"/>
  <c r="J3" i="8"/>
  <c r="A4" i="8"/>
  <c r="B4" i="8"/>
  <c r="C4" i="8"/>
  <c r="D4" i="8"/>
  <c r="E4" i="8"/>
  <c r="F4" i="8"/>
  <c r="G4" i="8"/>
  <c r="H4" i="8"/>
  <c r="I4" i="8"/>
  <c r="J4" i="8"/>
  <c r="A5" i="8"/>
  <c r="B5" i="8"/>
  <c r="C5" i="8"/>
  <c r="D5" i="8"/>
  <c r="E5" i="8"/>
  <c r="F5" i="8"/>
  <c r="G5" i="8"/>
  <c r="H5" i="8"/>
  <c r="I5" i="8"/>
  <c r="J5" i="8"/>
  <c r="A6" i="8"/>
  <c r="B6" i="8"/>
  <c r="C6" i="8"/>
  <c r="D6" i="8"/>
  <c r="E6" i="8"/>
  <c r="F6" i="8"/>
  <c r="G6" i="8"/>
  <c r="H6" i="8"/>
  <c r="I6" i="8"/>
  <c r="J6" i="8"/>
  <c r="A7" i="8"/>
  <c r="B7" i="8"/>
  <c r="C7" i="8"/>
  <c r="D7" i="8"/>
  <c r="E7" i="8"/>
  <c r="F7" i="8"/>
  <c r="G7" i="8"/>
  <c r="H7" i="8"/>
  <c r="I7" i="8"/>
  <c r="J7" i="8"/>
  <c r="A8" i="8"/>
  <c r="B8" i="8"/>
  <c r="C8" i="8"/>
  <c r="D8" i="8"/>
  <c r="E8" i="8"/>
  <c r="F8" i="8"/>
  <c r="G8" i="8"/>
  <c r="H8" i="8"/>
  <c r="I8" i="8"/>
  <c r="J8" i="8"/>
  <c r="A9" i="8"/>
  <c r="B9" i="8"/>
  <c r="C9" i="8"/>
  <c r="D9" i="8"/>
  <c r="E9" i="8"/>
  <c r="F9" i="8"/>
  <c r="G9" i="8"/>
  <c r="H9" i="8"/>
  <c r="I9" i="8"/>
  <c r="J9" i="8"/>
  <c r="A10" i="8"/>
  <c r="B10" i="8"/>
  <c r="C10" i="8"/>
  <c r="D10" i="8"/>
  <c r="E10" i="8"/>
  <c r="F10" i="8"/>
  <c r="G10" i="8"/>
  <c r="H10" i="8"/>
  <c r="I10" i="8"/>
  <c r="J10" i="8"/>
  <c r="A11" i="8"/>
  <c r="B11" i="8"/>
  <c r="C11" i="8"/>
  <c r="D11" i="8"/>
  <c r="E11" i="8"/>
  <c r="F11" i="8"/>
  <c r="G11" i="8"/>
  <c r="H11" i="8"/>
  <c r="I11" i="8"/>
  <c r="J11" i="8"/>
  <c r="A12" i="8"/>
  <c r="B12" i="8"/>
  <c r="C12" i="8"/>
  <c r="D12" i="8"/>
  <c r="E12" i="8"/>
  <c r="F12" i="8"/>
  <c r="G12" i="8"/>
  <c r="H12" i="8"/>
  <c r="I12" i="8"/>
  <c r="J12" i="8"/>
  <c r="A13" i="8"/>
  <c r="B13" i="8"/>
  <c r="C13" i="8"/>
  <c r="D13" i="8"/>
  <c r="E13" i="8"/>
  <c r="F13" i="8"/>
  <c r="G13" i="8"/>
  <c r="H13" i="8"/>
  <c r="I13" i="8"/>
  <c r="J13" i="8"/>
  <c r="A14" i="8"/>
  <c r="B14" i="8"/>
  <c r="C14" i="8"/>
  <c r="D14" i="8"/>
  <c r="E14" i="8"/>
  <c r="F14" i="8"/>
  <c r="G14" i="8"/>
  <c r="H14" i="8"/>
  <c r="I14" i="8"/>
  <c r="J14" i="8"/>
  <c r="A15" i="8"/>
  <c r="B15" i="8"/>
  <c r="C15" i="8"/>
  <c r="D15" i="8"/>
  <c r="E15" i="8"/>
  <c r="F15" i="8"/>
  <c r="G15" i="8"/>
  <c r="H15" i="8"/>
  <c r="I15" i="8"/>
  <c r="J15" i="8"/>
  <c r="A16" i="8"/>
  <c r="B16" i="8"/>
  <c r="C16" i="8"/>
  <c r="D16" i="8"/>
  <c r="E16" i="8"/>
  <c r="F16" i="8"/>
  <c r="H16" i="8"/>
  <c r="I16" i="8"/>
  <c r="J16" i="8"/>
  <c r="A17" i="8"/>
  <c r="B17" i="8"/>
  <c r="C17" i="8"/>
  <c r="D17" i="8"/>
  <c r="E17" i="8"/>
  <c r="F17" i="8"/>
  <c r="H17" i="8"/>
  <c r="I17" i="8"/>
  <c r="J17" i="8"/>
  <c r="A18" i="8"/>
  <c r="B18" i="8"/>
  <c r="C18" i="8"/>
  <c r="D18" i="8"/>
  <c r="E18" i="8"/>
  <c r="F18" i="8"/>
  <c r="H18" i="8"/>
  <c r="I18" i="8"/>
  <c r="J18" i="8"/>
  <c r="A19" i="8"/>
  <c r="B19" i="8"/>
  <c r="C19" i="8"/>
  <c r="D19" i="8"/>
  <c r="E19" i="8"/>
  <c r="F19" i="8"/>
  <c r="H19" i="8"/>
  <c r="I19" i="8"/>
  <c r="J19" i="8"/>
  <c r="A20" i="8"/>
  <c r="B20" i="8"/>
  <c r="C20" i="8"/>
  <c r="D20" i="8"/>
  <c r="E20" i="8"/>
  <c r="F20" i="8"/>
  <c r="H20" i="8"/>
  <c r="I20" i="8"/>
  <c r="J20" i="8"/>
  <c r="A21" i="8"/>
  <c r="B21" i="8"/>
  <c r="C21" i="8"/>
  <c r="D21" i="8"/>
  <c r="E21" i="8"/>
  <c r="F21" i="8"/>
  <c r="H21" i="8"/>
  <c r="I21" i="8"/>
  <c r="J21" i="8"/>
  <c r="A22" i="8"/>
  <c r="B22" i="8"/>
  <c r="C22" i="8"/>
  <c r="D22" i="8"/>
  <c r="E22" i="8"/>
  <c r="F22" i="8"/>
  <c r="H22" i="8"/>
  <c r="I22" i="8"/>
  <c r="J22" i="8"/>
  <c r="A23" i="8"/>
  <c r="B23" i="8"/>
  <c r="C23" i="8"/>
  <c r="D23" i="8"/>
  <c r="E23" i="8"/>
  <c r="F23" i="8"/>
  <c r="H23" i="8"/>
  <c r="I23" i="8"/>
  <c r="J23" i="8"/>
  <c r="A24" i="8"/>
  <c r="B24" i="8"/>
  <c r="C24" i="8"/>
  <c r="D24" i="8"/>
  <c r="E24" i="8"/>
  <c r="F24" i="8"/>
  <c r="H24" i="8"/>
  <c r="I24" i="8"/>
  <c r="J24" i="8"/>
  <c r="A25" i="8"/>
  <c r="B25" i="8"/>
  <c r="C25" i="8"/>
  <c r="D25" i="8"/>
  <c r="E25" i="8"/>
  <c r="F25" i="8"/>
  <c r="H25" i="8"/>
  <c r="I25" i="8"/>
  <c r="J25" i="8"/>
  <c r="A26" i="8"/>
  <c r="B26" i="8"/>
  <c r="C26" i="8"/>
  <c r="D26" i="8"/>
  <c r="E26" i="8"/>
  <c r="F26" i="8"/>
  <c r="H26" i="8"/>
  <c r="I26" i="8"/>
  <c r="J26" i="8"/>
  <c r="A27" i="8"/>
  <c r="B27" i="8"/>
  <c r="C27" i="8"/>
  <c r="D27" i="8"/>
  <c r="E27" i="8"/>
  <c r="F27" i="8"/>
  <c r="H27" i="8"/>
  <c r="I27" i="8"/>
  <c r="J27" i="8"/>
  <c r="A28" i="8"/>
  <c r="B28" i="8"/>
  <c r="C28" i="8"/>
  <c r="D28" i="8"/>
  <c r="E28" i="8"/>
  <c r="F28" i="8"/>
  <c r="H28" i="8"/>
  <c r="I28" i="8"/>
  <c r="J28" i="8"/>
  <c r="A29" i="8"/>
  <c r="B29" i="8"/>
  <c r="C29" i="8"/>
  <c r="D29" i="8"/>
  <c r="E29" i="8"/>
  <c r="F29" i="8"/>
  <c r="H29" i="8"/>
  <c r="I29" i="8"/>
  <c r="J29" i="8"/>
  <c r="A30" i="8"/>
  <c r="B30" i="8"/>
  <c r="C30" i="8"/>
  <c r="D30" i="8"/>
  <c r="E30" i="8"/>
  <c r="F30" i="8"/>
  <c r="H30" i="8"/>
  <c r="I30" i="8"/>
  <c r="J30" i="8"/>
  <c r="A31" i="8"/>
  <c r="B31" i="8"/>
  <c r="C31" i="8"/>
  <c r="D31" i="8"/>
  <c r="E31" i="8"/>
  <c r="F31" i="8"/>
  <c r="H31" i="8"/>
  <c r="I31" i="8"/>
  <c r="J31" i="8"/>
  <c r="A32" i="8"/>
  <c r="B32" i="8"/>
  <c r="C32" i="8"/>
  <c r="D32" i="8"/>
  <c r="E32" i="8"/>
  <c r="F32" i="8"/>
  <c r="H32" i="8"/>
  <c r="I32" i="8"/>
  <c r="J32" i="8"/>
  <c r="A33" i="8"/>
  <c r="B33" i="8"/>
  <c r="C33" i="8"/>
  <c r="D33" i="8"/>
  <c r="E33" i="8"/>
  <c r="F33" i="8"/>
  <c r="H33" i="8"/>
  <c r="I33" i="8"/>
  <c r="J33" i="8"/>
  <c r="A34" i="8"/>
  <c r="B34" i="8"/>
  <c r="C34" i="8"/>
  <c r="D34" i="8"/>
  <c r="E34" i="8"/>
  <c r="F34" i="8"/>
  <c r="H34" i="8"/>
  <c r="I34" i="8"/>
  <c r="J34" i="8"/>
  <c r="A35" i="8"/>
  <c r="B35" i="8"/>
  <c r="C35" i="8"/>
  <c r="D35" i="8"/>
  <c r="E35" i="8"/>
  <c r="F35" i="8"/>
  <c r="H35" i="8"/>
  <c r="I35" i="8"/>
  <c r="J35" i="8"/>
  <c r="A36" i="8"/>
  <c r="B36" i="8"/>
  <c r="C36" i="8"/>
  <c r="D36" i="8"/>
  <c r="E36" i="8"/>
  <c r="F36" i="8"/>
  <c r="H36" i="8"/>
  <c r="I36" i="8"/>
  <c r="J36" i="8"/>
  <c r="A37" i="8"/>
  <c r="B37" i="8"/>
  <c r="C37" i="8"/>
  <c r="D37" i="8"/>
  <c r="E37" i="8"/>
  <c r="F37" i="8"/>
  <c r="H37" i="8"/>
  <c r="I37" i="8"/>
  <c r="J37" i="8"/>
  <c r="A38" i="8"/>
  <c r="B38" i="8"/>
  <c r="C38" i="8"/>
  <c r="D38" i="8"/>
  <c r="E38" i="8"/>
  <c r="F38" i="8"/>
  <c r="H38" i="8"/>
  <c r="I38" i="8"/>
  <c r="J38" i="8"/>
  <c r="A39" i="8"/>
  <c r="B39" i="8"/>
  <c r="C39" i="8"/>
  <c r="D39" i="8"/>
  <c r="E39" i="8"/>
  <c r="F39" i="8"/>
  <c r="H39" i="8"/>
  <c r="I39" i="8"/>
  <c r="J39" i="8"/>
  <c r="A40" i="8"/>
  <c r="B40" i="8"/>
  <c r="C40" i="8"/>
  <c r="D40" i="8"/>
  <c r="E40" i="8"/>
  <c r="F40" i="8"/>
  <c r="H40" i="8"/>
  <c r="I40" i="8"/>
  <c r="J40" i="8"/>
  <c r="A41" i="8"/>
  <c r="B41" i="8"/>
  <c r="C41" i="8"/>
  <c r="D41" i="8"/>
  <c r="E41" i="8"/>
  <c r="F41" i="8"/>
  <c r="H41" i="8"/>
  <c r="I41" i="8"/>
  <c r="J41" i="8"/>
  <c r="A42" i="8"/>
  <c r="B42" i="8"/>
  <c r="C42" i="8"/>
  <c r="D42" i="8"/>
  <c r="E42" i="8"/>
  <c r="F42" i="8"/>
  <c r="H42" i="8"/>
  <c r="I42" i="8"/>
  <c r="J42" i="8"/>
  <c r="A43" i="8"/>
  <c r="B43" i="8"/>
  <c r="C43" i="8"/>
  <c r="D43" i="8"/>
  <c r="E43" i="8"/>
  <c r="F43" i="8"/>
  <c r="H43" i="8"/>
  <c r="I43" i="8"/>
  <c r="J43" i="8"/>
  <c r="A44" i="8"/>
  <c r="B44" i="8"/>
  <c r="C44" i="8"/>
  <c r="D44" i="8"/>
  <c r="E44" i="8"/>
  <c r="F44" i="8"/>
  <c r="H44" i="8"/>
  <c r="I44" i="8"/>
  <c r="J44" i="8"/>
  <c r="A45" i="8"/>
  <c r="B45" i="8"/>
  <c r="C45" i="8"/>
  <c r="D45" i="8"/>
  <c r="E45" i="8"/>
  <c r="F45" i="8"/>
  <c r="H45" i="8"/>
  <c r="I45" i="8"/>
  <c r="J45" i="8"/>
  <c r="A46" i="8"/>
  <c r="B46" i="8"/>
  <c r="C46" i="8"/>
  <c r="D46" i="8"/>
  <c r="E46" i="8"/>
  <c r="F46" i="8"/>
  <c r="H46" i="8"/>
  <c r="I46" i="8"/>
  <c r="J46" i="8"/>
  <c r="A47" i="8"/>
  <c r="B47" i="8"/>
  <c r="C47" i="8"/>
  <c r="D47" i="8"/>
  <c r="E47" i="8"/>
  <c r="F47" i="8"/>
  <c r="H47" i="8"/>
  <c r="I47" i="8"/>
  <c r="J47" i="8"/>
  <c r="A48" i="8"/>
  <c r="B48" i="8"/>
  <c r="C48" i="8"/>
  <c r="D48" i="8"/>
  <c r="E48" i="8"/>
  <c r="F48" i="8"/>
  <c r="G48" i="8"/>
  <c r="H48" i="8"/>
  <c r="I48" i="8"/>
  <c r="J48" i="8"/>
  <c r="A49" i="8"/>
  <c r="B49" i="8"/>
  <c r="C49" i="8"/>
  <c r="D49" i="8"/>
  <c r="E49" i="8"/>
  <c r="F49" i="8"/>
  <c r="G49" i="8"/>
  <c r="H49" i="8"/>
  <c r="I49" i="8"/>
  <c r="J49" i="8"/>
  <c r="A50" i="8"/>
  <c r="B50" i="8"/>
  <c r="C50" i="8"/>
  <c r="D50" i="8"/>
  <c r="E50" i="8"/>
  <c r="F50" i="8"/>
  <c r="G50" i="8"/>
  <c r="H50" i="8"/>
  <c r="I50" i="8"/>
  <c r="J50" i="8"/>
  <c r="A51" i="8"/>
  <c r="B51" i="8"/>
  <c r="C51" i="8"/>
  <c r="D51" i="8"/>
  <c r="E51" i="8"/>
  <c r="F51" i="8"/>
  <c r="G51" i="8"/>
  <c r="H51" i="8"/>
  <c r="I51" i="8"/>
  <c r="J51" i="8"/>
  <c r="A52" i="8"/>
  <c r="B52" i="8"/>
  <c r="C52" i="8"/>
  <c r="D52" i="8"/>
  <c r="E52" i="8"/>
  <c r="F52" i="8"/>
  <c r="G52" i="8"/>
  <c r="H52" i="8"/>
  <c r="I52" i="8"/>
  <c r="J52" i="8"/>
  <c r="A53" i="8"/>
  <c r="B53" i="8"/>
  <c r="C53" i="8"/>
  <c r="D53" i="8"/>
  <c r="E53" i="8"/>
  <c r="F53" i="8"/>
  <c r="G53" i="8"/>
  <c r="H53" i="8"/>
  <c r="I53" i="8"/>
  <c r="J53" i="8"/>
  <c r="A54" i="8"/>
  <c r="B54" i="8"/>
  <c r="C54" i="8"/>
  <c r="D54" i="8"/>
  <c r="E54" i="8"/>
  <c r="F54" i="8"/>
  <c r="G54" i="8"/>
  <c r="H54" i="8"/>
  <c r="I54" i="8"/>
  <c r="J54" i="8"/>
  <c r="A55" i="8"/>
  <c r="B55" i="8"/>
  <c r="C55" i="8"/>
  <c r="D55" i="8"/>
  <c r="E55" i="8"/>
  <c r="F55" i="8"/>
  <c r="G55" i="8"/>
  <c r="H55" i="8"/>
  <c r="I55" i="8"/>
  <c r="J55" i="8"/>
  <c r="A56" i="8"/>
  <c r="B56" i="8"/>
  <c r="C56" i="8"/>
  <c r="D56" i="8"/>
  <c r="E56" i="8"/>
  <c r="F56" i="8"/>
  <c r="G56" i="8"/>
  <c r="H56" i="8"/>
  <c r="I56" i="8"/>
  <c r="J56" i="8"/>
  <c r="A57" i="8"/>
  <c r="B57" i="8"/>
  <c r="C57" i="8"/>
  <c r="D57" i="8"/>
  <c r="E57" i="8"/>
  <c r="F57" i="8"/>
  <c r="G57" i="8"/>
  <c r="H57" i="8"/>
  <c r="I57" i="8"/>
  <c r="J57" i="8"/>
  <c r="A58" i="8"/>
  <c r="B58" i="8"/>
  <c r="C58" i="8"/>
  <c r="D58" i="8"/>
  <c r="E58" i="8"/>
  <c r="F58" i="8"/>
  <c r="G58" i="8"/>
  <c r="H58" i="8"/>
  <c r="I58" i="8"/>
  <c r="J58" i="8"/>
  <c r="A59" i="8"/>
  <c r="B59" i="8"/>
  <c r="C59" i="8"/>
  <c r="D59" i="8"/>
  <c r="E59" i="8"/>
  <c r="F59" i="8"/>
  <c r="G59" i="8"/>
  <c r="H59" i="8"/>
  <c r="I59" i="8"/>
  <c r="J59" i="8"/>
  <c r="A60" i="8"/>
  <c r="B60" i="8"/>
  <c r="C60" i="8"/>
  <c r="D60" i="8"/>
  <c r="E60" i="8"/>
  <c r="F60" i="8"/>
  <c r="G60" i="8"/>
  <c r="H60" i="8"/>
  <c r="I60" i="8"/>
  <c r="J60" i="8"/>
  <c r="A61" i="8"/>
  <c r="B61" i="8"/>
  <c r="C61" i="8"/>
  <c r="D61" i="8"/>
  <c r="E61" i="8"/>
  <c r="F61" i="8"/>
  <c r="G61" i="8"/>
  <c r="H61" i="8"/>
  <c r="I61" i="8"/>
  <c r="J61" i="8"/>
  <c r="A62" i="8"/>
  <c r="B62" i="8"/>
  <c r="C62" i="8"/>
  <c r="D62" i="8"/>
  <c r="E62" i="8"/>
  <c r="F62" i="8"/>
  <c r="G62" i="8"/>
  <c r="H62" i="8"/>
  <c r="I62" i="8"/>
  <c r="J62" i="8"/>
  <c r="A63" i="8"/>
  <c r="B63" i="8"/>
  <c r="C63" i="8"/>
  <c r="D63" i="8"/>
  <c r="E63" i="8"/>
  <c r="F63" i="8"/>
  <c r="G63" i="8"/>
  <c r="H63" i="8"/>
  <c r="I63" i="8"/>
  <c r="J63" i="8"/>
  <c r="A64" i="8"/>
  <c r="B64" i="8"/>
  <c r="C64" i="8"/>
  <c r="D64" i="8"/>
  <c r="E64" i="8"/>
  <c r="F64" i="8"/>
  <c r="G64" i="8"/>
  <c r="H64" i="8"/>
  <c r="I64" i="8"/>
  <c r="J64" i="8"/>
  <c r="A65" i="8"/>
  <c r="B65" i="8"/>
  <c r="C65" i="8"/>
  <c r="D65" i="8"/>
  <c r="E65" i="8"/>
  <c r="F65" i="8"/>
  <c r="G65" i="8"/>
  <c r="H65" i="8"/>
  <c r="I65" i="8"/>
  <c r="J65" i="8"/>
  <c r="A66" i="8"/>
  <c r="B66" i="8"/>
  <c r="C66" i="8"/>
  <c r="D66" i="8"/>
  <c r="E66" i="8"/>
  <c r="F66" i="8"/>
  <c r="G66" i="8"/>
  <c r="H66" i="8"/>
  <c r="I66" i="8"/>
  <c r="J66" i="8"/>
  <c r="A67" i="8"/>
  <c r="B67" i="8"/>
  <c r="C67" i="8"/>
  <c r="D67" i="8"/>
  <c r="E67" i="8"/>
  <c r="F67" i="8"/>
  <c r="G67" i="8"/>
  <c r="H67" i="8"/>
  <c r="I67" i="8"/>
  <c r="J67" i="8"/>
  <c r="A68" i="8"/>
  <c r="B68" i="8"/>
  <c r="C68" i="8"/>
  <c r="D68" i="8"/>
  <c r="E68" i="8"/>
  <c r="F68" i="8"/>
  <c r="G68" i="8"/>
  <c r="H68" i="8"/>
  <c r="I68" i="8"/>
  <c r="J68" i="8"/>
  <c r="A69" i="8"/>
  <c r="B69" i="8"/>
  <c r="C69" i="8"/>
  <c r="D69" i="8"/>
  <c r="E69" i="8"/>
  <c r="F69" i="8"/>
  <c r="G69" i="8"/>
  <c r="H69" i="8"/>
  <c r="I69" i="8"/>
  <c r="J69" i="8"/>
  <c r="A70" i="8"/>
  <c r="B70" i="8"/>
  <c r="C70" i="8"/>
  <c r="D70" i="8"/>
  <c r="E70" i="8"/>
  <c r="F70" i="8"/>
  <c r="G70" i="8"/>
  <c r="H70" i="8"/>
  <c r="I70" i="8"/>
  <c r="J70" i="8"/>
  <c r="A71" i="8"/>
  <c r="B71" i="8"/>
  <c r="C71" i="8"/>
  <c r="D71" i="8"/>
  <c r="E71" i="8"/>
  <c r="F71" i="8"/>
  <c r="G71" i="8"/>
  <c r="H71" i="8"/>
  <c r="I71" i="8"/>
  <c r="J71" i="8"/>
  <c r="A72" i="8"/>
  <c r="B72" i="8"/>
  <c r="C72" i="8"/>
  <c r="D72" i="8"/>
  <c r="E72" i="8"/>
  <c r="F72" i="8"/>
  <c r="G72" i="8"/>
  <c r="H72" i="8"/>
  <c r="I72" i="8"/>
  <c r="J72" i="8"/>
  <c r="A73" i="8"/>
  <c r="B73" i="8"/>
  <c r="C73" i="8"/>
  <c r="D73" i="8"/>
  <c r="E73" i="8"/>
  <c r="F73" i="8"/>
  <c r="G73" i="8"/>
  <c r="H73" i="8"/>
  <c r="I73" i="8"/>
  <c r="J73" i="8"/>
  <c r="A74" i="8"/>
  <c r="B74" i="8"/>
  <c r="C74" i="8"/>
  <c r="D74" i="8"/>
  <c r="E74" i="8"/>
  <c r="F74" i="8"/>
  <c r="G74" i="8"/>
  <c r="H74" i="8"/>
  <c r="I74" i="8"/>
  <c r="J74" i="8"/>
  <c r="A75" i="8"/>
  <c r="B75" i="8"/>
  <c r="C75" i="8"/>
  <c r="D75" i="8"/>
  <c r="E75" i="8"/>
  <c r="F75" i="8"/>
  <c r="G75" i="8"/>
  <c r="H75" i="8"/>
  <c r="I75" i="8"/>
  <c r="J75" i="8"/>
  <c r="A76" i="8"/>
  <c r="B76" i="8"/>
  <c r="C76" i="8"/>
  <c r="D76" i="8"/>
  <c r="E76" i="8"/>
  <c r="F76" i="8"/>
  <c r="G76" i="8"/>
  <c r="H76" i="8"/>
  <c r="I76" i="8"/>
  <c r="J76" i="8"/>
  <c r="A77" i="8"/>
  <c r="B77" i="8"/>
  <c r="C77" i="8"/>
  <c r="D77" i="8"/>
  <c r="E77" i="8"/>
  <c r="F77" i="8"/>
  <c r="G77" i="8"/>
  <c r="H77" i="8"/>
  <c r="I77" i="8"/>
  <c r="J77" i="8"/>
  <c r="A78" i="8"/>
  <c r="B78" i="8"/>
  <c r="C78" i="8"/>
  <c r="D78" i="8"/>
  <c r="E78" i="8"/>
  <c r="F78" i="8"/>
  <c r="G78" i="8"/>
  <c r="H78" i="8"/>
  <c r="I78" i="8"/>
  <c r="J78" i="8"/>
  <c r="A79" i="8"/>
  <c r="B79" i="8"/>
  <c r="C79" i="8"/>
  <c r="D79" i="8"/>
  <c r="E79" i="8"/>
  <c r="F79" i="8"/>
  <c r="G79" i="8"/>
  <c r="H79" i="8"/>
  <c r="I79" i="8"/>
  <c r="J79" i="8"/>
  <c r="A80" i="8"/>
  <c r="B80" i="8"/>
  <c r="C80" i="8"/>
  <c r="D80" i="8"/>
  <c r="E80" i="8"/>
  <c r="F80" i="8"/>
  <c r="G80" i="8"/>
  <c r="H80" i="8"/>
  <c r="I80" i="8"/>
  <c r="J80" i="8"/>
  <c r="A81" i="8"/>
  <c r="B81" i="8"/>
  <c r="C81" i="8"/>
  <c r="D81" i="8"/>
  <c r="E81" i="8"/>
  <c r="F81" i="8"/>
  <c r="G81" i="8"/>
  <c r="H81" i="8"/>
  <c r="I81" i="8"/>
  <c r="J81" i="8"/>
  <c r="A82" i="8"/>
  <c r="B82" i="8"/>
  <c r="C82" i="8"/>
  <c r="D82" i="8"/>
  <c r="E82" i="8"/>
  <c r="F82" i="8"/>
  <c r="G82" i="8"/>
  <c r="H82" i="8"/>
  <c r="I82" i="8"/>
  <c r="J82" i="8"/>
  <c r="A83" i="8"/>
  <c r="B83" i="8"/>
  <c r="C83" i="8"/>
  <c r="D83" i="8"/>
  <c r="E83" i="8"/>
  <c r="F83" i="8"/>
  <c r="G83" i="8"/>
  <c r="H83" i="8"/>
  <c r="I83" i="8"/>
  <c r="J83" i="8"/>
  <c r="A84" i="8"/>
  <c r="B84" i="8"/>
  <c r="C84" i="8"/>
  <c r="D84" i="8"/>
  <c r="E84" i="8"/>
  <c r="F84" i="8"/>
  <c r="G84" i="8"/>
  <c r="H84" i="8"/>
  <c r="I84" i="8"/>
  <c r="J84" i="8"/>
  <c r="A85" i="8"/>
  <c r="B85" i="8"/>
  <c r="C85" i="8"/>
  <c r="D85" i="8"/>
  <c r="E85" i="8"/>
  <c r="F85" i="8"/>
  <c r="G85" i="8"/>
  <c r="H85" i="8"/>
  <c r="I85" i="8"/>
  <c r="J85" i="8"/>
  <c r="A86" i="8"/>
  <c r="B86" i="8"/>
  <c r="C86" i="8"/>
  <c r="D86" i="8"/>
  <c r="E86" i="8"/>
  <c r="F86" i="8"/>
  <c r="G86" i="8"/>
  <c r="H86" i="8"/>
  <c r="I86" i="8"/>
  <c r="J86" i="8"/>
  <c r="A87" i="8"/>
  <c r="B87" i="8"/>
  <c r="C87" i="8"/>
  <c r="D87" i="8"/>
  <c r="E87" i="8"/>
  <c r="F87" i="8"/>
  <c r="G87" i="8"/>
  <c r="H87" i="8"/>
  <c r="I87" i="8"/>
  <c r="J87" i="8"/>
  <c r="A88" i="8"/>
  <c r="B88" i="8"/>
  <c r="C88" i="8"/>
  <c r="D88" i="8"/>
  <c r="E88" i="8"/>
  <c r="F88" i="8"/>
  <c r="G88" i="8"/>
  <c r="H88" i="8"/>
  <c r="I88" i="8"/>
  <c r="J88" i="8"/>
  <c r="A89" i="8"/>
  <c r="B89" i="8"/>
  <c r="C89" i="8"/>
  <c r="D89" i="8"/>
  <c r="E89" i="8"/>
  <c r="F89" i="8"/>
  <c r="G89" i="8"/>
  <c r="H89" i="8"/>
  <c r="I89" i="8"/>
  <c r="J89" i="8"/>
  <c r="A90" i="8"/>
  <c r="B90" i="8"/>
  <c r="C90" i="8"/>
  <c r="D90" i="8"/>
  <c r="E90" i="8"/>
  <c r="F90" i="8"/>
  <c r="G90" i="8"/>
  <c r="H90" i="8"/>
  <c r="I90" i="8"/>
  <c r="J90" i="8"/>
  <c r="A91" i="8"/>
  <c r="B91" i="8"/>
  <c r="C91" i="8"/>
  <c r="D91" i="8"/>
  <c r="E91" i="8"/>
  <c r="F91" i="8"/>
  <c r="G91" i="8"/>
  <c r="H91" i="8"/>
  <c r="I91" i="8"/>
  <c r="J91" i="8"/>
  <c r="A92" i="8"/>
  <c r="B92" i="8"/>
  <c r="C92" i="8"/>
  <c r="D92" i="8"/>
  <c r="E92" i="8"/>
  <c r="F92" i="8"/>
  <c r="G92" i="8"/>
  <c r="H92" i="8"/>
  <c r="I92" i="8"/>
  <c r="J92" i="8"/>
  <c r="A93" i="8"/>
  <c r="B93" i="8"/>
  <c r="C93" i="8"/>
  <c r="D93" i="8"/>
  <c r="E93" i="8"/>
  <c r="F93" i="8"/>
  <c r="G93" i="8"/>
  <c r="H93" i="8"/>
  <c r="I93" i="8"/>
  <c r="J93" i="8"/>
  <c r="A94" i="8"/>
  <c r="B94" i="8"/>
  <c r="C94" i="8"/>
  <c r="D94" i="8"/>
  <c r="E94" i="8"/>
  <c r="F94" i="8"/>
  <c r="G94" i="8"/>
  <c r="H94" i="8"/>
  <c r="I94" i="8"/>
  <c r="J94" i="8"/>
  <c r="A95" i="8"/>
  <c r="B95" i="8"/>
  <c r="C95" i="8"/>
  <c r="D95" i="8"/>
  <c r="E95" i="8"/>
  <c r="F95" i="8"/>
  <c r="G95" i="8"/>
  <c r="H95" i="8"/>
  <c r="I95" i="8"/>
  <c r="J95" i="8"/>
  <c r="A96" i="8"/>
  <c r="B96" i="8"/>
  <c r="C96" i="8"/>
  <c r="D96" i="8"/>
  <c r="E96" i="8"/>
  <c r="F96" i="8"/>
  <c r="G96" i="8"/>
  <c r="H96" i="8"/>
  <c r="I96" i="8"/>
  <c r="J96" i="8"/>
  <c r="A97" i="8"/>
  <c r="B97" i="8"/>
  <c r="C97" i="8"/>
  <c r="D97" i="8"/>
  <c r="E97" i="8"/>
  <c r="F97" i="8"/>
  <c r="G97" i="8"/>
  <c r="H97" i="8"/>
  <c r="I97" i="8"/>
  <c r="J97" i="8"/>
  <c r="A98" i="8"/>
  <c r="B98" i="8"/>
  <c r="C98" i="8"/>
  <c r="D98" i="8"/>
  <c r="E98" i="8"/>
  <c r="F98" i="8"/>
  <c r="G98" i="8"/>
  <c r="H98" i="8"/>
  <c r="I98" i="8"/>
  <c r="J98" i="8"/>
  <c r="A99" i="8"/>
  <c r="B99" i="8"/>
  <c r="C99" i="8"/>
  <c r="D99" i="8"/>
  <c r="E99" i="8"/>
  <c r="F99" i="8"/>
  <c r="G99" i="8"/>
  <c r="H99" i="8"/>
  <c r="I99" i="8"/>
  <c r="J99" i="8"/>
  <c r="A100" i="8"/>
  <c r="B100" i="8"/>
  <c r="C100" i="8"/>
  <c r="D100" i="8"/>
  <c r="E100" i="8"/>
  <c r="F100" i="8"/>
  <c r="G100" i="8"/>
  <c r="H100" i="8"/>
  <c r="I100" i="8"/>
  <c r="J100" i="8"/>
  <c r="A101" i="8"/>
  <c r="B101" i="8"/>
  <c r="C101" i="8"/>
  <c r="D101" i="8"/>
  <c r="E101" i="8"/>
  <c r="F101" i="8"/>
  <c r="G101" i="8"/>
  <c r="H101" i="8"/>
  <c r="I101" i="8"/>
  <c r="J101" i="8"/>
  <c r="A102" i="8"/>
  <c r="B102" i="8"/>
  <c r="C102" i="8"/>
  <c r="D102" i="8"/>
  <c r="E102" i="8"/>
  <c r="F102" i="8"/>
  <c r="G102" i="8"/>
  <c r="H102" i="8"/>
  <c r="I102" i="8"/>
  <c r="J102" i="8"/>
  <c r="A103" i="8"/>
  <c r="B103" i="8"/>
  <c r="C103" i="8"/>
  <c r="D103" i="8"/>
  <c r="E103" i="8"/>
  <c r="F103" i="8"/>
  <c r="G103" i="8"/>
  <c r="H103" i="8"/>
  <c r="I103" i="8"/>
  <c r="J103" i="8"/>
  <c r="A104" i="8"/>
  <c r="B104" i="8"/>
  <c r="C104" i="8"/>
  <c r="D104" i="8"/>
  <c r="E104" i="8"/>
  <c r="F104" i="8"/>
  <c r="G104" i="8"/>
  <c r="H104" i="8"/>
  <c r="I104" i="8"/>
  <c r="J104" i="8"/>
  <c r="A105" i="8"/>
  <c r="B105" i="8"/>
  <c r="C105" i="8"/>
  <c r="D105" i="8"/>
  <c r="E105" i="8"/>
  <c r="F105" i="8"/>
  <c r="G105" i="8"/>
  <c r="H105" i="8"/>
  <c r="I105" i="8"/>
  <c r="J105" i="8"/>
  <c r="A106" i="8"/>
  <c r="B106" i="8"/>
  <c r="C106" i="8"/>
  <c r="D106" i="8"/>
  <c r="E106" i="8"/>
  <c r="F106" i="8"/>
  <c r="G106" i="8"/>
  <c r="H106" i="8"/>
  <c r="I106" i="8"/>
  <c r="J106" i="8"/>
  <c r="A107" i="8"/>
  <c r="B107" i="8"/>
  <c r="C107" i="8"/>
  <c r="D107" i="8"/>
  <c r="E107" i="8"/>
  <c r="F107" i="8"/>
  <c r="G107" i="8"/>
  <c r="H107" i="8"/>
  <c r="I107" i="8"/>
  <c r="J107" i="8"/>
  <c r="A108" i="8"/>
  <c r="B108" i="8"/>
  <c r="C108" i="8"/>
  <c r="D108" i="8"/>
  <c r="E108" i="8"/>
  <c r="F108" i="8"/>
  <c r="G108" i="8"/>
  <c r="H108" i="8"/>
  <c r="I108" i="8"/>
  <c r="J108" i="8"/>
  <c r="A109" i="8"/>
  <c r="B109" i="8"/>
  <c r="C109" i="8"/>
  <c r="D109" i="8"/>
  <c r="E109" i="8"/>
  <c r="F109" i="8"/>
  <c r="G109" i="8"/>
  <c r="H109" i="8"/>
  <c r="I109" i="8"/>
  <c r="J109" i="8"/>
  <c r="A110" i="8"/>
  <c r="B110" i="8"/>
  <c r="C110" i="8"/>
  <c r="D110" i="8"/>
  <c r="E110" i="8"/>
  <c r="F110" i="8"/>
  <c r="G110" i="8"/>
  <c r="H110" i="8"/>
  <c r="I110" i="8"/>
  <c r="J110" i="8"/>
  <c r="A111" i="8"/>
  <c r="B111" i="8"/>
  <c r="C111" i="8"/>
  <c r="D111" i="8"/>
  <c r="E111" i="8"/>
  <c r="F111" i="8"/>
  <c r="G111" i="8"/>
  <c r="H111" i="8"/>
  <c r="I111" i="8"/>
  <c r="J111" i="8"/>
  <c r="A112" i="8"/>
  <c r="B112" i="8"/>
  <c r="C112" i="8"/>
  <c r="D112" i="8"/>
  <c r="E112" i="8"/>
  <c r="F112" i="8"/>
  <c r="G112" i="8"/>
  <c r="H112" i="8"/>
  <c r="I112" i="8"/>
  <c r="J112" i="8"/>
  <c r="A113" i="8"/>
  <c r="B113" i="8"/>
  <c r="C113" i="8"/>
  <c r="D113" i="8"/>
  <c r="E113" i="8"/>
  <c r="F113" i="8"/>
  <c r="G113" i="8"/>
  <c r="H113" i="8"/>
  <c r="I113" i="8"/>
  <c r="J113" i="8"/>
  <c r="A114" i="8"/>
  <c r="B114" i="8"/>
  <c r="C114" i="8"/>
  <c r="D114" i="8"/>
  <c r="E114" i="8"/>
  <c r="F114" i="8"/>
  <c r="G114" i="8"/>
  <c r="H114" i="8"/>
  <c r="I114" i="8"/>
  <c r="J114" i="8"/>
  <c r="A115" i="8"/>
  <c r="B115" i="8"/>
  <c r="C115" i="8"/>
  <c r="D115" i="8"/>
  <c r="E115" i="8"/>
  <c r="F115" i="8"/>
  <c r="G115" i="8"/>
  <c r="H115" i="8"/>
  <c r="I115" i="8"/>
  <c r="J115" i="8"/>
  <c r="A116" i="8"/>
  <c r="B116" i="8"/>
  <c r="C116" i="8"/>
  <c r="D116" i="8"/>
  <c r="E116" i="8"/>
  <c r="F116" i="8"/>
  <c r="G116" i="8"/>
  <c r="H116" i="8"/>
  <c r="I116" i="8"/>
  <c r="J116" i="8"/>
  <c r="A117" i="8"/>
  <c r="B117" i="8"/>
  <c r="C117" i="8"/>
  <c r="D117" i="8"/>
  <c r="E117" i="8"/>
  <c r="F117" i="8"/>
  <c r="G117" i="8"/>
  <c r="H117" i="8"/>
  <c r="I117" i="8"/>
  <c r="J117" i="8"/>
  <c r="A118" i="8"/>
  <c r="B118" i="8"/>
  <c r="C118" i="8"/>
  <c r="D118" i="8"/>
  <c r="E118" i="8"/>
  <c r="F118" i="8"/>
  <c r="G118" i="8"/>
  <c r="H118" i="8"/>
  <c r="I118" i="8"/>
  <c r="J118" i="8"/>
  <c r="A119" i="8"/>
  <c r="B119" i="8"/>
  <c r="C119" i="8"/>
  <c r="D119" i="8"/>
  <c r="E119" i="8"/>
  <c r="F119" i="8"/>
  <c r="G119" i="8"/>
  <c r="H119" i="8"/>
  <c r="I119" i="8"/>
  <c r="J119" i="8"/>
  <c r="A120" i="8"/>
  <c r="B120" i="8"/>
  <c r="C120" i="8"/>
  <c r="D120" i="8"/>
  <c r="E120" i="8"/>
  <c r="F120" i="8"/>
  <c r="G120" i="8"/>
  <c r="H120" i="8"/>
  <c r="I120" i="8"/>
  <c r="J120" i="8"/>
  <c r="A121" i="8"/>
  <c r="B121" i="8"/>
  <c r="C121" i="8"/>
  <c r="D121" i="8"/>
  <c r="E121" i="8"/>
  <c r="F121" i="8"/>
  <c r="G121" i="8"/>
  <c r="H121" i="8"/>
  <c r="I121" i="8"/>
  <c r="J121" i="8"/>
  <c r="A122" i="8"/>
  <c r="B122" i="8"/>
  <c r="C122" i="8"/>
  <c r="D122" i="8"/>
  <c r="E122" i="8"/>
  <c r="F122" i="8"/>
  <c r="G122" i="8"/>
  <c r="H122" i="8"/>
  <c r="I122" i="8"/>
  <c r="J122" i="8"/>
  <c r="A123" i="8"/>
  <c r="B123" i="8"/>
  <c r="C123" i="8"/>
  <c r="D123" i="8"/>
  <c r="E123" i="8"/>
  <c r="F123" i="8"/>
  <c r="G123" i="8"/>
  <c r="H123" i="8"/>
  <c r="I123" i="8"/>
  <c r="J123" i="8"/>
  <c r="A124" i="8"/>
  <c r="B124" i="8"/>
  <c r="C124" i="8"/>
  <c r="D124" i="8"/>
  <c r="E124" i="8"/>
  <c r="F124" i="8"/>
  <c r="G124" i="8"/>
  <c r="H124" i="8"/>
  <c r="I124" i="8"/>
  <c r="J124" i="8"/>
  <c r="A125" i="8"/>
  <c r="B125" i="8"/>
  <c r="C125" i="8"/>
  <c r="D125" i="8"/>
  <c r="E125" i="8"/>
  <c r="F125" i="8"/>
  <c r="G125" i="8"/>
  <c r="H125" i="8"/>
  <c r="I125" i="8"/>
  <c r="J125" i="8"/>
  <c r="A126" i="8"/>
  <c r="B126" i="8"/>
  <c r="C126" i="8"/>
  <c r="D126" i="8"/>
  <c r="E126" i="8"/>
  <c r="F126" i="8"/>
  <c r="G126" i="8"/>
  <c r="H126" i="8"/>
  <c r="I126" i="8"/>
  <c r="J126" i="8"/>
  <c r="A127" i="8"/>
  <c r="B127" i="8"/>
  <c r="C127" i="8"/>
  <c r="D127" i="8"/>
  <c r="E127" i="8"/>
  <c r="F127" i="8"/>
  <c r="G127" i="8"/>
  <c r="H127" i="8"/>
  <c r="I127" i="8"/>
  <c r="J127" i="8"/>
  <c r="A128" i="8"/>
  <c r="B128" i="8"/>
  <c r="C128" i="8"/>
  <c r="D128" i="8"/>
  <c r="E128" i="8"/>
  <c r="F128" i="8"/>
  <c r="G128" i="8"/>
  <c r="H128" i="8"/>
  <c r="I128" i="8"/>
  <c r="J128" i="8"/>
  <c r="A129" i="8"/>
  <c r="B129" i="8"/>
  <c r="C129" i="8"/>
  <c r="D129" i="8"/>
  <c r="E129" i="8"/>
  <c r="F129" i="8"/>
  <c r="G129" i="8"/>
  <c r="H129" i="8"/>
  <c r="I129" i="8"/>
  <c r="J129" i="8"/>
  <c r="A130" i="8"/>
  <c r="B130" i="8"/>
  <c r="C130" i="8"/>
  <c r="D130" i="8"/>
  <c r="E130" i="8"/>
  <c r="F130" i="8"/>
  <c r="G130" i="8"/>
  <c r="H130" i="8"/>
  <c r="I130" i="8"/>
  <c r="J130" i="8"/>
  <c r="A131" i="8"/>
  <c r="B131" i="8"/>
  <c r="C131" i="8"/>
  <c r="D131" i="8"/>
  <c r="E131" i="8"/>
  <c r="F131" i="8"/>
  <c r="G131" i="8"/>
  <c r="H131" i="8"/>
  <c r="I131" i="8"/>
  <c r="J131" i="8"/>
  <c r="A132" i="8"/>
  <c r="B132" i="8"/>
  <c r="C132" i="8"/>
  <c r="D132" i="8"/>
  <c r="E132" i="8"/>
  <c r="F132" i="8"/>
  <c r="G132" i="8"/>
  <c r="H132" i="8"/>
  <c r="I132" i="8"/>
  <c r="J132" i="8"/>
  <c r="A133" i="8"/>
  <c r="B133" i="8"/>
  <c r="C133" i="8"/>
  <c r="D133" i="8"/>
  <c r="E133" i="8"/>
  <c r="F133" i="8"/>
  <c r="G133" i="8"/>
  <c r="H133" i="8"/>
  <c r="I133" i="8"/>
  <c r="J133" i="8"/>
  <c r="A134" i="8"/>
  <c r="B134" i="8"/>
  <c r="C134" i="8"/>
  <c r="D134" i="8"/>
  <c r="E134" i="8"/>
  <c r="F134" i="8"/>
  <c r="G134" i="8"/>
  <c r="H134" i="8"/>
  <c r="I134" i="8"/>
  <c r="J134" i="8"/>
  <c r="A135" i="8"/>
  <c r="B135" i="8"/>
  <c r="C135" i="8"/>
  <c r="D135" i="8"/>
  <c r="E135" i="8"/>
  <c r="F135" i="8"/>
  <c r="G135" i="8"/>
  <c r="H135" i="8"/>
  <c r="I135" i="8"/>
  <c r="J135" i="8"/>
  <c r="A136" i="8"/>
  <c r="B136" i="8"/>
  <c r="C136" i="8"/>
  <c r="D136" i="8"/>
  <c r="E136" i="8"/>
  <c r="F136" i="8"/>
  <c r="G136" i="8"/>
  <c r="H136" i="8"/>
  <c r="I136" i="8"/>
  <c r="J136" i="8"/>
  <c r="A137" i="8"/>
  <c r="B137" i="8"/>
  <c r="C137" i="8"/>
  <c r="D137" i="8"/>
  <c r="E137" i="8"/>
  <c r="F137" i="8"/>
  <c r="G137" i="8"/>
  <c r="H137" i="8"/>
  <c r="I137" i="8"/>
  <c r="J137" i="8"/>
  <c r="A138" i="8"/>
  <c r="B138" i="8"/>
  <c r="C138" i="8"/>
  <c r="D138" i="8"/>
  <c r="E138" i="8"/>
  <c r="F138" i="8"/>
  <c r="G138" i="8"/>
  <c r="H138" i="8"/>
  <c r="I138" i="8"/>
  <c r="J138" i="8"/>
  <c r="A139" i="8"/>
  <c r="B139" i="8"/>
  <c r="C139" i="8"/>
  <c r="D139" i="8"/>
  <c r="E139" i="8"/>
  <c r="F139" i="8"/>
  <c r="G139" i="8"/>
  <c r="H139" i="8"/>
  <c r="I139" i="8"/>
  <c r="J139" i="8"/>
  <c r="A140" i="8"/>
  <c r="B140" i="8"/>
  <c r="C140" i="8"/>
  <c r="D140" i="8"/>
  <c r="E140" i="8"/>
  <c r="F140" i="8"/>
  <c r="G140" i="8"/>
  <c r="H140" i="8"/>
  <c r="I140" i="8"/>
  <c r="J140" i="8"/>
  <c r="A141" i="8"/>
  <c r="B141" i="8"/>
  <c r="C141" i="8"/>
  <c r="D141" i="8"/>
  <c r="E141" i="8"/>
  <c r="F141" i="8"/>
  <c r="G141" i="8"/>
  <c r="H141" i="8"/>
  <c r="I141" i="8"/>
  <c r="J141" i="8"/>
  <c r="A142" i="8"/>
  <c r="B142" i="8"/>
  <c r="C142" i="8"/>
  <c r="D142" i="8"/>
  <c r="E142" i="8"/>
  <c r="F142" i="8"/>
  <c r="G142" i="8"/>
  <c r="H142" i="8"/>
  <c r="I142" i="8"/>
  <c r="J142" i="8"/>
  <c r="A143" i="8"/>
  <c r="B143" i="8"/>
  <c r="C143" i="8"/>
  <c r="D143" i="8"/>
  <c r="E143" i="8"/>
  <c r="F143" i="8"/>
  <c r="G143" i="8"/>
  <c r="H143" i="8"/>
  <c r="I143" i="8"/>
  <c r="J143" i="8"/>
  <c r="A144" i="8"/>
  <c r="B144" i="8"/>
  <c r="C144" i="8"/>
  <c r="D144" i="8"/>
  <c r="E144" i="8"/>
  <c r="F144" i="8"/>
  <c r="G144" i="8"/>
  <c r="H144" i="8"/>
  <c r="I144" i="8"/>
  <c r="J144" i="8"/>
  <c r="A145" i="8"/>
  <c r="B145" i="8"/>
  <c r="C145" i="8"/>
  <c r="D145" i="8"/>
  <c r="E145" i="8"/>
  <c r="F145" i="8"/>
  <c r="G145" i="8"/>
  <c r="H145" i="8"/>
  <c r="I145" i="8"/>
  <c r="J145" i="8"/>
  <c r="A146" i="8"/>
  <c r="B146" i="8"/>
  <c r="C146" i="8"/>
  <c r="D146" i="8"/>
  <c r="E146" i="8"/>
  <c r="F146" i="8"/>
  <c r="G146" i="8"/>
  <c r="H146" i="8"/>
  <c r="I146" i="8"/>
  <c r="J146" i="8"/>
  <c r="A147" i="8"/>
  <c r="B147" i="8"/>
  <c r="C147" i="8"/>
  <c r="D147" i="8"/>
  <c r="E147" i="8"/>
  <c r="F147" i="8"/>
  <c r="G147" i="8"/>
  <c r="H147" i="8"/>
  <c r="I147" i="8"/>
  <c r="J147" i="8"/>
  <c r="A148" i="8"/>
  <c r="B148" i="8"/>
  <c r="C148" i="8"/>
  <c r="D148" i="8"/>
  <c r="E148" i="8"/>
  <c r="F148" i="8"/>
  <c r="G148" i="8"/>
  <c r="H148" i="8"/>
  <c r="I148" i="8"/>
  <c r="J148" i="8"/>
  <c r="A149" i="8"/>
  <c r="B149" i="8"/>
  <c r="C149" i="8"/>
  <c r="D149" i="8"/>
  <c r="E149" i="8"/>
  <c r="F149" i="8"/>
  <c r="G149" i="8"/>
  <c r="H149" i="8"/>
  <c r="I149" i="8"/>
  <c r="J149" i="8"/>
  <c r="A150" i="8"/>
  <c r="B150" i="8"/>
  <c r="C150" i="8"/>
  <c r="D150" i="8"/>
  <c r="E150" i="8"/>
  <c r="F150" i="8"/>
  <c r="G150" i="8"/>
  <c r="H150" i="8"/>
  <c r="I150" i="8"/>
  <c r="J150" i="8"/>
  <c r="A151" i="8"/>
  <c r="B151" i="8"/>
  <c r="C151" i="8"/>
  <c r="D151" i="8"/>
  <c r="E151" i="8"/>
  <c r="F151" i="8"/>
  <c r="G151" i="8"/>
  <c r="H151" i="8"/>
  <c r="I151" i="8"/>
  <c r="J151" i="8"/>
  <c r="A152" i="8"/>
  <c r="B152" i="8"/>
  <c r="C152" i="8"/>
  <c r="D152" i="8"/>
  <c r="E152" i="8"/>
  <c r="F152" i="8"/>
  <c r="G152" i="8"/>
  <c r="H152" i="8"/>
  <c r="I152" i="8"/>
  <c r="J152" i="8"/>
  <c r="A153" i="8"/>
  <c r="B153" i="8"/>
  <c r="C153" i="8"/>
  <c r="D153" i="8"/>
  <c r="E153" i="8"/>
  <c r="F153" i="8"/>
  <c r="G153" i="8"/>
  <c r="H153" i="8"/>
  <c r="I153" i="8"/>
  <c r="J153" i="8"/>
  <c r="A154" i="8"/>
  <c r="B154" i="8"/>
  <c r="C154" i="8"/>
  <c r="D154" i="8"/>
  <c r="E154" i="8"/>
  <c r="F154" i="8"/>
  <c r="G154" i="8"/>
  <c r="H154" i="8"/>
  <c r="I154" i="8"/>
  <c r="J154" i="8"/>
  <c r="A155" i="8"/>
  <c r="B155" i="8"/>
  <c r="C155" i="8"/>
  <c r="D155" i="8"/>
  <c r="E155" i="8"/>
  <c r="F155" i="8"/>
  <c r="G155" i="8"/>
  <c r="H155" i="8"/>
  <c r="I155" i="8"/>
  <c r="J155" i="8"/>
  <c r="A156" i="8"/>
  <c r="B156" i="8"/>
  <c r="C156" i="8"/>
  <c r="D156" i="8"/>
  <c r="E156" i="8"/>
  <c r="F156" i="8"/>
  <c r="G156" i="8"/>
  <c r="H156" i="8"/>
  <c r="I156" i="8"/>
  <c r="J156" i="8"/>
  <c r="A157" i="8"/>
  <c r="B157" i="8"/>
  <c r="C157" i="8"/>
  <c r="D157" i="8"/>
  <c r="E157" i="8"/>
  <c r="F157" i="8"/>
  <c r="G157" i="8"/>
  <c r="H157" i="8"/>
  <c r="I157" i="8"/>
  <c r="J157" i="8"/>
  <c r="A158" i="8"/>
  <c r="B158" i="8"/>
  <c r="C158" i="8"/>
  <c r="D158" i="8"/>
  <c r="E158" i="8"/>
  <c r="F158" i="8"/>
  <c r="G158" i="8"/>
  <c r="H158" i="8"/>
  <c r="I158" i="8"/>
  <c r="J158" i="8"/>
  <c r="A159" i="8"/>
  <c r="B159" i="8"/>
  <c r="C159" i="8"/>
  <c r="D159" i="8"/>
  <c r="E159" i="8"/>
  <c r="F159" i="8"/>
  <c r="G159" i="8"/>
  <c r="H159" i="8"/>
  <c r="I159" i="8"/>
  <c r="J159" i="8"/>
  <c r="A160" i="8"/>
  <c r="B160" i="8"/>
  <c r="C160" i="8"/>
  <c r="D160" i="8"/>
  <c r="E160" i="8"/>
  <c r="F160" i="8"/>
  <c r="G160" i="8"/>
  <c r="H160" i="8"/>
  <c r="I160" i="8"/>
  <c r="J160" i="8"/>
  <c r="A161" i="8"/>
  <c r="B161" i="8"/>
  <c r="C161" i="8"/>
  <c r="D161" i="8"/>
  <c r="E161" i="8"/>
  <c r="F161" i="8"/>
  <c r="G161" i="8"/>
  <c r="H161" i="8"/>
  <c r="I161" i="8"/>
  <c r="J161" i="8"/>
  <c r="A162" i="8"/>
  <c r="B162" i="8"/>
  <c r="C162" i="8"/>
  <c r="D162" i="8"/>
  <c r="E162" i="8"/>
  <c r="F162" i="8"/>
  <c r="G162" i="8"/>
  <c r="H162" i="8"/>
  <c r="I162" i="8"/>
  <c r="J162" i="8"/>
  <c r="A163" i="8"/>
  <c r="B163" i="8"/>
  <c r="C163" i="8"/>
  <c r="D163" i="8"/>
  <c r="E163" i="8"/>
  <c r="F163" i="8"/>
  <c r="G163" i="8"/>
  <c r="H163" i="8"/>
  <c r="I163" i="8"/>
  <c r="J163" i="8"/>
  <c r="A164" i="8"/>
  <c r="B164" i="8"/>
  <c r="C164" i="8"/>
  <c r="D164" i="8"/>
  <c r="E164" i="8"/>
  <c r="F164" i="8"/>
  <c r="G164" i="8"/>
  <c r="H164" i="8"/>
  <c r="I164" i="8"/>
  <c r="J164" i="8"/>
  <c r="A165" i="8"/>
  <c r="B165" i="8"/>
  <c r="C165" i="8"/>
  <c r="D165" i="8"/>
  <c r="E165" i="8"/>
  <c r="F165" i="8"/>
  <c r="G165" i="8"/>
  <c r="H165" i="8"/>
  <c r="I165" i="8"/>
  <c r="J165" i="8"/>
  <c r="A166" i="8"/>
  <c r="B166" i="8"/>
  <c r="C166" i="8"/>
  <c r="D166" i="8"/>
  <c r="E166" i="8"/>
  <c r="F166" i="8"/>
  <c r="G166" i="8"/>
  <c r="H166" i="8"/>
  <c r="I166" i="8"/>
  <c r="J166" i="8"/>
  <c r="A167" i="8"/>
  <c r="B167" i="8"/>
  <c r="C167" i="8"/>
  <c r="D167" i="8"/>
  <c r="E167" i="8"/>
  <c r="F167" i="8"/>
  <c r="G167" i="8"/>
  <c r="H167" i="8"/>
  <c r="I167" i="8"/>
  <c r="J167" i="8"/>
  <c r="A168" i="8"/>
  <c r="B168" i="8"/>
  <c r="C168" i="8"/>
  <c r="D168" i="8"/>
  <c r="E168" i="8"/>
  <c r="F168" i="8"/>
  <c r="G168" i="8"/>
  <c r="H168" i="8"/>
  <c r="I168" i="8"/>
  <c r="J168" i="8"/>
  <c r="A169" i="8"/>
  <c r="B169" i="8"/>
  <c r="C169" i="8"/>
  <c r="D169" i="8"/>
  <c r="E169" i="8"/>
  <c r="F169" i="8"/>
  <c r="G169" i="8"/>
  <c r="H169" i="8"/>
  <c r="I169" i="8"/>
  <c r="J169" i="8"/>
  <c r="A170" i="8"/>
  <c r="B170" i="8"/>
  <c r="C170" i="8"/>
  <c r="D170" i="8"/>
  <c r="E170" i="8"/>
  <c r="F170" i="8"/>
  <c r="G170" i="8"/>
  <c r="H170" i="8"/>
  <c r="I170" i="8"/>
  <c r="J170" i="8"/>
  <c r="A171" i="8"/>
  <c r="B171" i="8"/>
  <c r="C171" i="8"/>
  <c r="D171" i="8"/>
  <c r="E171" i="8"/>
  <c r="F171" i="8"/>
  <c r="G171" i="8"/>
  <c r="H171" i="8"/>
  <c r="I171" i="8"/>
  <c r="J171" i="8"/>
  <c r="A172" i="8"/>
  <c r="B172" i="8"/>
  <c r="C172" i="8"/>
  <c r="D172" i="8"/>
  <c r="E172" i="8"/>
  <c r="F172" i="8"/>
  <c r="G172" i="8"/>
  <c r="H172" i="8"/>
  <c r="I172" i="8"/>
  <c r="J172" i="8"/>
  <c r="A173" i="8"/>
  <c r="B173" i="8"/>
  <c r="C173" i="8"/>
  <c r="D173" i="8"/>
  <c r="E173" i="8"/>
  <c r="F173" i="8"/>
  <c r="G173" i="8"/>
  <c r="H173" i="8"/>
  <c r="I173" i="8"/>
  <c r="J173" i="8"/>
  <c r="A174" i="8"/>
  <c r="B174" i="8"/>
  <c r="C174" i="8"/>
  <c r="D174" i="8"/>
  <c r="E174" i="8"/>
  <c r="F174" i="8"/>
  <c r="G174" i="8"/>
  <c r="H174" i="8"/>
  <c r="I174" i="8"/>
  <c r="J174" i="8"/>
  <c r="A175" i="8"/>
  <c r="B175" i="8"/>
  <c r="C175" i="8"/>
  <c r="D175" i="8"/>
  <c r="E175" i="8"/>
  <c r="F175" i="8"/>
  <c r="G175" i="8"/>
  <c r="H175" i="8"/>
  <c r="I175" i="8"/>
  <c r="J175" i="8"/>
  <c r="A176" i="8"/>
  <c r="B176" i="8"/>
  <c r="C176" i="8"/>
  <c r="D176" i="8"/>
  <c r="E176" i="8"/>
  <c r="F176" i="8"/>
  <c r="G176" i="8"/>
  <c r="H176" i="8"/>
  <c r="I176" i="8"/>
  <c r="J176" i="8"/>
  <c r="A177" i="8"/>
  <c r="B177" i="8"/>
  <c r="C177" i="8"/>
  <c r="D177" i="8"/>
  <c r="E177" i="8"/>
  <c r="F177" i="8"/>
  <c r="G177" i="8"/>
  <c r="H177" i="8"/>
  <c r="I177" i="8"/>
  <c r="J177" i="8"/>
  <c r="A178" i="8"/>
  <c r="B178" i="8"/>
  <c r="C178" i="8"/>
  <c r="D178" i="8"/>
  <c r="E178" i="8"/>
  <c r="F178" i="8"/>
  <c r="G178" i="8"/>
  <c r="H178" i="8"/>
  <c r="I178" i="8"/>
  <c r="J178" i="8"/>
  <c r="A179" i="8"/>
  <c r="B179" i="8"/>
  <c r="C179" i="8"/>
  <c r="D179" i="8"/>
  <c r="E179" i="8"/>
  <c r="F179" i="8"/>
  <c r="G179" i="8"/>
  <c r="H179" i="8"/>
  <c r="I179" i="8"/>
  <c r="J179" i="8"/>
  <c r="A180" i="8"/>
  <c r="B180" i="8"/>
  <c r="C180" i="8"/>
  <c r="D180" i="8"/>
  <c r="E180" i="8"/>
  <c r="F180" i="8"/>
  <c r="G180" i="8"/>
  <c r="H180" i="8"/>
  <c r="I180" i="8"/>
  <c r="J180" i="8"/>
  <c r="A181" i="8"/>
  <c r="B181" i="8"/>
  <c r="C181" i="8"/>
  <c r="D181" i="8"/>
  <c r="E181" i="8"/>
  <c r="F181" i="8"/>
  <c r="G181" i="8"/>
  <c r="H181" i="8"/>
  <c r="I181" i="8"/>
  <c r="J181" i="8"/>
  <c r="A182" i="8"/>
  <c r="B182" i="8"/>
  <c r="C182" i="8"/>
  <c r="D182" i="8"/>
  <c r="E182" i="8"/>
  <c r="F182" i="8"/>
  <c r="G182" i="8"/>
  <c r="H182" i="8"/>
  <c r="I182" i="8"/>
  <c r="J182" i="8"/>
  <c r="A183" i="8"/>
  <c r="B183" i="8"/>
  <c r="C183" i="8"/>
  <c r="D183" i="8"/>
  <c r="E183" i="8"/>
  <c r="F183" i="8"/>
  <c r="G183" i="8"/>
  <c r="H183" i="8"/>
  <c r="I183" i="8"/>
  <c r="J183" i="8"/>
  <c r="A184" i="8"/>
  <c r="B184" i="8"/>
  <c r="C184" i="8"/>
  <c r="D184" i="8"/>
  <c r="E184" i="8"/>
  <c r="F184" i="8"/>
  <c r="G184" i="8"/>
  <c r="H184" i="8"/>
  <c r="I184" i="8"/>
  <c r="J184" i="8"/>
  <c r="A185" i="8"/>
  <c r="B185" i="8"/>
  <c r="C185" i="8"/>
  <c r="D185" i="8"/>
  <c r="E185" i="8"/>
  <c r="F185" i="8"/>
  <c r="G185" i="8"/>
  <c r="H185" i="8"/>
  <c r="I185" i="8"/>
  <c r="J185" i="8"/>
  <c r="A186" i="8"/>
  <c r="B186" i="8"/>
  <c r="C186" i="8"/>
  <c r="D186" i="8"/>
  <c r="E186" i="8"/>
  <c r="F186" i="8"/>
  <c r="G186" i="8"/>
  <c r="H186" i="8"/>
  <c r="I186" i="8"/>
  <c r="J186" i="8"/>
  <c r="A187" i="8"/>
  <c r="B187" i="8"/>
  <c r="C187" i="8"/>
  <c r="D187" i="8"/>
  <c r="E187" i="8"/>
  <c r="F187" i="8"/>
  <c r="G187" i="8"/>
  <c r="H187" i="8"/>
  <c r="I187" i="8"/>
  <c r="J187" i="8"/>
  <c r="A188" i="8"/>
  <c r="B188" i="8"/>
  <c r="C188" i="8"/>
  <c r="D188" i="8"/>
  <c r="E188" i="8"/>
  <c r="F188" i="8"/>
  <c r="G188" i="8"/>
  <c r="H188" i="8"/>
  <c r="I188" i="8"/>
  <c r="J188" i="8"/>
  <c r="A189" i="8"/>
  <c r="B189" i="8"/>
  <c r="C189" i="8"/>
  <c r="D189" i="8"/>
  <c r="E189" i="8"/>
  <c r="F189" i="8"/>
  <c r="G189" i="8"/>
  <c r="H189" i="8"/>
  <c r="I189" i="8"/>
  <c r="J189" i="8"/>
  <c r="A190" i="8"/>
  <c r="B190" i="8"/>
  <c r="C190" i="8"/>
  <c r="D190" i="8"/>
  <c r="E190" i="8"/>
  <c r="F190" i="8"/>
  <c r="G190" i="8"/>
  <c r="H190" i="8"/>
  <c r="I190" i="8"/>
  <c r="J190" i="8"/>
  <c r="A191" i="8"/>
  <c r="B191" i="8"/>
  <c r="C191" i="8"/>
  <c r="D191" i="8"/>
  <c r="E191" i="8"/>
  <c r="F191" i="8"/>
  <c r="G191" i="8"/>
  <c r="H191" i="8"/>
  <c r="I191" i="8"/>
  <c r="J191" i="8"/>
  <c r="A192" i="8"/>
  <c r="B192" i="8"/>
  <c r="C192" i="8"/>
  <c r="D192" i="8"/>
  <c r="E192" i="8"/>
  <c r="F192" i="8"/>
  <c r="G192" i="8"/>
  <c r="H192" i="8"/>
  <c r="I192" i="8"/>
  <c r="J192" i="8"/>
  <c r="A193" i="8"/>
  <c r="B193" i="8"/>
  <c r="C193" i="8"/>
  <c r="D193" i="8"/>
  <c r="E193" i="8"/>
  <c r="F193" i="8"/>
  <c r="G193" i="8"/>
  <c r="H193" i="8"/>
  <c r="I193" i="8"/>
  <c r="J193" i="8"/>
  <c r="A194" i="8"/>
  <c r="B194" i="8"/>
  <c r="C194" i="8"/>
  <c r="D194" i="8"/>
  <c r="E194" i="8"/>
  <c r="F194" i="8"/>
  <c r="G194" i="8"/>
  <c r="H194" i="8"/>
  <c r="I194" i="8"/>
  <c r="J194" i="8"/>
  <c r="A195" i="8"/>
  <c r="B195" i="8"/>
  <c r="C195" i="8"/>
  <c r="D195" i="8"/>
  <c r="E195" i="8"/>
  <c r="F195" i="8"/>
  <c r="G195" i="8"/>
  <c r="H195" i="8"/>
  <c r="I195" i="8"/>
  <c r="J195" i="8"/>
  <c r="A196" i="8"/>
  <c r="B196" i="8"/>
  <c r="C196" i="8"/>
  <c r="D196" i="8"/>
  <c r="E196" i="8"/>
  <c r="F196" i="8"/>
  <c r="G196" i="8"/>
  <c r="H196" i="8"/>
  <c r="I196" i="8"/>
  <c r="J196" i="8"/>
  <c r="A197" i="8"/>
  <c r="B197" i="8"/>
  <c r="C197" i="8"/>
  <c r="D197" i="8"/>
  <c r="E197" i="8"/>
  <c r="F197" i="8"/>
  <c r="G197" i="8"/>
  <c r="H197" i="8"/>
  <c r="I197" i="8"/>
  <c r="J197" i="8"/>
  <c r="A198" i="8"/>
  <c r="B198" i="8"/>
  <c r="C198" i="8"/>
  <c r="D198" i="8"/>
  <c r="E198" i="8"/>
  <c r="F198" i="8"/>
  <c r="G198" i="8"/>
  <c r="H198" i="8"/>
  <c r="I198" i="8"/>
  <c r="J198" i="8"/>
  <c r="A199" i="8"/>
  <c r="B199" i="8"/>
  <c r="C199" i="8"/>
  <c r="D199" i="8"/>
  <c r="E199" i="8"/>
  <c r="F199" i="8"/>
  <c r="G199" i="8"/>
  <c r="H199" i="8"/>
  <c r="I199" i="8"/>
  <c r="J199" i="8"/>
  <c r="A200" i="8"/>
  <c r="B200" i="8"/>
  <c r="C200" i="8"/>
  <c r="D200" i="8"/>
  <c r="E200" i="8"/>
  <c r="F200" i="8"/>
  <c r="G200" i="8"/>
  <c r="H200" i="8"/>
  <c r="I200" i="8"/>
  <c r="J200" i="8"/>
  <c r="A201" i="8"/>
  <c r="B201" i="8"/>
  <c r="C201" i="8"/>
  <c r="D201" i="8"/>
  <c r="E201" i="8"/>
  <c r="F201" i="8"/>
  <c r="G201" i="8"/>
  <c r="H201" i="8"/>
  <c r="I201" i="8"/>
  <c r="J201" i="8"/>
  <c r="A202" i="8"/>
  <c r="B202" i="8"/>
  <c r="C202" i="8"/>
  <c r="D202" i="8"/>
  <c r="E202" i="8"/>
  <c r="F202" i="8"/>
  <c r="G202" i="8"/>
  <c r="H202" i="8"/>
  <c r="I202" i="8"/>
  <c r="J202" i="8"/>
  <c r="A203" i="8"/>
  <c r="B203" i="8"/>
  <c r="C203" i="8"/>
  <c r="D203" i="8"/>
  <c r="E203" i="8"/>
  <c r="F203" i="8"/>
  <c r="G203" i="8"/>
  <c r="H203" i="8"/>
  <c r="I203" i="8"/>
  <c r="J203" i="8"/>
  <c r="A204" i="8"/>
  <c r="B204" i="8"/>
  <c r="C204" i="8"/>
  <c r="D204" i="8"/>
  <c r="E204" i="8"/>
  <c r="F204" i="8"/>
  <c r="G204" i="8"/>
  <c r="H204" i="8"/>
  <c r="I204" i="8"/>
  <c r="J204" i="8"/>
  <c r="A205" i="8"/>
  <c r="B205" i="8"/>
  <c r="C205" i="8"/>
  <c r="D205" i="8"/>
  <c r="E205" i="8"/>
  <c r="F205" i="8"/>
  <c r="G205" i="8"/>
  <c r="H205" i="8"/>
  <c r="I205" i="8"/>
  <c r="J205" i="8"/>
  <c r="A206" i="8"/>
  <c r="B206" i="8"/>
  <c r="C206" i="8"/>
  <c r="D206" i="8"/>
  <c r="E206" i="8"/>
  <c r="F206" i="8"/>
  <c r="G206" i="8"/>
  <c r="H206" i="8"/>
  <c r="I206" i="8"/>
  <c r="J206" i="8"/>
  <c r="A207" i="8"/>
  <c r="B207" i="8"/>
  <c r="C207" i="8"/>
  <c r="D207" i="8"/>
  <c r="E207" i="8"/>
  <c r="F207" i="8"/>
  <c r="G207" i="8"/>
  <c r="H207" i="8"/>
  <c r="I207" i="8"/>
  <c r="J207" i="8"/>
  <c r="A208" i="8"/>
  <c r="B208" i="8"/>
  <c r="C208" i="8"/>
  <c r="D208" i="8"/>
  <c r="E208" i="8"/>
  <c r="F208" i="8"/>
  <c r="G208" i="8"/>
  <c r="H208" i="8"/>
  <c r="I208" i="8"/>
  <c r="J208" i="8"/>
  <c r="A209" i="8"/>
  <c r="B209" i="8"/>
  <c r="C209" i="8"/>
  <c r="D209" i="8"/>
  <c r="E209" i="8"/>
  <c r="F209" i="8"/>
  <c r="G209" i="8"/>
  <c r="H209" i="8"/>
  <c r="I209" i="8"/>
  <c r="J209" i="8"/>
  <c r="A210" i="8"/>
  <c r="B210" i="8"/>
  <c r="C210" i="8"/>
  <c r="D210" i="8"/>
  <c r="E210" i="8"/>
  <c r="F210" i="8"/>
  <c r="G210" i="8"/>
  <c r="H210" i="8"/>
  <c r="I210" i="8"/>
  <c r="J210" i="8"/>
  <c r="A211" i="8"/>
  <c r="B211" i="8"/>
  <c r="C211" i="8"/>
  <c r="D211" i="8"/>
  <c r="E211" i="8"/>
  <c r="F211" i="8"/>
  <c r="G211" i="8"/>
  <c r="H211" i="8"/>
  <c r="I211" i="8"/>
  <c r="J211" i="8"/>
  <c r="A212" i="8"/>
  <c r="B212" i="8"/>
  <c r="C212" i="8"/>
  <c r="D212" i="8"/>
  <c r="E212" i="8"/>
  <c r="F212" i="8"/>
  <c r="G212" i="8"/>
  <c r="H212" i="8"/>
  <c r="I212" i="8"/>
  <c r="J212" i="8"/>
  <c r="A213" i="8"/>
  <c r="B213" i="8"/>
  <c r="C213" i="8"/>
  <c r="D213" i="8"/>
  <c r="E213" i="8"/>
  <c r="F213" i="8"/>
  <c r="G213" i="8"/>
  <c r="H213" i="8"/>
  <c r="I213" i="8"/>
  <c r="J213" i="8"/>
  <c r="A214" i="8"/>
  <c r="B214" i="8"/>
  <c r="C214" i="8"/>
  <c r="D214" i="8"/>
  <c r="E214" i="8"/>
  <c r="F214" i="8"/>
  <c r="G214" i="8"/>
  <c r="H214" i="8"/>
  <c r="I214" i="8"/>
  <c r="J214" i="8"/>
  <c r="A215" i="8"/>
  <c r="B215" i="8"/>
  <c r="C215" i="8"/>
  <c r="D215" i="8"/>
  <c r="E215" i="8"/>
  <c r="F215" i="8"/>
  <c r="G215" i="8"/>
  <c r="H215" i="8"/>
  <c r="I215" i="8"/>
  <c r="J215" i="8"/>
  <c r="A216" i="8"/>
  <c r="B216" i="8"/>
  <c r="C216" i="8"/>
  <c r="D216" i="8"/>
  <c r="E216" i="8"/>
  <c r="F216" i="8"/>
  <c r="G216" i="8"/>
  <c r="H216" i="8"/>
  <c r="I216" i="8"/>
  <c r="J216" i="8"/>
  <c r="A217" i="8"/>
  <c r="B217" i="8"/>
  <c r="C217" i="8"/>
  <c r="D217" i="8"/>
  <c r="E217" i="8"/>
  <c r="F217" i="8"/>
  <c r="G217" i="8"/>
  <c r="H217" i="8"/>
  <c r="I217" i="8"/>
  <c r="J217" i="8"/>
  <c r="A218" i="8"/>
  <c r="B218" i="8"/>
  <c r="C218" i="8"/>
  <c r="D218" i="8"/>
  <c r="E218" i="8"/>
  <c r="F218" i="8"/>
  <c r="G218" i="8"/>
  <c r="H218" i="8"/>
  <c r="I218" i="8"/>
  <c r="J218" i="8"/>
  <c r="A219" i="8"/>
  <c r="B219" i="8"/>
  <c r="C219" i="8"/>
  <c r="D219" i="8"/>
  <c r="E219" i="8"/>
  <c r="F219" i="8"/>
  <c r="G219" i="8"/>
  <c r="H219" i="8"/>
  <c r="I219" i="8"/>
  <c r="J219" i="8"/>
  <c r="A220" i="8"/>
  <c r="B220" i="8"/>
  <c r="C220" i="8"/>
  <c r="D220" i="8"/>
  <c r="E220" i="8"/>
  <c r="F220" i="8"/>
  <c r="G220" i="8"/>
  <c r="H220" i="8"/>
  <c r="I220" i="8"/>
  <c r="J220" i="8"/>
  <c r="A221" i="8"/>
  <c r="B221" i="8"/>
  <c r="C221" i="8"/>
  <c r="D221" i="8"/>
  <c r="E221" i="8"/>
  <c r="F221" i="8"/>
  <c r="G221" i="8"/>
  <c r="H221" i="8"/>
  <c r="I221" i="8"/>
  <c r="J221" i="8"/>
  <c r="A222" i="8"/>
  <c r="B222" i="8"/>
  <c r="C222" i="8"/>
  <c r="D222" i="8"/>
  <c r="E222" i="8"/>
  <c r="F222" i="8"/>
  <c r="G222" i="8"/>
  <c r="H222" i="8"/>
  <c r="I222" i="8"/>
  <c r="J222" i="8"/>
  <c r="A223" i="8"/>
  <c r="B223" i="8"/>
  <c r="C223" i="8"/>
  <c r="D223" i="8"/>
  <c r="E223" i="8"/>
  <c r="F223" i="8"/>
  <c r="G223" i="8"/>
  <c r="H223" i="8"/>
  <c r="I223" i="8"/>
  <c r="J223" i="8"/>
  <c r="A224" i="8"/>
  <c r="B224" i="8"/>
  <c r="C224" i="8"/>
  <c r="D224" i="8"/>
  <c r="E224" i="8"/>
  <c r="F224" i="8"/>
  <c r="G224" i="8"/>
  <c r="H224" i="8"/>
  <c r="I224" i="8"/>
  <c r="J224" i="8"/>
  <c r="A225" i="8"/>
  <c r="B225" i="8"/>
  <c r="C225" i="8"/>
  <c r="D225" i="8"/>
  <c r="E225" i="8"/>
  <c r="F225" i="8"/>
  <c r="G225" i="8"/>
  <c r="H225" i="8"/>
  <c r="I225" i="8"/>
  <c r="J225" i="8"/>
  <c r="A226" i="8"/>
  <c r="B226" i="8"/>
  <c r="C226" i="8"/>
  <c r="D226" i="8"/>
  <c r="E226" i="8"/>
  <c r="F226" i="8"/>
  <c r="G226" i="8"/>
  <c r="H226" i="8"/>
  <c r="I226" i="8"/>
  <c r="J226" i="8"/>
  <c r="A227" i="8"/>
  <c r="B227" i="8"/>
  <c r="C227" i="8"/>
  <c r="D227" i="8"/>
  <c r="E227" i="8"/>
  <c r="F227" i="8"/>
  <c r="G227" i="8"/>
  <c r="H227" i="8"/>
  <c r="I227" i="8"/>
  <c r="J227" i="8"/>
  <c r="A228" i="8"/>
  <c r="B228" i="8"/>
  <c r="C228" i="8"/>
  <c r="D228" i="8"/>
  <c r="E228" i="8"/>
  <c r="F228" i="8"/>
  <c r="G228" i="8"/>
  <c r="H228" i="8"/>
  <c r="I228" i="8"/>
  <c r="J228" i="8"/>
  <c r="A229" i="8"/>
  <c r="B229" i="8"/>
  <c r="C229" i="8"/>
  <c r="D229" i="8"/>
  <c r="E229" i="8"/>
  <c r="F229" i="8"/>
  <c r="G229" i="8"/>
  <c r="H229" i="8"/>
  <c r="I229" i="8"/>
  <c r="J229" i="8"/>
  <c r="A230" i="8"/>
  <c r="B230" i="8"/>
  <c r="C230" i="8"/>
  <c r="D230" i="8"/>
  <c r="E230" i="8"/>
  <c r="F230" i="8"/>
  <c r="G230" i="8"/>
  <c r="H230" i="8"/>
  <c r="I230" i="8"/>
  <c r="J230" i="8"/>
  <c r="A231" i="8"/>
  <c r="B231" i="8"/>
  <c r="C231" i="8"/>
  <c r="D231" i="8"/>
  <c r="E231" i="8"/>
  <c r="F231" i="8"/>
  <c r="G231" i="8"/>
  <c r="H231" i="8"/>
  <c r="I231" i="8"/>
  <c r="J231" i="8"/>
  <c r="A232" i="8"/>
  <c r="B232" i="8"/>
  <c r="C232" i="8"/>
  <c r="D232" i="8"/>
  <c r="E232" i="8"/>
  <c r="F232" i="8"/>
  <c r="G232" i="8"/>
  <c r="H232" i="8"/>
  <c r="I232" i="8"/>
  <c r="J232" i="8"/>
  <c r="A233" i="8"/>
  <c r="B233" i="8"/>
  <c r="C233" i="8"/>
  <c r="D233" i="8"/>
  <c r="E233" i="8"/>
  <c r="F233" i="8"/>
  <c r="G233" i="8"/>
  <c r="H233" i="8"/>
  <c r="I233" i="8"/>
  <c r="J233" i="8"/>
  <c r="A234" i="8"/>
  <c r="B234" i="8"/>
  <c r="C234" i="8"/>
  <c r="D234" i="8"/>
  <c r="E234" i="8"/>
  <c r="F234" i="8"/>
  <c r="G234" i="8"/>
  <c r="H234" i="8"/>
  <c r="I234" i="8"/>
  <c r="J234" i="8"/>
  <c r="A235" i="8"/>
  <c r="B235" i="8"/>
  <c r="C235" i="8"/>
  <c r="D235" i="8"/>
  <c r="E235" i="8"/>
  <c r="F235" i="8"/>
  <c r="G235" i="8"/>
  <c r="H235" i="8"/>
  <c r="I235" i="8"/>
  <c r="J235" i="8"/>
  <c r="A236" i="8"/>
  <c r="B236" i="8"/>
  <c r="C236" i="8"/>
  <c r="D236" i="8"/>
  <c r="E236" i="8"/>
  <c r="F236" i="8"/>
  <c r="G236" i="8"/>
  <c r="H236" i="8"/>
  <c r="I236" i="8"/>
  <c r="J236" i="8"/>
  <c r="A237" i="8"/>
  <c r="B237" i="8"/>
  <c r="C237" i="8"/>
  <c r="D237" i="8"/>
  <c r="E237" i="8"/>
  <c r="F237" i="8"/>
  <c r="G237" i="8"/>
  <c r="H237" i="8"/>
  <c r="I237" i="8"/>
  <c r="J237" i="8"/>
  <c r="A238" i="8"/>
  <c r="B238" i="8"/>
  <c r="C238" i="8"/>
  <c r="D238" i="8"/>
  <c r="E238" i="8"/>
  <c r="F238" i="8"/>
  <c r="G238" i="8"/>
  <c r="H238" i="8"/>
  <c r="I238" i="8"/>
  <c r="J238" i="8"/>
  <c r="A239" i="8"/>
  <c r="B239" i="8"/>
  <c r="C239" i="8"/>
  <c r="D239" i="8"/>
  <c r="E239" i="8"/>
  <c r="F239" i="8"/>
  <c r="G239" i="8"/>
  <c r="H239" i="8"/>
  <c r="I239" i="8"/>
  <c r="J239" i="8"/>
  <c r="A240" i="8"/>
  <c r="B240" i="8"/>
  <c r="C240" i="8"/>
  <c r="D240" i="8"/>
  <c r="E240" i="8"/>
  <c r="F240" i="8"/>
  <c r="G240" i="8"/>
  <c r="H240" i="8"/>
  <c r="I240" i="8"/>
  <c r="J240" i="8"/>
  <c r="A241" i="8"/>
  <c r="B241" i="8"/>
  <c r="C241" i="8"/>
  <c r="D241" i="8"/>
  <c r="E241" i="8"/>
  <c r="F241" i="8"/>
  <c r="G241" i="8"/>
  <c r="H241" i="8"/>
  <c r="I241" i="8"/>
  <c r="J241" i="8"/>
  <c r="A242" i="8"/>
  <c r="B242" i="8"/>
  <c r="C242" i="8"/>
  <c r="D242" i="8"/>
  <c r="E242" i="8"/>
  <c r="F242" i="8"/>
  <c r="G242" i="8"/>
  <c r="H242" i="8"/>
  <c r="I242" i="8"/>
  <c r="J242" i="8"/>
  <c r="A243" i="8"/>
  <c r="B243" i="8"/>
  <c r="C243" i="8"/>
  <c r="D243" i="8"/>
  <c r="E243" i="8"/>
  <c r="F243" i="8"/>
  <c r="G243" i="8"/>
  <c r="H243" i="8"/>
  <c r="I243" i="8"/>
  <c r="J243" i="8"/>
  <c r="A244" i="8"/>
  <c r="B244" i="8"/>
  <c r="C244" i="8"/>
  <c r="D244" i="8"/>
  <c r="E244" i="8"/>
  <c r="F244" i="8"/>
  <c r="G244" i="8"/>
  <c r="H244" i="8"/>
  <c r="I244" i="8"/>
  <c r="J244" i="8"/>
  <c r="A245" i="8"/>
  <c r="B245" i="8"/>
  <c r="C245" i="8"/>
  <c r="D245" i="8"/>
  <c r="E245" i="8"/>
  <c r="F245" i="8"/>
  <c r="G245" i="8"/>
  <c r="H245" i="8"/>
  <c r="I245" i="8"/>
  <c r="J245" i="8"/>
  <c r="A246" i="8"/>
  <c r="B246" i="8"/>
  <c r="C246" i="8"/>
  <c r="D246" i="8"/>
  <c r="E246" i="8"/>
  <c r="F246" i="8"/>
  <c r="G246" i="8"/>
  <c r="H246" i="8"/>
  <c r="I246" i="8"/>
  <c r="J246" i="8"/>
  <c r="A247" i="8"/>
  <c r="B247" i="8"/>
  <c r="C247" i="8"/>
  <c r="D247" i="8"/>
  <c r="E247" i="8"/>
  <c r="F247" i="8"/>
  <c r="G247" i="8"/>
  <c r="H247" i="8"/>
  <c r="I247" i="8"/>
  <c r="J247" i="8"/>
  <c r="A248" i="8"/>
  <c r="B248" i="8"/>
  <c r="C248" i="8"/>
  <c r="D248" i="8"/>
  <c r="E248" i="8"/>
  <c r="F248" i="8"/>
  <c r="G248" i="8"/>
  <c r="H248" i="8"/>
  <c r="I248" i="8"/>
  <c r="J248" i="8"/>
  <c r="A249" i="8"/>
  <c r="B249" i="8"/>
  <c r="C249" i="8"/>
  <c r="D249" i="8"/>
  <c r="E249" i="8"/>
  <c r="F249" i="8"/>
  <c r="G249" i="8"/>
  <c r="H249" i="8"/>
  <c r="I249" i="8"/>
  <c r="J249" i="8"/>
  <c r="A250" i="8"/>
  <c r="B250" i="8"/>
  <c r="C250" i="8"/>
  <c r="D250" i="8"/>
  <c r="E250" i="8"/>
  <c r="F250" i="8"/>
  <c r="G250" i="8"/>
  <c r="H250" i="8"/>
  <c r="I250" i="8"/>
  <c r="J250" i="8"/>
  <c r="A251" i="8"/>
  <c r="B251" i="8"/>
  <c r="C251" i="8"/>
  <c r="D251" i="8"/>
  <c r="E251" i="8"/>
  <c r="F251" i="8"/>
  <c r="G251" i="8"/>
  <c r="H251" i="8"/>
  <c r="I251" i="8"/>
  <c r="J251" i="8"/>
  <c r="B2" i="8"/>
  <c r="C2" i="8"/>
  <c r="D2" i="8"/>
  <c r="E2" i="8"/>
  <c r="F2" i="8"/>
  <c r="G2" i="8"/>
  <c r="H2" i="8"/>
  <c r="I2" i="8"/>
  <c r="J2" i="8"/>
  <c r="A2" i="8"/>
  <c r="B1" i="8"/>
  <c r="C1" i="8"/>
  <c r="D1" i="8"/>
  <c r="E1" i="8"/>
  <c r="F1" i="8"/>
  <c r="G1" i="8"/>
  <c r="H1" i="8"/>
  <c r="I1" i="8"/>
  <c r="J1" i="8"/>
  <c r="A1" i="8"/>
  <c r="N69" i="6"/>
  <c r="N70" i="6"/>
  <c r="N71" i="6"/>
  <c r="N72" i="6"/>
  <c r="N73" i="6"/>
  <c r="N74" i="6"/>
  <c r="N75" i="6"/>
  <c r="N76" i="6"/>
  <c r="N77" i="6"/>
  <c r="N78" i="6"/>
  <c r="N79" i="6"/>
  <c r="N80" i="6"/>
  <c r="N81" i="6"/>
  <c r="N82" i="6"/>
  <c r="N83" i="6"/>
  <c r="N84" i="6"/>
  <c r="N85" i="6"/>
  <c r="N86" i="6"/>
  <c r="N87" i="6"/>
  <c r="N88" i="6"/>
  <c r="N89" i="6"/>
  <c r="N90" i="6"/>
  <c r="N91" i="6"/>
  <c r="N92" i="6"/>
  <c r="N93" i="6"/>
  <c r="N94" i="6"/>
  <c r="N95" i="6"/>
  <c r="N96" i="6"/>
  <c r="N97" i="6"/>
  <c r="N98" i="6"/>
  <c r="N99" i="6"/>
  <c r="N100" i="6"/>
  <c r="N101" i="6"/>
  <c r="N102" i="6"/>
  <c r="N103" i="6"/>
  <c r="N104" i="6"/>
  <c r="N105" i="6"/>
  <c r="N106" i="6"/>
  <c r="N107" i="6"/>
  <c r="N108" i="6"/>
  <c r="N109" i="6"/>
  <c r="N110" i="6"/>
  <c r="N111" i="6"/>
  <c r="N112" i="6"/>
  <c r="N113" i="6"/>
  <c r="N114" i="6"/>
  <c r="N115" i="6"/>
  <c r="N116" i="6"/>
  <c r="N117" i="6"/>
  <c r="N118" i="6"/>
  <c r="N119" i="6"/>
  <c r="N120" i="6"/>
  <c r="N121" i="6"/>
  <c r="N122" i="6"/>
  <c r="N123" i="6"/>
  <c r="N124" i="6"/>
  <c r="N125" i="6"/>
  <c r="N126" i="6"/>
  <c r="N127" i="6"/>
  <c r="N128" i="6"/>
  <c r="N129" i="6"/>
  <c r="N130" i="6"/>
  <c r="N131" i="6"/>
  <c r="N132" i="6"/>
  <c r="N133" i="6"/>
  <c r="N134" i="6"/>
  <c r="N135" i="6"/>
  <c r="N136" i="6"/>
  <c r="N137" i="6"/>
  <c r="N138" i="6"/>
  <c r="N139" i="6"/>
  <c r="N140" i="6"/>
  <c r="N141" i="6"/>
  <c r="N142" i="6"/>
  <c r="N143" i="6"/>
  <c r="N144" i="6"/>
  <c r="N145" i="6"/>
  <c r="N146" i="6"/>
  <c r="N147" i="6"/>
  <c r="N148" i="6"/>
  <c r="N149" i="6"/>
  <c r="N150" i="6"/>
  <c r="N151" i="6"/>
  <c r="N152" i="6"/>
  <c r="N153" i="6"/>
  <c r="N154" i="6"/>
  <c r="N155" i="6"/>
  <c r="N156" i="6"/>
  <c r="N157" i="6"/>
  <c r="N158" i="6"/>
  <c r="N159" i="6"/>
  <c r="N160" i="6"/>
  <c r="N161" i="6"/>
  <c r="N162" i="6"/>
  <c r="N163" i="6"/>
  <c r="N164" i="6"/>
  <c r="N165" i="6"/>
  <c r="N166" i="6"/>
  <c r="N167" i="6"/>
  <c r="N168" i="6"/>
  <c r="N169" i="6"/>
  <c r="N170" i="6"/>
  <c r="N171" i="6"/>
  <c r="N172" i="6"/>
  <c r="N173" i="6"/>
  <c r="N174" i="6"/>
  <c r="N175" i="6"/>
  <c r="N176" i="6"/>
  <c r="N177" i="6"/>
  <c r="N178" i="6"/>
  <c r="N179" i="6"/>
  <c r="N180" i="6"/>
  <c r="N181" i="6"/>
  <c r="N182" i="6"/>
  <c r="N183" i="6"/>
  <c r="N184" i="6"/>
  <c r="N185" i="6"/>
  <c r="N186" i="6"/>
  <c r="N187" i="6"/>
  <c r="N188" i="6"/>
  <c r="N189" i="6"/>
  <c r="N190" i="6"/>
  <c r="N191" i="6"/>
  <c r="N192" i="6"/>
  <c r="N193" i="6"/>
  <c r="N194" i="6"/>
  <c r="N195" i="6"/>
  <c r="N196" i="6"/>
  <c r="N197" i="6"/>
  <c r="N198" i="6"/>
  <c r="N199" i="6"/>
  <c r="N200" i="6"/>
  <c r="N201" i="6"/>
  <c r="N202" i="6"/>
  <c r="N203" i="6"/>
  <c r="N204" i="6"/>
  <c r="N205" i="6"/>
  <c r="N206" i="6"/>
  <c r="N207" i="6"/>
  <c r="N208" i="6"/>
  <c r="N209" i="6"/>
  <c r="N210" i="6"/>
  <c r="N211" i="6"/>
  <c r="N212" i="6"/>
  <c r="N213" i="6"/>
  <c r="N214" i="6"/>
  <c r="N215" i="6"/>
  <c r="N216" i="6"/>
  <c r="N217" i="6"/>
  <c r="N218" i="6"/>
  <c r="N219" i="6"/>
  <c r="N220" i="6"/>
  <c r="N221" i="6"/>
  <c r="N222" i="6"/>
  <c r="N223" i="6"/>
  <c r="N224" i="6"/>
  <c r="N225" i="6"/>
  <c r="N226" i="6"/>
  <c r="N227" i="6"/>
  <c r="N228" i="6"/>
  <c r="N229" i="6"/>
  <c r="N230" i="6"/>
  <c r="N231" i="6"/>
  <c r="N232" i="6"/>
  <c r="N233" i="6"/>
  <c r="N234" i="6"/>
  <c r="N235" i="6"/>
  <c r="N236" i="6"/>
  <c r="N237" i="6"/>
  <c r="N238" i="6"/>
  <c r="N239" i="6"/>
  <c r="N240" i="6"/>
  <c r="N241" i="6"/>
  <c r="N242" i="6"/>
  <c r="N243" i="6"/>
  <c r="N244" i="6"/>
  <c r="N245" i="6"/>
  <c r="N246" i="6"/>
  <c r="N247" i="6"/>
  <c r="N248" i="6"/>
  <c r="N249" i="6"/>
  <c r="N250" i="6"/>
  <c r="N251" i="6"/>
  <c r="N252" i="6"/>
  <c r="N253" i="6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K3" i="6"/>
  <c r="J3" i="6"/>
  <c r="I3" i="6"/>
  <c r="H3" i="6"/>
  <c r="G3" i="6"/>
  <c r="F3" i="6"/>
  <c r="E3" i="6"/>
  <c r="D3" i="6"/>
  <c r="C3" i="6"/>
  <c r="B3" i="6"/>
  <c r="B3" i="4"/>
  <c r="K3" i="4"/>
  <c r="J3" i="4"/>
  <c r="I3" i="4"/>
  <c r="H3" i="4"/>
  <c r="G3" i="4"/>
  <c r="F3" i="4"/>
  <c r="E3" i="4"/>
  <c r="D3" i="4"/>
  <c r="C3" i="4"/>
  <c r="K2" i="6"/>
  <c r="C2" i="6"/>
  <c r="D2" i="6"/>
  <c r="E2" i="6"/>
  <c r="F2" i="6"/>
  <c r="G2" i="6"/>
  <c r="H2" i="6"/>
  <c r="I2" i="6"/>
  <c r="J2" i="6"/>
  <c r="B2" i="6"/>
  <c r="F14" i="3"/>
  <c r="C30" i="3"/>
  <c r="D30" i="3"/>
  <c r="E30" i="3"/>
  <c r="F30" i="3"/>
  <c r="G30" i="3"/>
  <c r="H30" i="3"/>
  <c r="I30" i="3"/>
  <c r="J30" i="3"/>
  <c r="K30" i="3"/>
  <c r="B30" i="3"/>
  <c r="A32" i="3"/>
  <c r="A33" i="3"/>
  <c r="A34" i="3"/>
  <c r="A35" i="3"/>
  <c r="A36" i="3"/>
  <c r="A37" i="3"/>
  <c r="A38" i="3"/>
  <c r="A39" i="3"/>
  <c r="A40" i="3"/>
  <c r="A31" i="3"/>
  <c r="K27" i="3"/>
  <c r="J26" i="3"/>
  <c r="I25" i="3"/>
  <c r="H24" i="3"/>
  <c r="G23" i="3"/>
  <c r="F22" i="3"/>
  <c r="E21" i="3"/>
  <c r="D20" i="3"/>
  <c r="C19" i="3"/>
  <c r="B18" i="3"/>
  <c r="T2" i="8"/>
  <c r="S2" i="8"/>
  <c r="L5" i="8"/>
  <c r="U2" i="8"/>
  <c r="Q2" i="8"/>
  <c r="N2" i="8"/>
  <c r="L2" i="8"/>
  <c r="P2" i="8"/>
  <c r="O2" i="8"/>
  <c r="R2" i="8"/>
  <c r="M2" i="8"/>
  <c r="G15" i="11" l="1"/>
  <c r="H15" i="11" s="1"/>
  <c r="G14" i="11"/>
  <c r="H14" i="11" s="1"/>
  <c r="G13" i="11"/>
  <c r="H13" i="11" s="1"/>
  <c r="G12" i="11"/>
  <c r="H12" i="11" s="1"/>
  <c r="G11" i="11"/>
  <c r="H11" i="11" s="1"/>
  <c r="G10" i="11"/>
  <c r="H10" i="11" s="1"/>
  <c r="G9" i="11"/>
  <c r="H9" i="11" s="1"/>
  <c r="G8" i="11"/>
  <c r="H8" i="11" s="1"/>
  <c r="G7" i="11"/>
  <c r="H7" i="11" s="1"/>
  <c r="G6" i="11"/>
  <c r="H6" i="11" s="1"/>
  <c r="C15" i="11"/>
  <c r="C14" i="11"/>
  <c r="D14" i="11" s="1"/>
  <c r="C13" i="11"/>
  <c r="D13" i="11" s="1"/>
  <c r="C11" i="11"/>
  <c r="D11" i="11" s="1"/>
  <c r="C12" i="11"/>
  <c r="D12" i="11" s="1"/>
  <c r="C10" i="11"/>
  <c r="D10" i="11" s="1"/>
  <c r="C9" i="11"/>
  <c r="D9" i="11" s="1"/>
  <c r="C8" i="11"/>
  <c r="D8" i="11" s="1"/>
  <c r="C7" i="11"/>
  <c r="D7" i="11" s="1"/>
  <c r="C6" i="11"/>
  <c r="D6" i="11" s="1"/>
  <c r="L3" i="3" a="1"/>
  <c r="L3" i="3" s="1"/>
  <c r="L4" i="3" s="1"/>
  <c r="L5" i="3" s="1"/>
  <c r="F4" i="11" s="1"/>
  <c r="C31" i="3"/>
  <c r="B31" i="3"/>
  <c r="P9" i="6"/>
  <c r="G4" i="11" l="1"/>
  <c r="H4" i="11" s="1"/>
  <c r="N4" i="6"/>
  <c r="I4" i="3"/>
  <c r="E14" i="3"/>
  <c r="G5" i="3"/>
  <c r="G6" i="3"/>
  <c r="G7" i="3"/>
  <c r="G8" i="3"/>
  <c r="G9" i="3"/>
  <c r="G10" i="3"/>
  <c r="G11" i="3"/>
  <c r="G12" i="3"/>
  <c r="D13" i="3"/>
  <c r="G4" i="3"/>
  <c r="P4" i="6"/>
  <c r="G4" i="12" l="1"/>
  <c r="G13" i="3"/>
  <c r="G14" i="3" s="1"/>
  <c r="B15" i="11"/>
  <c r="D15" i="11" s="1"/>
  <c r="C4" i="11"/>
  <c r="O226" i="6"/>
  <c r="O171" i="6"/>
  <c r="O224" i="6"/>
  <c r="O152" i="6"/>
  <c r="O80" i="6"/>
  <c r="O8" i="6"/>
  <c r="O189" i="6"/>
  <c r="O211" i="6"/>
  <c r="O139" i="6"/>
  <c r="O67" i="6"/>
  <c r="O249" i="6"/>
  <c r="O129" i="6"/>
  <c r="O204" i="6"/>
  <c r="O132" i="6"/>
  <c r="O60" i="6"/>
  <c r="O21" i="6"/>
  <c r="O251" i="6"/>
  <c r="O179" i="6"/>
  <c r="O107" i="6"/>
  <c r="O35" i="6"/>
  <c r="O10" i="6"/>
  <c r="O86" i="6"/>
  <c r="O4" i="6"/>
  <c r="O178" i="6"/>
  <c r="O196" i="6"/>
  <c r="O135" i="6"/>
  <c r="O218" i="6"/>
  <c r="O146" i="6"/>
  <c r="O74" i="6"/>
  <c r="O160" i="6"/>
  <c r="O141" i="6"/>
  <c r="O205" i="6"/>
  <c r="O133" i="6"/>
  <c r="O61" i="6"/>
  <c r="O159" i="6"/>
  <c r="O117" i="6"/>
  <c r="O198" i="6"/>
  <c r="O126" i="6"/>
  <c r="O54" i="6"/>
  <c r="O142" i="6"/>
  <c r="O245" i="6"/>
  <c r="O173" i="6"/>
  <c r="O101" i="6"/>
  <c r="O29" i="6"/>
  <c r="O48" i="6"/>
  <c r="O239" i="6"/>
  <c r="O95" i="6"/>
  <c r="O81" i="6"/>
  <c r="O190" i="6"/>
  <c r="O114" i="6"/>
  <c r="O161" i="6"/>
  <c r="O225" i="6"/>
  <c r="O39" i="6"/>
  <c r="B3" i="9"/>
  <c r="O220" i="6"/>
  <c r="O238" i="6"/>
  <c r="O105" i="6"/>
  <c r="O212" i="6"/>
  <c r="O140" i="6"/>
  <c r="O68" i="6"/>
  <c r="O130" i="6"/>
  <c r="O111" i="6"/>
  <c r="O199" i="6"/>
  <c r="O127" i="6"/>
  <c r="O55" i="6"/>
  <c r="O15" i="6"/>
  <c r="O93" i="6"/>
  <c r="O192" i="6"/>
  <c r="O120" i="6"/>
  <c r="O70" i="6"/>
  <c r="O167" i="6"/>
  <c r="O23" i="6"/>
  <c r="O121" i="6"/>
  <c r="O186" i="6"/>
  <c r="O233" i="6"/>
  <c r="O17" i="6"/>
  <c r="O145" i="6"/>
  <c r="O153" i="6"/>
  <c r="O232" i="6"/>
  <c r="O208" i="6"/>
  <c r="O87" i="6"/>
  <c r="O206" i="6"/>
  <c r="O134" i="6"/>
  <c r="O62" i="6"/>
  <c r="O88" i="6"/>
  <c r="O193" i="6"/>
  <c r="O49" i="6"/>
  <c r="O45" i="6"/>
  <c r="O42" i="6"/>
  <c r="O89" i="6"/>
  <c r="O73" i="6"/>
  <c r="O185" i="6"/>
  <c r="O202" i="6"/>
  <c r="O250" i="6"/>
  <c r="O75" i="6"/>
  <c r="O200" i="6"/>
  <c r="O128" i="6"/>
  <c r="O56" i="6"/>
  <c r="O40" i="6"/>
  <c r="O51" i="6"/>
  <c r="O187" i="6"/>
  <c r="O115" i="6"/>
  <c r="O43" i="6"/>
  <c r="O154" i="6"/>
  <c r="O252" i="6"/>
  <c r="O180" i="6"/>
  <c r="O108" i="6"/>
  <c r="O36" i="6"/>
  <c r="O237" i="6"/>
  <c r="O227" i="6"/>
  <c r="O155" i="6"/>
  <c r="O83" i="6"/>
  <c r="O166" i="6"/>
  <c r="O149" i="6"/>
  <c r="O124" i="6"/>
  <c r="O201" i="6"/>
  <c r="O14" i="6"/>
  <c r="O210" i="6"/>
  <c r="O41" i="6"/>
  <c r="O5" i="6"/>
  <c r="O9" i="6"/>
  <c r="O69" i="6"/>
  <c r="O194" i="6"/>
  <c r="O122" i="6"/>
  <c r="O50" i="6"/>
  <c r="O213" i="6"/>
  <c r="O253" i="6"/>
  <c r="O181" i="6"/>
  <c r="O109" i="6"/>
  <c r="O37" i="6"/>
  <c r="O118" i="6"/>
  <c r="O246" i="6"/>
  <c r="O174" i="6"/>
  <c r="O102" i="6"/>
  <c r="O30" i="6"/>
  <c r="O207" i="6"/>
  <c r="O221" i="6"/>
  <c r="O77" i="6"/>
  <c r="O158" i="6"/>
  <c r="O22" i="6"/>
  <c r="O66" i="6"/>
  <c r="O244" i="6"/>
  <c r="O11" i="6"/>
  <c r="O57" i="6"/>
  <c r="O188" i="6"/>
  <c r="O116" i="6"/>
  <c r="O44" i="6"/>
  <c r="O27" i="6"/>
  <c r="O247" i="6"/>
  <c r="O175" i="6"/>
  <c r="O103" i="6"/>
  <c r="O31" i="6"/>
  <c r="O82" i="6"/>
  <c r="O240" i="6"/>
  <c r="O168" i="6"/>
  <c r="O96" i="6"/>
  <c r="O24" i="6"/>
  <c r="O183" i="6"/>
  <c r="O215" i="6"/>
  <c r="O143" i="6"/>
  <c r="O71" i="6"/>
  <c r="O94" i="6"/>
  <c r="O197" i="6"/>
  <c r="O6" i="6"/>
  <c r="O136" i="6"/>
  <c r="O33" i="6"/>
  <c r="O182" i="6"/>
  <c r="O110" i="6"/>
  <c r="O38" i="6"/>
  <c r="O148" i="6"/>
  <c r="O241" i="6"/>
  <c r="O169" i="6"/>
  <c r="O97" i="6"/>
  <c r="O25" i="6"/>
  <c r="O34" i="6"/>
  <c r="O234" i="6"/>
  <c r="O162" i="6"/>
  <c r="O90" i="6"/>
  <c r="O18" i="6"/>
  <c r="O147" i="6"/>
  <c r="O209" i="6"/>
  <c r="O137" i="6"/>
  <c r="O65" i="6"/>
  <c r="O58" i="6"/>
  <c r="O84" i="6"/>
  <c r="O123" i="6"/>
  <c r="O131" i="6"/>
  <c r="O46" i="6"/>
  <c r="O177" i="6"/>
  <c r="O172" i="6"/>
  <c r="O64" i="6"/>
  <c r="O248" i="6"/>
  <c r="O176" i="6"/>
  <c r="O104" i="6"/>
  <c r="O32" i="6"/>
  <c r="O112" i="6"/>
  <c r="O235" i="6"/>
  <c r="O163" i="6"/>
  <c r="O91" i="6"/>
  <c r="O19" i="6"/>
  <c r="O243" i="6"/>
  <c r="O228" i="6"/>
  <c r="O156" i="6"/>
  <c r="O12" i="6"/>
  <c r="O203" i="6"/>
  <c r="O59" i="6"/>
  <c r="O53" i="6"/>
  <c r="O47" i="6"/>
  <c r="O230" i="6"/>
  <c r="O217" i="6"/>
  <c r="O138" i="6"/>
  <c r="O214" i="6"/>
  <c r="O16" i="6"/>
  <c r="O242" i="6"/>
  <c r="O170" i="6"/>
  <c r="O98" i="6"/>
  <c r="O26" i="6"/>
  <c r="O76" i="6"/>
  <c r="O229" i="6"/>
  <c r="O157" i="6"/>
  <c r="O85" i="6"/>
  <c r="O13" i="6"/>
  <c r="O219" i="6"/>
  <c r="O222" i="6"/>
  <c r="O150" i="6"/>
  <c r="O78" i="6"/>
  <c r="O100" i="6"/>
  <c r="O99" i="6"/>
  <c r="O125" i="6"/>
  <c r="O184" i="6"/>
  <c r="O231" i="6"/>
  <c r="O236" i="6"/>
  <c r="O164" i="6"/>
  <c r="O92" i="6"/>
  <c r="O20" i="6"/>
  <c r="O52" i="6"/>
  <c r="O223" i="6"/>
  <c r="O151" i="6"/>
  <c r="O79" i="6"/>
  <c r="O106" i="6"/>
  <c r="O195" i="6"/>
  <c r="O216" i="6"/>
  <c r="O144" i="6"/>
  <c r="O72" i="6"/>
  <c r="O28" i="6"/>
  <c r="O63" i="6"/>
  <c r="O191" i="6"/>
  <c r="O119" i="6"/>
  <c r="O7" i="6"/>
  <c r="O165" i="6"/>
  <c r="O113" i="6"/>
  <c r="B4" i="9" l="1"/>
  <c r="B5" i="9" s="1"/>
  <c r="B6" i="9" s="1"/>
  <c r="B7" i="9" s="1"/>
  <c r="B8" i="9" s="1"/>
  <c r="B9" i="9" s="1"/>
  <c r="B10" i="9" s="1"/>
  <c r="B11" i="9" s="1"/>
  <c r="B12" i="9" s="1"/>
  <c r="B13" i="9" s="1"/>
  <c r="B14" i="9" s="1"/>
  <c r="B15" i="9" s="1"/>
  <c r="B16" i="9" s="1"/>
  <c r="B17" i="9" s="1"/>
  <c r="B18" i="9" s="1"/>
  <c r="B19" i="9" s="1"/>
  <c r="B20" i="9" s="1"/>
  <c r="B21" i="9" s="1"/>
  <c r="B22" i="9" s="1"/>
  <c r="B23" i="9" s="1"/>
  <c r="B24" i="9" s="1"/>
  <c r="B25" i="9" s="1"/>
  <c r="B26" i="9" s="1"/>
  <c r="B27" i="9" s="1"/>
  <c r="B28" i="9" s="1"/>
  <c r="B29" i="9" s="1"/>
  <c r="B30" i="9" s="1"/>
  <c r="B31" i="9" s="1"/>
  <c r="B32" i="9" s="1"/>
  <c r="B33" i="9" s="1"/>
  <c r="B34" i="9" s="1"/>
  <c r="B35" i="9" s="1"/>
  <c r="B36" i="9" s="1"/>
  <c r="B37" i="9" s="1"/>
  <c r="B38" i="9" s="1"/>
  <c r="B39" i="9" s="1"/>
  <c r="B40" i="9" s="1"/>
  <c r="B41" i="9" s="1"/>
  <c r="B42" i="9" s="1"/>
  <c r="B43" i="9" s="1"/>
  <c r="B44" i="9" s="1"/>
  <c r="B45" i="9" s="1"/>
  <c r="B46" i="9" s="1"/>
  <c r="B47" i="9" s="1"/>
  <c r="B48" i="9" s="1"/>
  <c r="B49" i="9" s="1"/>
  <c r="B50" i="9" s="1"/>
  <c r="B51" i="9" s="1"/>
  <c r="B52" i="9" s="1"/>
  <c r="B53" i="9" s="1"/>
  <c r="B54" i="9" s="1"/>
  <c r="B55" i="9" s="1"/>
  <c r="B56" i="9" s="1"/>
  <c r="B57" i="9" s="1"/>
  <c r="B58" i="9" s="1"/>
  <c r="B59" i="9" s="1"/>
  <c r="B60" i="9" s="1"/>
  <c r="B61" i="9" s="1"/>
  <c r="B62" i="9" s="1"/>
  <c r="B63" i="9" s="1"/>
  <c r="B64" i="9" s="1"/>
  <c r="B65" i="9" s="1"/>
  <c r="B66" i="9" s="1"/>
  <c r="B67" i="9" s="1"/>
  <c r="B68" i="9" s="1"/>
  <c r="B69" i="9" s="1"/>
  <c r="B70" i="9" s="1"/>
  <c r="B71" i="9" s="1"/>
  <c r="B72" i="9" s="1"/>
  <c r="B73" i="9" s="1"/>
  <c r="B74" i="9" s="1"/>
  <c r="B75" i="9" s="1"/>
  <c r="B76" i="9" s="1"/>
  <c r="B77" i="9" s="1"/>
  <c r="B78" i="9" s="1"/>
  <c r="B79" i="9" s="1"/>
  <c r="B80" i="9" s="1"/>
  <c r="B81" i="9" s="1"/>
  <c r="B82" i="9" s="1"/>
  <c r="B83" i="9" s="1"/>
  <c r="B84" i="9" s="1"/>
  <c r="B85" i="9" s="1"/>
  <c r="B86" i="9" s="1"/>
  <c r="B87" i="9" s="1"/>
  <c r="B88" i="9" s="1"/>
  <c r="B89" i="9" s="1"/>
  <c r="B90" i="9" s="1"/>
  <c r="B91" i="9" s="1"/>
  <c r="B92" i="9" s="1"/>
  <c r="B93" i="9" s="1"/>
  <c r="B94" i="9" s="1"/>
  <c r="B95" i="9" s="1"/>
  <c r="B96" i="9" s="1"/>
  <c r="B97" i="9" s="1"/>
  <c r="B98" i="9" s="1"/>
  <c r="B99" i="9" s="1"/>
  <c r="B100" i="9" s="1"/>
  <c r="B101" i="9" s="1"/>
  <c r="B102" i="9" s="1"/>
  <c r="B103" i="9" s="1"/>
  <c r="B104" i="9" s="1"/>
  <c r="B105" i="9" s="1"/>
  <c r="B106" i="9" s="1"/>
  <c r="B107" i="9" s="1"/>
  <c r="B108" i="9" s="1"/>
  <c r="B109" i="9" s="1"/>
  <c r="B110" i="9" s="1"/>
  <c r="B111" i="9" s="1"/>
  <c r="B112" i="9" s="1"/>
  <c r="B113" i="9" s="1"/>
  <c r="B114" i="9" s="1"/>
  <c r="B115" i="9" s="1"/>
  <c r="B116" i="9" s="1"/>
  <c r="B117" i="9" s="1"/>
  <c r="B118" i="9" s="1"/>
  <c r="B119" i="9" s="1"/>
  <c r="B120" i="9" s="1"/>
  <c r="B121" i="9" s="1"/>
  <c r="B122" i="9" s="1"/>
  <c r="B123" i="9" s="1"/>
  <c r="B124" i="9" s="1"/>
  <c r="B125" i="9" s="1"/>
  <c r="B126" i="9" s="1"/>
  <c r="B127" i="9" s="1"/>
  <c r="B128" i="9" s="1"/>
  <c r="B129" i="9" s="1"/>
  <c r="B130" i="9" s="1"/>
  <c r="B131" i="9" s="1"/>
  <c r="B132" i="9" s="1"/>
  <c r="B133" i="9" s="1"/>
  <c r="B134" i="9" s="1"/>
  <c r="B135" i="9" s="1"/>
  <c r="B136" i="9" s="1"/>
  <c r="B137" i="9" s="1"/>
  <c r="B138" i="9" s="1"/>
  <c r="B139" i="9" s="1"/>
  <c r="B140" i="9" s="1"/>
  <c r="B141" i="9" s="1"/>
  <c r="B142" i="9" s="1"/>
  <c r="B143" i="9" s="1"/>
  <c r="B144" i="9" s="1"/>
  <c r="B145" i="9" s="1"/>
  <c r="B146" i="9" s="1"/>
  <c r="B147" i="9" s="1"/>
  <c r="B148" i="9" s="1"/>
  <c r="B149" i="9" s="1"/>
  <c r="B150" i="9" s="1"/>
  <c r="B151" i="9" s="1"/>
  <c r="B152" i="9" s="1"/>
  <c r="B153" i="9" s="1"/>
  <c r="B154" i="9" s="1"/>
  <c r="B155" i="9" s="1"/>
  <c r="B156" i="9" s="1"/>
  <c r="B157" i="9" s="1"/>
  <c r="B158" i="9" s="1"/>
  <c r="B159" i="9" s="1"/>
  <c r="B160" i="9" s="1"/>
  <c r="B161" i="9" s="1"/>
  <c r="B162" i="9" s="1"/>
  <c r="B163" i="9" s="1"/>
  <c r="B164" i="9" s="1"/>
  <c r="B165" i="9" s="1"/>
  <c r="B166" i="9" s="1"/>
  <c r="B167" i="9" s="1"/>
  <c r="B168" i="9" s="1"/>
  <c r="B169" i="9" s="1"/>
  <c r="B170" i="9" s="1"/>
  <c r="B171" i="9" s="1"/>
  <c r="B172" i="9" s="1"/>
  <c r="B173" i="9" s="1"/>
  <c r="B174" i="9" s="1"/>
  <c r="B175" i="9" s="1"/>
  <c r="B176" i="9" s="1"/>
  <c r="B177" i="9" s="1"/>
  <c r="B178" i="9" s="1"/>
  <c r="B179" i="9" s="1"/>
  <c r="B180" i="9" s="1"/>
  <c r="B181" i="9" s="1"/>
  <c r="B182" i="9" s="1"/>
  <c r="B183" i="9" s="1"/>
  <c r="B184" i="9" s="1"/>
  <c r="B185" i="9" s="1"/>
  <c r="B186" i="9" s="1"/>
  <c r="B187" i="9" s="1"/>
  <c r="B188" i="9" s="1"/>
  <c r="B189" i="9" s="1"/>
  <c r="B190" i="9" s="1"/>
  <c r="B191" i="9" s="1"/>
  <c r="B192" i="9" s="1"/>
  <c r="B193" i="9" s="1"/>
  <c r="B194" i="9" s="1"/>
  <c r="B195" i="9" s="1"/>
  <c r="B196" i="9" s="1"/>
  <c r="B197" i="9" s="1"/>
  <c r="B198" i="9" s="1"/>
  <c r="B199" i="9" s="1"/>
  <c r="B200" i="9" s="1"/>
  <c r="B201" i="9" s="1"/>
  <c r="B202" i="9" s="1"/>
  <c r="B203" i="9" s="1"/>
  <c r="B204" i="9" s="1"/>
  <c r="B205" i="9" s="1"/>
  <c r="B206" i="9" s="1"/>
  <c r="B207" i="9" s="1"/>
  <c r="B208" i="9" s="1"/>
  <c r="B209" i="9" s="1"/>
  <c r="B210" i="9" s="1"/>
  <c r="B211" i="9" s="1"/>
  <c r="B212" i="9" s="1"/>
  <c r="B213" i="9" s="1"/>
  <c r="B214" i="9" s="1"/>
  <c r="B215" i="9" s="1"/>
  <c r="B216" i="9" s="1"/>
  <c r="B217" i="9" s="1"/>
  <c r="B218" i="9" s="1"/>
  <c r="B219" i="9" s="1"/>
  <c r="B220" i="9" s="1"/>
  <c r="B221" i="9" s="1"/>
  <c r="B222" i="9" s="1"/>
  <c r="B223" i="9" s="1"/>
  <c r="B224" i="9" s="1"/>
  <c r="B225" i="9" s="1"/>
  <c r="B226" i="9" s="1"/>
  <c r="B227" i="9" s="1"/>
  <c r="B228" i="9" s="1"/>
  <c r="B229" i="9" s="1"/>
  <c r="B230" i="9" s="1"/>
  <c r="B231" i="9" s="1"/>
  <c r="B232" i="9" s="1"/>
  <c r="B233" i="9" s="1"/>
  <c r="B234" i="9" s="1"/>
  <c r="B235" i="9" s="1"/>
  <c r="B236" i="9" s="1"/>
  <c r="B237" i="9" s="1"/>
  <c r="B238" i="9" s="1"/>
  <c r="B239" i="9" s="1"/>
  <c r="B240" i="9" s="1"/>
  <c r="B241" i="9" s="1"/>
  <c r="B242" i="9" s="1"/>
  <c r="B243" i="9" s="1"/>
  <c r="B244" i="9" s="1"/>
  <c r="B245" i="9" s="1"/>
  <c r="B246" i="9" s="1"/>
  <c r="B247" i="9" s="1"/>
  <c r="B248" i="9" s="1"/>
  <c r="B249" i="9" s="1"/>
  <c r="B250" i="9" s="1"/>
  <c r="B251" i="9" s="1"/>
  <c r="B252" i="9" s="1"/>
  <c r="F4" i="12" s="1"/>
  <c r="L6" i="3"/>
  <c r="B4" i="11"/>
  <c r="D4" i="11" s="1"/>
  <c r="C4" i="12" l="1"/>
  <c r="B4" i="12"/>
  <c r="A4" i="12"/>
  <c r="D4" i="12"/>
</calcChain>
</file>

<file path=xl/sharedStrings.xml><?xml version="1.0" encoding="utf-8"?>
<sst xmlns="http://schemas.openxmlformats.org/spreadsheetml/2006/main" count="3222" uniqueCount="76">
  <si>
    <t>Mason</t>
  </si>
  <si>
    <t>Stephens</t>
  </si>
  <si>
    <t>Risk Free</t>
  </si>
  <si>
    <t>Mkt Rtrn</t>
  </si>
  <si>
    <t>Port Value</t>
  </si>
  <si>
    <t>PermNo</t>
  </si>
  <si>
    <t>Stks</t>
  </si>
  <si>
    <t>Beta</t>
  </si>
  <si>
    <t>Exp Rtrn</t>
  </si>
  <si>
    <t>MktVal</t>
  </si>
  <si>
    <t>Wghts</t>
  </si>
  <si>
    <t>Contrib</t>
  </si>
  <si>
    <t>Port Beta</t>
  </si>
  <si>
    <t>Variance</t>
  </si>
  <si>
    <t>Mth Risk</t>
  </si>
  <si>
    <t>Yr Risk</t>
  </si>
  <si>
    <t>Herfindahl</t>
  </si>
  <si>
    <t>Shrp</t>
  </si>
  <si>
    <t>Stocks</t>
  </si>
  <si>
    <t>Dates</t>
  </si>
  <si>
    <t>Weights</t>
  </si>
  <si>
    <t>Port Rtrn</t>
  </si>
  <si>
    <t>Power</t>
  </si>
  <si>
    <t>Cum Rtrn</t>
  </si>
  <si>
    <t>Port Perf</t>
  </si>
  <si>
    <t>Port Risk</t>
  </si>
  <si>
    <t>Actual Stock Risk</t>
  </si>
  <si>
    <t>Starting Value</t>
  </si>
  <si>
    <t>JBHT</t>
  </si>
  <si>
    <t>CRVL</t>
  </si>
  <si>
    <t>AAON</t>
  </si>
  <si>
    <t>BMRC</t>
  </si>
  <si>
    <t>L</t>
  </si>
  <si>
    <t>WSBF</t>
  </si>
  <si>
    <t>MCY</t>
  </si>
  <si>
    <t>UPWK</t>
  </si>
  <si>
    <t>PVBC</t>
  </si>
  <si>
    <t>EML</t>
  </si>
  <si>
    <t>PERMNO</t>
  </si>
  <si>
    <t>Names Date</t>
  </si>
  <si>
    <t>Standard Industrial Classification Code</t>
  </si>
  <si>
    <t>Ticker Symbol</t>
  </si>
  <si>
    <t>Returns</t>
  </si>
  <si>
    <t>watch vid 7</t>
  </si>
  <si>
    <t>Days</t>
  </si>
  <si>
    <t xml:space="preserve">Stock </t>
  </si>
  <si>
    <t xml:space="preserve">Expected Risk </t>
  </si>
  <si>
    <t>Actual Risk</t>
  </si>
  <si>
    <t>Expected return</t>
  </si>
  <si>
    <t>Actual Return</t>
  </si>
  <si>
    <t>Difference</t>
  </si>
  <si>
    <t>Differences</t>
  </si>
  <si>
    <t>Full Portfolio</t>
  </si>
  <si>
    <t>Table 1</t>
  </si>
  <si>
    <t xml:space="preserve">Mean  </t>
  </si>
  <si>
    <t>Min</t>
  </si>
  <si>
    <t>Max</t>
  </si>
  <si>
    <t>STD</t>
  </si>
  <si>
    <t xml:space="preserve">Starting </t>
  </si>
  <si>
    <t xml:space="preserve"> Ending</t>
  </si>
  <si>
    <t>Return</t>
  </si>
  <si>
    <t xml:space="preserve"> </t>
  </si>
  <si>
    <t xml:space="preserve">This Table displays the year-to-date performance of the Sharpe Optimal Portfolio for 2023, detailing each stock’s expected and actual return, expected and actual risk, and deviation from expected performance
</t>
  </si>
  <si>
    <t>Expected Return</t>
  </si>
  <si>
    <t>Market Value</t>
  </si>
  <si>
    <t>Contribution</t>
  </si>
  <si>
    <t>Totals</t>
  </si>
  <si>
    <t>Portfolio Beta</t>
  </si>
  <si>
    <t>Monthly Risk</t>
  </si>
  <si>
    <t>Yearly Risk</t>
  </si>
  <si>
    <t>Sharp</t>
  </si>
  <si>
    <t>Market Return</t>
  </si>
  <si>
    <t>Portfolio Value</t>
  </si>
  <si>
    <t>Table 3</t>
  </si>
  <si>
    <t>Table 3 presents the Sharpe Optimal Portfolio, showing asset weights, expected returns, and risk metrics.</t>
  </si>
  <si>
    <t>This table shows the performance of the stock portfolio in 2023. We present selected descriptive statistics from daily portfolio values.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</si>
</sst>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;;;"/>
    <numFmt numFmtId="165" formatCode="0.000%"/>
    <numFmt numFmtId="166" formatCode="0.0000000"/>
    <numFmt numFmtId="167" formatCode="_(* #,##0.000_);_(* \(#,##0.000\);_(* &quot;-&quot;??_);_(@_)"/>
  </numFmts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3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4">
    <xf numFmtId="0" fontId="0" fillId="0" borderId="0" xfId="0"/>
    <xf numFmtId="22" fontId="0" fillId="0" borderId="0" xfId="0" applyNumberFormat="1"/>
    <xf numFmtId="164" fontId="0" fillId="0" borderId="0" xfId="0" applyNumberFormat="1"/>
    <xf numFmtId="14" fontId="0" fillId="0" borderId="0" xfId="0" applyNumberFormat="1"/>
    <xf numFmtId="11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/>
    <xf numFmtId="10" fontId="0" fillId="0" borderId="0" xfId="0" applyNumberFormat="1"/>
    <xf numFmtId="10" fontId="0" fillId="0" borderId="0" xfId="2" applyNumberFormat="1" applyFont="1" applyFill="1"/>
    <xf numFmtId="165" fontId="0" fillId="0" borderId="0" xfId="0" applyNumberFormat="1"/>
    <xf numFmtId="10" fontId="0" fillId="0" borderId="1" xfId="2" applyNumberFormat="1" applyFont="1" applyFill="1" applyBorder="1"/>
    <xf numFmtId="165" fontId="0" fillId="0" borderId="1" xfId="0" applyNumberFormat="1" applyBorder="1"/>
    <xf numFmtId="0" fontId="0" fillId="0" borderId="3" xfId="0" applyBorder="1"/>
    <xf numFmtId="0" fontId="0" fillId="0" borderId="4" xfId="0" applyBorder="1"/>
    <xf numFmtId="2" fontId="0" fillId="0" borderId="0" xfId="0" applyNumberFormat="1"/>
    <xf numFmtId="0" fontId="2" fillId="0" borderId="5" xfId="0" applyFont="1" applyBorder="1" applyAlignment="1">
      <alignment horizontal="center"/>
    </xf>
    <xf numFmtId="0" fontId="0" fillId="0" borderId="6" xfId="0" applyBorder="1"/>
    <xf numFmtId="0" fontId="3" fillId="0" borderId="7" xfId="0" applyFont="1" applyBorder="1"/>
    <xf numFmtId="0" fontId="3" fillId="0" borderId="0" xfId="0" applyFont="1"/>
    <xf numFmtId="0" fontId="0" fillId="0" borderId="7" xfId="0" applyBorder="1"/>
    <xf numFmtId="10" fontId="0" fillId="0" borderId="0" xfId="2" applyNumberFormat="1" applyFont="1"/>
    <xf numFmtId="0" fontId="3" fillId="0" borderId="3" xfId="0" applyFont="1" applyBorder="1"/>
    <xf numFmtId="10" fontId="0" fillId="0" borderId="8" xfId="0" applyNumberFormat="1" applyBorder="1"/>
    <xf numFmtId="10" fontId="0" fillId="0" borderId="8" xfId="2" applyNumberFormat="1" applyFont="1" applyBorder="1"/>
    <xf numFmtId="0" fontId="0" fillId="0" borderId="9" xfId="0" applyBorder="1"/>
    <xf numFmtId="10" fontId="0" fillId="0" borderId="10" xfId="2" applyNumberFormat="1" applyFont="1" applyBorder="1"/>
    <xf numFmtId="0" fontId="3" fillId="0" borderId="1" xfId="0" applyFont="1" applyBorder="1"/>
    <xf numFmtId="10" fontId="0" fillId="0" borderId="7" xfId="2" applyNumberFormat="1" applyFont="1" applyFill="1" applyBorder="1"/>
    <xf numFmtId="14" fontId="0" fillId="0" borderId="6" xfId="0" applyNumberFormat="1" applyBorder="1"/>
    <xf numFmtId="14" fontId="0" fillId="0" borderId="3" xfId="0" applyNumberFormat="1" applyBorder="1"/>
    <xf numFmtId="0" fontId="3" fillId="0" borderId="1" xfId="0" applyFont="1" applyBorder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1" xfId="0" applyFont="1" applyBorder="1" applyAlignment="1">
      <alignment horizontal="center" vertical="center" wrapText="1"/>
    </xf>
    <xf numFmtId="166" fontId="0" fillId="0" borderId="0" xfId="0" applyNumberFormat="1"/>
    <xf numFmtId="167" fontId="0" fillId="0" borderId="0" xfId="1" applyNumberFormat="1" applyFont="1" applyFill="1"/>
    <xf numFmtId="10" fontId="0" fillId="0" borderId="13" xfId="0" applyNumberFormat="1" applyBorder="1"/>
    <xf numFmtId="10" fontId="0" fillId="0" borderId="13" xfId="2" applyNumberFormat="1" applyFont="1" applyBorder="1"/>
    <xf numFmtId="0" fontId="3" fillId="0" borderId="16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 wrapText="1"/>
    </xf>
    <xf numFmtId="10" fontId="0" fillId="0" borderId="19" xfId="0" applyNumberFormat="1" applyBorder="1"/>
    <xf numFmtId="0" fontId="0" fillId="0" borderId="20" xfId="0" applyBorder="1"/>
    <xf numFmtId="0" fontId="0" fillId="0" borderId="21" xfId="0" applyBorder="1"/>
    <xf numFmtId="0" fontId="3" fillId="0" borderId="22" xfId="0" applyFont="1" applyBorder="1"/>
    <xf numFmtId="10" fontId="0" fillId="0" borderId="23" xfId="0" applyNumberFormat="1" applyBorder="1"/>
    <xf numFmtId="0" fontId="3" fillId="0" borderId="24" xfId="0" applyFont="1" applyBorder="1"/>
    <xf numFmtId="10" fontId="0" fillId="0" borderId="25" xfId="0" applyNumberFormat="1" applyBorder="1"/>
    <xf numFmtId="43" fontId="0" fillId="0" borderId="0" xfId="1" applyFont="1"/>
    <xf numFmtId="166" fontId="0" fillId="0" borderId="26" xfId="0" applyNumberFormat="1" applyBorder="1"/>
    <xf numFmtId="10" fontId="0" fillId="0" borderId="19" xfId="2" applyNumberFormat="1" applyFont="1" applyFill="1" applyBorder="1"/>
    <xf numFmtId="167" fontId="0" fillId="0" borderId="17" xfId="1" applyNumberFormat="1" applyFont="1" applyFill="1" applyBorder="1"/>
    <xf numFmtId="0" fontId="3" fillId="0" borderId="30" xfId="0" applyFont="1" applyBorder="1"/>
    <xf numFmtId="0" fontId="0" fillId="0" borderId="16" xfId="0" applyBorder="1"/>
    <xf numFmtId="0" fontId="3" fillId="0" borderId="27" xfId="0" applyFont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0" fontId="3" fillId="0" borderId="34" xfId="0" applyFont="1" applyBorder="1" applyAlignment="1">
      <alignment horizontal="center"/>
    </xf>
    <xf numFmtId="10" fontId="0" fillId="0" borderId="31" xfId="0" applyNumberFormat="1" applyBorder="1" applyAlignment="1">
      <alignment horizontal="center"/>
    </xf>
    <xf numFmtId="0" fontId="3" fillId="0" borderId="31" xfId="0" applyFont="1" applyBorder="1" applyAlignment="1">
      <alignment horizontal="center"/>
    </xf>
    <xf numFmtId="0" fontId="3" fillId="0" borderId="32" xfId="0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10" fontId="0" fillId="0" borderId="0" xfId="2" applyNumberFormat="1" applyFont="1" applyFill="1" applyBorder="1" applyAlignment="1">
      <alignment horizontal="center"/>
    </xf>
    <xf numFmtId="165" fontId="0" fillId="0" borderId="19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3" xfId="0" applyBorder="1" applyAlignment="1">
      <alignment horizontal="center"/>
    </xf>
    <xf numFmtId="10" fontId="0" fillId="0" borderId="35" xfId="0" applyNumberFormat="1" applyBorder="1" applyAlignment="1">
      <alignment horizontal="center"/>
    </xf>
    <xf numFmtId="10" fontId="0" fillId="0" borderId="36" xfId="0" applyNumberForma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0" fillId="0" borderId="18" xfId="0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2" fontId="0" fillId="0" borderId="34" xfId="0" applyNumberFormat="1" applyBorder="1" applyAlignment="1">
      <alignment horizontal="center" vertical="center"/>
    </xf>
    <xf numFmtId="2" fontId="0" fillId="0" borderId="31" xfId="0" applyNumberFormat="1" applyBorder="1" applyAlignment="1">
      <alignment horizontal="center" vertical="center"/>
    </xf>
    <xf numFmtId="10" fontId="0" fillId="0" borderId="32" xfId="2" applyNumberFormat="1" applyFont="1" applyFill="1" applyBorder="1"/>
    <xf numFmtId="0" fontId="0" fillId="0" borderId="0" xfId="0" applyAlignment="1">
      <alignment horizontal="center"/>
    </xf>
    <xf numFmtId="0" fontId="3" fillId="0" borderId="34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49" fontId="0" fillId="0" borderId="34" xfId="0" quotePrefix="1" applyNumberFormat="1" applyBorder="1" applyAlignment="1">
      <alignment horizontal="center" vertical="top" wrapText="1"/>
    </xf>
    <xf numFmtId="49" fontId="0" fillId="0" borderId="31" xfId="0" quotePrefix="1" applyNumberFormat="1" applyBorder="1" applyAlignment="1">
      <alignment horizontal="center" vertical="top" wrapText="1"/>
    </xf>
    <xf numFmtId="49" fontId="0" fillId="0" borderId="32" xfId="0" quotePrefix="1" applyNumberFormat="1" applyBorder="1" applyAlignment="1">
      <alignment horizontal="center" vertical="top" wrapText="1"/>
    </xf>
    <xf numFmtId="0" fontId="2" fillId="0" borderId="14" xfId="0" applyFont="1" applyBorder="1" applyAlignment="1">
      <alignment horizontal="center" vertical="top" wrapText="1"/>
    </xf>
    <xf numFmtId="0" fontId="2" fillId="0" borderId="12" xfId="0" applyFont="1" applyBorder="1" applyAlignment="1">
      <alignment horizontal="center" vertical="top" wrapText="1"/>
    </xf>
    <xf numFmtId="0" fontId="2" fillId="0" borderId="15" xfId="0" applyFont="1" applyBorder="1" applyAlignment="1">
      <alignment horizontal="center" vertical="top" wrapText="1"/>
    </xf>
    <xf numFmtId="0" fontId="0" fillId="0" borderId="34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7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38" xfId="0" applyBorder="1" applyAlignment="1">
      <alignment horizontal="center" vertical="center" wrapText="1"/>
    </xf>
    <xf numFmtId="0" fontId="0" fillId="0" borderId="29" xfId="0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9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1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Portfolio Values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PortVals!$B$2</c:f>
              <c:strCache>
                <c:ptCount val="1"/>
                <c:pt idx="0">
                  <c:v>Port Value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PortVals!$A$3:$A$252</c:f>
              <c:numCache>
                <c:formatCode>m/d/yyyy</c:formatCode>
                <c:ptCount val="250"/>
                <c:pt idx="0">
                  <c:v>44929</c:v>
                </c:pt>
                <c:pt idx="1">
                  <c:v>44930</c:v>
                </c:pt>
                <c:pt idx="2">
                  <c:v>44931</c:v>
                </c:pt>
                <c:pt idx="3">
                  <c:v>44932</c:v>
                </c:pt>
                <c:pt idx="4">
                  <c:v>44935</c:v>
                </c:pt>
                <c:pt idx="5">
                  <c:v>44936</c:v>
                </c:pt>
                <c:pt idx="6">
                  <c:v>44937</c:v>
                </c:pt>
                <c:pt idx="7">
                  <c:v>44938</c:v>
                </c:pt>
                <c:pt idx="8">
                  <c:v>44939</c:v>
                </c:pt>
                <c:pt idx="9">
                  <c:v>44943</c:v>
                </c:pt>
                <c:pt idx="10">
                  <c:v>44944</c:v>
                </c:pt>
                <c:pt idx="11">
                  <c:v>44945</c:v>
                </c:pt>
                <c:pt idx="12">
                  <c:v>44946</c:v>
                </c:pt>
                <c:pt idx="13">
                  <c:v>44949</c:v>
                </c:pt>
                <c:pt idx="14">
                  <c:v>44950</c:v>
                </c:pt>
                <c:pt idx="15">
                  <c:v>44951</c:v>
                </c:pt>
                <c:pt idx="16">
                  <c:v>44952</c:v>
                </c:pt>
                <c:pt idx="17">
                  <c:v>44953</c:v>
                </c:pt>
                <c:pt idx="18">
                  <c:v>44956</c:v>
                </c:pt>
                <c:pt idx="19">
                  <c:v>44957</c:v>
                </c:pt>
                <c:pt idx="20">
                  <c:v>44958</c:v>
                </c:pt>
                <c:pt idx="21">
                  <c:v>44959</c:v>
                </c:pt>
                <c:pt idx="22">
                  <c:v>44960</c:v>
                </c:pt>
                <c:pt idx="23">
                  <c:v>44963</c:v>
                </c:pt>
                <c:pt idx="24">
                  <c:v>44964</c:v>
                </c:pt>
                <c:pt idx="25">
                  <c:v>44965</c:v>
                </c:pt>
                <c:pt idx="26">
                  <c:v>44966</c:v>
                </c:pt>
                <c:pt idx="27">
                  <c:v>44967</c:v>
                </c:pt>
                <c:pt idx="28">
                  <c:v>44970</c:v>
                </c:pt>
                <c:pt idx="29">
                  <c:v>44971</c:v>
                </c:pt>
                <c:pt idx="30">
                  <c:v>44972</c:v>
                </c:pt>
                <c:pt idx="31">
                  <c:v>44973</c:v>
                </c:pt>
                <c:pt idx="32">
                  <c:v>44974</c:v>
                </c:pt>
                <c:pt idx="33">
                  <c:v>44978</c:v>
                </c:pt>
                <c:pt idx="34">
                  <c:v>44979</c:v>
                </c:pt>
                <c:pt idx="35">
                  <c:v>44980</c:v>
                </c:pt>
                <c:pt idx="36">
                  <c:v>44981</c:v>
                </c:pt>
                <c:pt idx="37">
                  <c:v>44984</c:v>
                </c:pt>
                <c:pt idx="38">
                  <c:v>44985</c:v>
                </c:pt>
                <c:pt idx="39">
                  <c:v>44986</c:v>
                </c:pt>
                <c:pt idx="40">
                  <c:v>44987</c:v>
                </c:pt>
                <c:pt idx="41">
                  <c:v>44988</c:v>
                </c:pt>
                <c:pt idx="42">
                  <c:v>44991</c:v>
                </c:pt>
                <c:pt idx="43">
                  <c:v>44992</c:v>
                </c:pt>
                <c:pt idx="44">
                  <c:v>44993</c:v>
                </c:pt>
                <c:pt idx="45">
                  <c:v>44994</c:v>
                </c:pt>
                <c:pt idx="46">
                  <c:v>44995</c:v>
                </c:pt>
                <c:pt idx="47">
                  <c:v>44998</c:v>
                </c:pt>
                <c:pt idx="48">
                  <c:v>44999</c:v>
                </c:pt>
                <c:pt idx="49">
                  <c:v>45000</c:v>
                </c:pt>
                <c:pt idx="50">
                  <c:v>45001</c:v>
                </c:pt>
                <c:pt idx="51">
                  <c:v>45002</c:v>
                </c:pt>
                <c:pt idx="52">
                  <c:v>45005</c:v>
                </c:pt>
                <c:pt idx="53">
                  <c:v>45006</c:v>
                </c:pt>
                <c:pt idx="54">
                  <c:v>45007</c:v>
                </c:pt>
                <c:pt idx="55">
                  <c:v>45008</c:v>
                </c:pt>
                <c:pt idx="56">
                  <c:v>45009</c:v>
                </c:pt>
                <c:pt idx="57">
                  <c:v>45012</c:v>
                </c:pt>
                <c:pt idx="58">
                  <c:v>45013</c:v>
                </c:pt>
                <c:pt idx="59">
                  <c:v>45014</c:v>
                </c:pt>
                <c:pt idx="60">
                  <c:v>45015</c:v>
                </c:pt>
                <c:pt idx="61">
                  <c:v>45016</c:v>
                </c:pt>
                <c:pt idx="62">
                  <c:v>45019</c:v>
                </c:pt>
                <c:pt idx="63">
                  <c:v>45020</c:v>
                </c:pt>
                <c:pt idx="64">
                  <c:v>45021</c:v>
                </c:pt>
                <c:pt idx="65">
                  <c:v>45022</c:v>
                </c:pt>
                <c:pt idx="66">
                  <c:v>45026</c:v>
                </c:pt>
                <c:pt idx="67">
                  <c:v>45027</c:v>
                </c:pt>
                <c:pt idx="68">
                  <c:v>45028</c:v>
                </c:pt>
                <c:pt idx="69">
                  <c:v>45029</c:v>
                </c:pt>
                <c:pt idx="70">
                  <c:v>45030</c:v>
                </c:pt>
                <c:pt idx="71">
                  <c:v>45033</c:v>
                </c:pt>
                <c:pt idx="72">
                  <c:v>45034</c:v>
                </c:pt>
                <c:pt idx="73">
                  <c:v>45035</c:v>
                </c:pt>
                <c:pt idx="74">
                  <c:v>45036</c:v>
                </c:pt>
                <c:pt idx="75">
                  <c:v>45037</c:v>
                </c:pt>
                <c:pt idx="76">
                  <c:v>45040</c:v>
                </c:pt>
                <c:pt idx="77">
                  <c:v>45041</c:v>
                </c:pt>
                <c:pt idx="78">
                  <c:v>45042</c:v>
                </c:pt>
                <c:pt idx="79">
                  <c:v>45043</c:v>
                </c:pt>
                <c:pt idx="80">
                  <c:v>45044</c:v>
                </c:pt>
                <c:pt idx="81">
                  <c:v>45047</c:v>
                </c:pt>
                <c:pt idx="82">
                  <c:v>45048</c:v>
                </c:pt>
                <c:pt idx="83">
                  <c:v>45049</c:v>
                </c:pt>
                <c:pt idx="84">
                  <c:v>45050</c:v>
                </c:pt>
                <c:pt idx="85">
                  <c:v>45051</c:v>
                </c:pt>
                <c:pt idx="86">
                  <c:v>45054</c:v>
                </c:pt>
                <c:pt idx="87">
                  <c:v>45055</c:v>
                </c:pt>
                <c:pt idx="88">
                  <c:v>45056</c:v>
                </c:pt>
                <c:pt idx="89">
                  <c:v>45057</c:v>
                </c:pt>
                <c:pt idx="90">
                  <c:v>45058</c:v>
                </c:pt>
                <c:pt idx="91">
                  <c:v>45061</c:v>
                </c:pt>
                <c:pt idx="92">
                  <c:v>45062</c:v>
                </c:pt>
                <c:pt idx="93">
                  <c:v>45063</c:v>
                </c:pt>
                <c:pt idx="94">
                  <c:v>45064</c:v>
                </c:pt>
                <c:pt idx="95">
                  <c:v>45065</c:v>
                </c:pt>
                <c:pt idx="96">
                  <c:v>45068</c:v>
                </c:pt>
                <c:pt idx="97">
                  <c:v>45069</c:v>
                </c:pt>
                <c:pt idx="98">
                  <c:v>45070</c:v>
                </c:pt>
                <c:pt idx="99">
                  <c:v>45071</c:v>
                </c:pt>
                <c:pt idx="100">
                  <c:v>45072</c:v>
                </c:pt>
                <c:pt idx="101">
                  <c:v>45076</c:v>
                </c:pt>
                <c:pt idx="102">
                  <c:v>45077</c:v>
                </c:pt>
                <c:pt idx="103">
                  <c:v>45078</c:v>
                </c:pt>
                <c:pt idx="104">
                  <c:v>45079</c:v>
                </c:pt>
                <c:pt idx="105">
                  <c:v>45082</c:v>
                </c:pt>
                <c:pt idx="106">
                  <c:v>45083</c:v>
                </c:pt>
                <c:pt idx="107">
                  <c:v>45084</c:v>
                </c:pt>
                <c:pt idx="108">
                  <c:v>45085</c:v>
                </c:pt>
                <c:pt idx="109">
                  <c:v>45086</c:v>
                </c:pt>
                <c:pt idx="110">
                  <c:v>45089</c:v>
                </c:pt>
                <c:pt idx="111">
                  <c:v>45090</c:v>
                </c:pt>
                <c:pt idx="112">
                  <c:v>45091</c:v>
                </c:pt>
                <c:pt idx="113">
                  <c:v>45092</c:v>
                </c:pt>
                <c:pt idx="114">
                  <c:v>45093</c:v>
                </c:pt>
                <c:pt idx="115">
                  <c:v>45097</c:v>
                </c:pt>
                <c:pt idx="116">
                  <c:v>45098</c:v>
                </c:pt>
                <c:pt idx="117">
                  <c:v>45099</c:v>
                </c:pt>
                <c:pt idx="118">
                  <c:v>45100</c:v>
                </c:pt>
                <c:pt idx="119">
                  <c:v>45103</c:v>
                </c:pt>
                <c:pt idx="120">
                  <c:v>45104</c:v>
                </c:pt>
                <c:pt idx="121">
                  <c:v>45105</c:v>
                </c:pt>
                <c:pt idx="122">
                  <c:v>45106</c:v>
                </c:pt>
                <c:pt idx="123">
                  <c:v>45107</c:v>
                </c:pt>
                <c:pt idx="124">
                  <c:v>45110</c:v>
                </c:pt>
                <c:pt idx="125">
                  <c:v>45112</c:v>
                </c:pt>
                <c:pt idx="126">
                  <c:v>45113</c:v>
                </c:pt>
                <c:pt idx="127">
                  <c:v>45114</c:v>
                </c:pt>
                <c:pt idx="128">
                  <c:v>45117</c:v>
                </c:pt>
                <c:pt idx="129">
                  <c:v>45118</c:v>
                </c:pt>
                <c:pt idx="130">
                  <c:v>45119</c:v>
                </c:pt>
                <c:pt idx="131">
                  <c:v>45120</c:v>
                </c:pt>
                <c:pt idx="132">
                  <c:v>45121</c:v>
                </c:pt>
                <c:pt idx="133">
                  <c:v>45124</c:v>
                </c:pt>
                <c:pt idx="134">
                  <c:v>45125</c:v>
                </c:pt>
                <c:pt idx="135">
                  <c:v>45126</c:v>
                </c:pt>
                <c:pt idx="136">
                  <c:v>45127</c:v>
                </c:pt>
                <c:pt idx="137">
                  <c:v>45128</c:v>
                </c:pt>
                <c:pt idx="138">
                  <c:v>45131</c:v>
                </c:pt>
                <c:pt idx="139">
                  <c:v>45132</c:v>
                </c:pt>
                <c:pt idx="140">
                  <c:v>45133</c:v>
                </c:pt>
                <c:pt idx="141">
                  <c:v>45134</c:v>
                </c:pt>
                <c:pt idx="142">
                  <c:v>45135</c:v>
                </c:pt>
                <c:pt idx="143">
                  <c:v>45138</c:v>
                </c:pt>
                <c:pt idx="144">
                  <c:v>45139</c:v>
                </c:pt>
                <c:pt idx="145">
                  <c:v>45140</c:v>
                </c:pt>
                <c:pt idx="146">
                  <c:v>45141</c:v>
                </c:pt>
                <c:pt idx="147">
                  <c:v>45142</c:v>
                </c:pt>
                <c:pt idx="148">
                  <c:v>45145</c:v>
                </c:pt>
                <c:pt idx="149">
                  <c:v>45146</c:v>
                </c:pt>
                <c:pt idx="150">
                  <c:v>45147</c:v>
                </c:pt>
                <c:pt idx="151">
                  <c:v>45148</c:v>
                </c:pt>
                <c:pt idx="152">
                  <c:v>45149</c:v>
                </c:pt>
                <c:pt idx="153">
                  <c:v>45152</c:v>
                </c:pt>
                <c:pt idx="154">
                  <c:v>45153</c:v>
                </c:pt>
                <c:pt idx="155">
                  <c:v>45154</c:v>
                </c:pt>
                <c:pt idx="156">
                  <c:v>45155</c:v>
                </c:pt>
                <c:pt idx="157">
                  <c:v>45156</c:v>
                </c:pt>
                <c:pt idx="158">
                  <c:v>45159</c:v>
                </c:pt>
                <c:pt idx="159">
                  <c:v>45160</c:v>
                </c:pt>
                <c:pt idx="160">
                  <c:v>45161</c:v>
                </c:pt>
                <c:pt idx="161">
                  <c:v>45162</c:v>
                </c:pt>
                <c:pt idx="162">
                  <c:v>45163</c:v>
                </c:pt>
                <c:pt idx="163">
                  <c:v>45166</c:v>
                </c:pt>
                <c:pt idx="164">
                  <c:v>45167</c:v>
                </c:pt>
                <c:pt idx="165">
                  <c:v>45168</c:v>
                </c:pt>
                <c:pt idx="166">
                  <c:v>45169</c:v>
                </c:pt>
                <c:pt idx="167">
                  <c:v>45170</c:v>
                </c:pt>
                <c:pt idx="168">
                  <c:v>45174</c:v>
                </c:pt>
                <c:pt idx="169">
                  <c:v>45175</c:v>
                </c:pt>
                <c:pt idx="170">
                  <c:v>45176</c:v>
                </c:pt>
                <c:pt idx="171">
                  <c:v>45177</c:v>
                </c:pt>
                <c:pt idx="172">
                  <c:v>45180</c:v>
                </c:pt>
                <c:pt idx="173">
                  <c:v>45181</c:v>
                </c:pt>
                <c:pt idx="174">
                  <c:v>45182</c:v>
                </c:pt>
                <c:pt idx="175">
                  <c:v>45183</c:v>
                </c:pt>
                <c:pt idx="176">
                  <c:v>45184</c:v>
                </c:pt>
                <c:pt idx="177">
                  <c:v>45187</c:v>
                </c:pt>
                <c:pt idx="178">
                  <c:v>45188</c:v>
                </c:pt>
                <c:pt idx="179">
                  <c:v>45189</c:v>
                </c:pt>
                <c:pt idx="180">
                  <c:v>45190</c:v>
                </c:pt>
                <c:pt idx="181">
                  <c:v>45191</c:v>
                </c:pt>
                <c:pt idx="182">
                  <c:v>45194</c:v>
                </c:pt>
                <c:pt idx="183">
                  <c:v>45195</c:v>
                </c:pt>
                <c:pt idx="184">
                  <c:v>45196</c:v>
                </c:pt>
                <c:pt idx="185">
                  <c:v>45197</c:v>
                </c:pt>
                <c:pt idx="186">
                  <c:v>45198</c:v>
                </c:pt>
                <c:pt idx="187">
                  <c:v>45201</c:v>
                </c:pt>
                <c:pt idx="188">
                  <c:v>45202</c:v>
                </c:pt>
                <c:pt idx="189">
                  <c:v>45203</c:v>
                </c:pt>
                <c:pt idx="190">
                  <c:v>45204</c:v>
                </c:pt>
                <c:pt idx="191">
                  <c:v>45205</c:v>
                </c:pt>
                <c:pt idx="192">
                  <c:v>45208</c:v>
                </c:pt>
                <c:pt idx="193">
                  <c:v>45209</c:v>
                </c:pt>
                <c:pt idx="194">
                  <c:v>45210</c:v>
                </c:pt>
                <c:pt idx="195">
                  <c:v>45211</c:v>
                </c:pt>
                <c:pt idx="196">
                  <c:v>45212</c:v>
                </c:pt>
                <c:pt idx="197">
                  <c:v>45215</c:v>
                </c:pt>
                <c:pt idx="198">
                  <c:v>45216</c:v>
                </c:pt>
                <c:pt idx="199">
                  <c:v>45217</c:v>
                </c:pt>
                <c:pt idx="200">
                  <c:v>45218</c:v>
                </c:pt>
                <c:pt idx="201">
                  <c:v>45219</c:v>
                </c:pt>
                <c:pt idx="202">
                  <c:v>45222</c:v>
                </c:pt>
                <c:pt idx="203">
                  <c:v>45223</c:v>
                </c:pt>
                <c:pt idx="204">
                  <c:v>45224</c:v>
                </c:pt>
                <c:pt idx="205">
                  <c:v>45225</c:v>
                </c:pt>
                <c:pt idx="206">
                  <c:v>45226</c:v>
                </c:pt>
                <c:pt idx="207">
                  <c:v>45229</c:v>
                </c:pt>
                <c:pt idx="208">
                  <c:v>45230</c:v>
                </c:pt>
                <c:pt idx="209">
                  <c:v>45231</c:v>
                </c:pt>
                <c:pt idx="210">
                  <c:v>45232</c:v>
                </c:pt>
                <c:pt idx="211">
                  <c:v>45233</c:v>
                </c:pt>
                <c:pt idx="212">
                  <c:v>45236</c:v>
                </c:pt>
                <c:pt idx="213">
                  <c:v>45237</c:v>
                </c:pt>
                <c:pt idx="214">
                  <c:v>45238</c:v>
                </c:pt>
                <c:pt idx="215">
                  <c:v>45239</c:v>
                </c:pt>
                <c:pt idx="216">
                  <c:v>45240</c:v>
                </c:pt>
                <c:pt idx="217">
                  <c:v>45243</c:v>
                </c:pt>
                <c:pt idx="218">
                  <c:v>45244</c:v>
                </c:pt>
                <c:pt idx="219">
                  <c:v>45245</c:v>
                </c:pt>
                <c:pt idx="220">
                  <c:v>45246</c:v>
                </c:pt>
                <c:pt idx="221">
                  <c:v>45247</c:v>
                </c:pt>
                <c:pt idx="222">
                  <c:v>45250</c:v>
                </c:pt>
                <c:pt idx="223">
                  <c:v>45251</c:v>
                </c:pt>
                <c:pt idx="224">
                  <c:v>45252</c:v>
                </c:pt>
                <c:pt idx="225">
                  <c:v>45254</c:v>
                </c:pt>
                <c:pt idx="226">
                  <c:v>45257</c:v>
                </c:pt>
                <c:pt idx="227">
                  <c:v>45258</c:v>
                </c:pt>
                <c:pt idx="228">
                  <c:v>45259</c:v>
                </c:pt>
                <c:pt idx="229">
                  <c:v>45260</c:v>
                </c:pt>
                <c:pt idx="230">
                  <c:v>45261</c:v>
                </c:pt>
                <c:pt idx="231">
                  <c:v>45264</c:v>
                </c:pt>
                <c:pt idx="232">
                  <c:v>45265</c:v>
                </c:pt>
                <c:pt idx="233">
                  <c:v>45266</c:v>
                </c:pt>
                <c:pt idx="234">
                  <c:v>45267</c:v>
                </c:pt>
                <c:pt idx="235">
                  <c:v>45268</c:v>
                </c:pt>
                <c:pt idx="236">
                  <c:v>45271</c:v>
                </c:pt>
                <c:pt idx="237">
                  <c:v>45272</c:v>
                </c:pt>
                <c:pt idx="238">
                  <c:v>45273</c:v>
                </c:pt>
                <c:pt idx="239">
                  <c:v>45274</c:v>
                </c:pt>
                <c:pt idx="240">
                  <c:v>45275</c:v>
                </c:pt>
                <c:pt idx="241">
                  <c:v>45278</c:v>
                </c:pt>
                <c:pt idx="242">
                  <c:v>45279</c:v>
                </c:pt>
                <c:pt idx="243">
                  <c:v>45280</c:v>
                </c:pt>
                <c:pt idx="244">
                  <c:v>45281</c:v>
                </c:pt>
                <c:pt idx="245">
                  <c:v>45282</c:v>
                </c:pt>
                <c:pt idx="246">
                  <c:v>45286</c:v>
                </c:pt>
                <c:pt idx="247">
                  <c:v>45287</c:v>
                </c:pt>
                <c:pt idx="248">
                  <c:v>45288</c:v>
                </c:pt>
                <c:pt idx="249">
                  <c:v>45289</c:v>
                </c:pt>
              </c:numCache>
            </c:numRef>
          </c:cat>
          <c:val>
            <c:numRef>
              <c:f>PortVals!$B$3:$B$252</c:f>
              <c:numCache>
                <c:formatCode>General</c:formatCode>
                <c:ptCount val="250"/>
                <c:pt idx="0">
                  <c:v>5.1382289795205809</c:v>
                </c:pt>
                <c:pt idx="1">
                  <c:v>5.1647983215989655</c:v>
                </c:pt>
                <c:pt idx="2">
                  <c:v>5.1150550991605188</c:v>
                </c:pt>
                <c:pt idx="3">
                  <c:v>5.2539798475470247</c:v>
                </c:pt>
                <c:pt idx="4">
                  <c:v>5.2616251420105185</c:v>
                </c:pt>
                <c:pt idx="5">
                  <c:v>5.3020504012650536</c:v>
                </c:pt>
                <c:pt idx="6">
                  <c:v>5.3720672955994724</c:v>
                </c:pt>
                <c:pt idx="7">
                  <c:v>5.4228153478654813</c:v>
                </c:pt>
                <c:pt idx="8">
                  <c:v>5.4403432492469479</c:v>
                </c:pt>
                <c:pt idx="9">
                  <c:v>5.4271948766092821</c:v>
                </c:pt>
                <c:pt idx="10">
                  <c:v>5.4300823263428475</c:v>
                </c:pt>
                <c:pt idx="11">
                  <c:v>5.3656619639906502</c:v>
                </c:pt>
                <c:pt idx="12">
                  <c:v>5.4483322680705664</c:v>
                </c:pt>
                <c:pt idx="13">
                  <c:v>5.5098277843920824</c:v>
                </c:pt>
                <c:pt idx="14">
                  <c:v>5.47696776342777</c:v>
                </c:pt>
                <c:pt idx="15">
                  <c:v>5.4434654038988857</c:v>
                </c:pt>
                <c:pt idx="16">
                  <c:v>5.4445183718356258</c:v>
                </c:pt>
                <c:pt idx="17">
                  <c:v>5.5180242782118594</c:v>
                </c:pt>
                <c:pt idx="18">
                  <c:v>5.4373248644960306</c:v>
                </c:pt>
                <c:pt idx="19">
                  <c:v>5.57406596708904</c:v>
                </c:pt>
                <c:pt idx="20">
                  <c:v>5.7216761846920985</c:v>
                </c:pt>
                <c:pt idx="21">
                  <c:v>5.8797364546717414</c:v>
                </c:pt>
                <c:pt idx="22">
                  <c:v>5.8567696992703908</c:v>
                </c:pt>
                <c:pt idx="23">
                  <c:v>5.8046039034819978</c:v>
                </c:pt>
                <c:pt idx="24">
                  <c:v>5.8395958709675631</c:v>
                </c:pt>
                <c:pt idx="25">
                  <c:v>5.762237348614236</c:v>
                </c:pt>
                <c:pt idx="26">
                  <c:v>5.6441984774465421</c:v>
                </c:pt>
                <c:pt idx="27">
                  <c:v>5.598533766064822</c:v>
                </c:pt>
                <c:pt idx="28">
                  <c:v>5.6781522213770899</c:v>
                </c:pt>
                <c:pt idx="29">
                  <c:v>5.6961663967325586</c:v>
                </c:pt>
                <c:pt idx="30">
                  <c:v>5.6790416387959386</c:v>
                </c:pt>
                <c:pt idx="31">
                  <c:v>5.5701603513654572</c:v>
                </c:pt>
                <c:pt idx="32">
                  <c:v>5.6217923754592807</c:v>
                </c:pt>
                <c:pt idx="33">
                  <c:v>5.469287363643514</c:v>
                </c:pt>
                <c:pt idx="34">
                  <c:v>5.5183553585832819</c:v>
                </c:pt>
                <c:pt idx="35">
                  <c:v>5.5372385497138916</c:v>
                </c:pt>
                <c:pt idx="36">
                  <c:v>5.4943055666256164</c:v>
                </c:pt>
                <c:pt idx="37">
                  <c:v>5.459855310693901</c:v>
                </c:pt>
                <c:pt idx="38">
                  <c:v>5.5918453447111141</c:v>
                </c:pt>
                <c:pt idx="39">
                  <c:v>5.6169229537916179</c:v>
                </c:pt>
                <c:pt idx="40">
                  <c:v>5.6527522647474857</c:v>
                </c:pt>
                <c:pt idx="41">
                  <c:v>5.7216004851107813</c:v>
                </c:pt>
                <c:pt idx="42">
                  <c:v>5.6525084283275602</c:v>
                </c:pt>
                <c:pt idx="43">
                  <c:v>5.5663768345248306</c:v>
                </c:pt>
                <c:pt idx="44">
                  <c:v>5.5479378492253453</c:v>
                </c:pt>
                <c:pt idx="45">
                  <c:v>5.4482560186810538</c:v>
                </c:pt>
                <c:pt idx="46">
                  <c:v>5.3117217342216341</c:v>
                </c:pt>
                <c:pt idx="47">
                  <c:v>5.2101669550877663</c:v>
                </c:pt>
                <c:pt idx="48">
                  <c:v>5.2609520479579004</c:v>
                </c:pt>
                <c:pt idx="49">
                  <c:v>5.1666501705613008</c:v>
                </c:pt>
                <c:pt idx="50">
                  <c:v>5.2963891484618815</c:v>
                </c:pt>
                <c:pt idx="51">
                  <c:v>5.1400115241442146</c:v>
                </c:pt>
                <c:pt idx="52">
                  <c:v>5.1758316792807353</c:v>
                </c:pt>
                <c:pt idx="53">
                  <c:v>5.3190098351456241</c:v>
                </c:pt>
                <c:pt idx="54">
                  <c:v>5.2308456844596254</c:v>
                </c:pt>
                <c:pt idx="55">
                  <c:v>5.2245139142232917</c:v>
                </c:pt>
                <c:pt idx="56">
                  <c:v>5.2857440506973346</c:v>
                </c:pt>
                <c:pt idx="57">
                  <c:v>5.3402400609379415</c:v>
                </c:pt>
                <c:pt idx="58">
                  <c:v>5.3436465320330013</c:v>
                </c:pt>
                <c:pt idx="59">
                  <c:v>5.3521011680574002</c:v>
                </c:pt>
                <c:pt idx="60">
                  <c:v>5.3259609755183535</c:v>
                </c:pt>
                <c:pt idx="61">
                  <c:v>5.4431042264848299</c:v>
                </c:pt>
                <c:pt idx="62">
                  <c:v>5.4034728465723942</c:v>
                </c:pt>
                <c:pt idx="63">
                  <c:v>5.3333151293204173</c:v>
                </c:pt>
                <c:pt idx="64">
                  <c:v>5.289459967175631</c:v>
                </c:pt>
                <c:pt idx="65">
                  <c:v>5.3061555620935295</c:v>
                </c:pt>
                <c:pt idx="66">
                  <c:v>5.3658848805314117</c:v>
                </c:pt>
                <c:pt idx="67">
                  <c:v>5.3755090441353364</c:v>
                </c:pt>
                <c:pt idx="68">
                  <c:v>5.3328320438695709</c:v>
                </c:pt>
                <c:pt idx="69">
                  <c:v>5.3411730548721721</c:v>
                </c:pt>
                <c:pt idx="70">
                  <c:v>5.3045463356778146</c:v>
                </c:pt>
                <c:pt idx="71">
                  <c:v>5.3280695605802029</c:v>
                </c:pt>
                <c:pt idx="72">
                  <c:v>5.3264089905505694</c:v>
                </c:pt>
                <c:pt idx="73">
                  <c:v>5.3973492428837897</c:v>
                </c:pt>
                <c:pt idx="74">
                  <c:v>5.4225603276982683</c:v>
                </c:pt>
                <c:pt idx="75">
                  <c:v>5.4152742686275381</c:v>
                </c:pt>
                <c:pt idx="76">
                  <c:v>5.3447284619410986</c:v>
                </c:pt>
                <c:pt idx="77">
                  <c:v>5.2202273994715647</c:v>
                </c:pt>
                <c:pt idx="78">
                  <c:v>5.1316618237782503</c:v>
                </c:pt>
                <c:pt idx="79">
                  <c:v>5.262328350418179</c:v>
                </c:pt>
                <c:pt idx="80">
                  <c:v>5.2520921963169318</c:v>
                </c:pt>
                <c:pt idx="81">
                  <c:v>5.2596182037986914</c:v>
                </c:pt>
                <c:pt idx="82">
                  <c:v>5.1331661809481473</c:v>
                </c:pt>
                <c:pt idx="83">
                  <c:v>5.0586822857047302</c:v>
                </c:pt>
                <c:pt idx="84">
                  <c:v>5.0045849083591927</c:v>
                </c:pt>
                <c:pt idx="85">
                  <c:v>5.1536705633081148</c:v>
                </c:pt>
                <c:pt idx="86">
                  <c:v>5.1061462845091681</c:v>
                </c:pt>
                <c:pt idx="87">
                  <c:v>5.0953041812311319</c:v>
                </c:pt>
                <c:pt idx="88">
                  <c:v>5.1225481666917325</c:v>
                </c:pt>
                <c:pt idx="89">
                  <c:v>5.0890465635325759</c:v>
                </c:pt>
                <c:pt idx="90">
                  <c:v>5.1005280474159163</c:v>
                </c:pt>
                <c:pt idx="91">
                  <c:v>5.1330985344432172</c:v>
                </c:pt>
                <c:pt idx="92">
                  <c:v>5.0541786619801004</c:v>
                </c:pt>
                <c:pt idx="93">
                  <c:v>5.124150762883195</c:v>
                </c:pt>
                <c:pt idx="94">
                  <c:v>5.1181753662766631</c:v>
                </c:pt>
                <c:pt idx="95">
                  <c:v>5.0693381877121428</c:v>
                </c:pt>
                <c:pt idx="96">
                  <c:v>5.1275329883203309</c:v>
                </c:pt>
                <c:pt idx="97">
                  <c:v>5.1121517584515059</c:v>
                </c:pt>
                <c:pt idx="98">
                  <c:v>5.0073364110938972</c:v>
                </c:pt>
                <c:pt idx="99">
                  <c:v>4.9975970594402437</c:v>
                </c:pt>
                <c:pt idx="100">
                  <c:v>5.0059979776142525</c:v>
                </c:pt>
                <c:pt idx="101">
                  <c:v>4.9961214123373621</c:v>
                </c:pt>
                <c:pt idx="102">
                  <c:v>4.9544462472934336</c:v>
                </c:pt>
                <c:pt idx="103">
                  <c:v>5.0057042603867421</c:v>
                </c:pt>
                <c:pt idx="104">
                  <c:v>5.174806799272246</c:v>
                </c:pt>
                <c:pt idx="105">
                  <c:v>5.086743280971004</c:v>
                </c:pt>
                <c:pt idx="106">
                  <c:v>5.2215083011071908</c:v>
                </c:pt>
                <c:pt idx="107">
                  <c:v>5.3378306905938402</c:v>
                </c:pt>
                <c:pt idx="108">
                  <c:v>5.2587487682916754</c:v>
                </c:pt>
                <c:pt idx="109">
                  <c:v>5.1978852792004959</c:v>
                </c:pt>
                <c:pt idx="110">
                  <c:v>5.1938032469551807</c:v>
                </c:pt>
                <c:pt idx="111">
                  <c:v>5.2802398113846003</c:v>
                </c:pt>
                <c:pt idx="112">
                  <c:v>5.2523242188637518</c:v>
                </c:pt>
                <c:pt idx="113">
                  <c:v>5.3030143923428996</c:v>
                </c:pt>
                <c:pt idx="114">
                  <c:v>5.3650576336468419</c:v>
                </c:pt>
                <c:pt idx="115">
                  <c:v>5.336016003441145</c:v>
                </c:pt>
                <c:pt idx="116">
                  <c:v>5.4046495892189776</c:v>
                </c:pt>
                <c:pt idx="117">
                  <c:v>5.393326721214196</c:v>
                </c:pt>
                <c:pt idx="118">
                  <c:v>5.2984638485352349</c:v>
                </c:pt>
                <c:pt idx="119">
                  <c:v>5.281196877028421</c:v>
                </c:pt>
                <c:pt idx="120">
                  <c:v>5.3277436958555739</c:v>
                </c:pt>
                <c:pt idx="121">
                  <c:v>5.293024367945061</c:v>
                </c:pt>
                <c:pt idx="122">
                  <c:v>5.3566321019394723</c:v>
                </c:pt>
                <c:pt idx="123">
                  <c:v>5.341337784301988</c:v>
                </c:pt>
                <c:pt idx="124">
                  <c:v>5.3597927115161932</c:v>
                </c:pt>
                <c:pt idx="125">
                  <c:v>5.2715147265543552</c:v>
                </c:pt>
                <c:pt idx="126">
                  <c:v>5.212868754557908</c:v>
                </c:pt>
                <c:pt idx="127">
                  <c:v>5.2905946945155025</c:v>
                </c:pt>
                <c:pt idx="128">
                  <c:v>5.2872174983287348</c:v>
                </c:pt>
                <c:pt idx="129">
                  <c:v>5.4018727753253035</c:v>
                </c:pt>
                <c:pt idx="130">
                  <c:v>5.4858817338254093</c:v>
                </c:pt>
                <c:pt idx="131">
                  <c:v>5.5019485858516557</c:v>
                </c:pt>
                <c:pt idx="132">
                  <c:v>5.5027038169676814</c:v>
                </c:pt>
                <c:pt idx="133">
                  <c:v>5.6005417333142065</c:v>
                </c:pt>
                <c:pt idx="134">
                  <c:v>5.6658823094897981</c:v>
                </c:pt>
                <c:pt idx="135">
                  <c:v>5.7063958340509746</c:v>
                </c:pt>
                <c:pt idx="136">
                  <c:v>5.6971347254314484</c:v>
                </c:pt>
                <c:pt idx="137">
                  <c:v>5.6807517458271102</c:v>
                </c:pt>
                <c:pt idx="138">
                  <c:v>5.7189036034512544</c:v>
                </c:pt>
                <c:pt idx="139">
                  <c:v>5.7065492134347711</c:v>
                </c:pt>
                <c:pt idx="140">
                  <c:v>5.7747043978919868</c:v>
                </c:pt>
                <c:pt idx="141">
                  <c:v>5.7340532932061521</c:v>
                </c:pt>
                <c:pt idx="142">
                  <c:v>5.8421462284200105</c:v>
                </c:pt>
                <c:pt idx="143">
                  <c:v>5.8699674150999135</c:v>
                </c:pt>
                <c:pt idx="144">
                  <c:v>5.8303271776073622</c:v>
                </c:pt>
                <c:pt idx="145">
                  <c:v>5.8286354902545643</c:v>
                </c:pt>
                <c:pt idx="146">
                  <c:v>6.1798706105881385</c:v>
                </c:pt>
                <c:pt idx="147">
                  <c:v>6.0990377188524825</c:v>
                </c:pt>
                <c:pt idx="148">
                  <c:v>6.0901472314701737</c:v>
                </c:pt>
                <c:pt idx="149">
                  <c:v>6.0862122397990079</c:v>
                </c:pt>
                <c:pt idx="150">
                  <c:v>6.0513934554811648</c:v>
                </c:pt>
                <c:pt idx="151">
                  <c:v>6.0278541309415514</c:v>
                </c:pt>
                <c:pt idx="152">
                  <c:v>6.05610742481716</c:v>
                </c:pt>
                <c:pt idx="153">
                  <c:v>6.0206013218844143</c:v>
                </c:pt>
                <c:pt idx="154">
                  <c:v>5.9481779593945747</c:v>
                </c:pt>
                <c:pt idx="155">
                  <c:v>5.8924121317194782</c:v>
                </c:pt>
                <c:pt idx="156">
                  <c:v>5.819912214638709</c:v>
                </c:pt>
                <c:pt idx="157">
                  <c:v>5.7930355009109649</c:v>
                </c:pt>
                <c:pt idx="158">
                  <c:v>5.795438290315885</c:v>
                </c:pt>
                <c:pt idx="159">
                  <c:v>5.7357755763381988</c:v>
                </c:pt>
                <c:pt idx="160">
                  <c:v>5.8426866549099268</c:v>
                </c:pt>
                <c:pt idx="161">
                  <c:v>5.7650162228781365</c:v>
                </c:pt>
                <c:pt idx="162">
                  <c:v>5.7923130465667656</c:v>
                </c:pt>
                <c:pt idx="163">
                  <c:v>5.7478953572940892</c:v>
                </c:pt>
                <c:pt idx="164">
                  <c:v>5.8276876711330443</c:v>
                </c:pt>
                <c:pt idx="165">
                  <c:v>5.8645823586427674</c:v>
                </c:pt>
                <c:pt idx="166">
                  <c:v>5.8284286553197839</c:v>
                </c:pt>
                <c:pt idx="167">
                  <c:v>5.9138521262857742</c:v>
                </c:pt>
                <c:pt idx="168">
                  <c:v>5.810294600848005</c:v>
                </c:pt>
                <c:pt idx="169">
                  <c:v>5.8021045651211081</c:v>
                </c:pt>
                <c:pt idx="170">
                  <c:v>5.8104182331377059</c:v>
                </c:pt>
                <c:pt idx="171">
                  <c:v>5.7931123923338035</c:v>
                </c:pt>
                <c:pt idx="172">
                  <c:v>5.7861836712294634</c:v>
                </c:pt>
                <c:pt idx="173">
                  <c:v>5.7250605278666908</c:v>
                </c:pt>
                <c:pt idx="174">
                  <c:v>5.7324541410125605</c:v>
                </c:pt>
                <c:pt idx="175">
                  <c:v>5.7694294356948461</c:v>
                </c:pt>
                <c:pt idx="176">
                  <c:v>5.7456456372875762</c:v>
                </c:pt>
                <c:pt idx="177">
                  <c:v>5.6868082291486273</c:v>
                </c:pt>
                <c:pt idx="178">
                  <c:v>5.6811602431377333</c:v>
                </c:pt>
                <c:pt idx="179">
                  <c:v>5.676718163358589</c:v>
                </c:pt>
                <c:pt idx="180">
                  <c:v>5.490937996280647</c:v>
                </c:pt>
                <c:pt idx="181">
                  <c:v>5.4854593577370174</c:v>
                </c:pt>
                <c:pt idx="182">
                  <c:v>5.5053333704677678</c:v>
                </c:pt>
                <c:pt idx="183">
                  <c:v>5.4009530354331403</c:v>
                </c:pt>
                <c:pt idx="184">
                  <c:v>5.4148793055303726</c:v>
                </c:pt>
                <c:pt idx="185">
                  <c:v>5.482187079648372</c:v>
                </c:pt>
                <c:pt idx="186">
                  <c:v>5.4539755792172748</c:v>
                </c:pt>
                <c:pt idx="187">
                  <c:v>5.4434029968495015</c:v>
                </c:pt>
                <c:pt idx="188">
                  <c:v>5.3487085049193386</c:v>
                </c:pt>
                <c:pt idx="189">
                  <c:v>5.3703545729646311</c:v>
                </c:pt>
                <c:pt idx="190">
                  <c:v>5.3707455447926042</c:v>
                </c:pt>
                <c:pt idx="191">
                  <c:v>5.4453744019761361</c:v>
                </c:pt>
                <c:pt idx="192">
                  <c:v>5.4894628577042131</c:v>
                </c:pt>
                <c:pt idx="193">
                  <c:v>5.5484740009406872</c:v>
                </c:pt>
                <c:pt idx="194">
                  <c:v>5.5599648417637075</c:v>
                </c:pt>
                <c:pt idx="195">
                  <c:v>5.494401774394932</c:v>
                </c:pt>
                <c:pt idx="196">
                  <c:v>5.4910456577506812</c:v>
                </c:pt>
                <c:pt idx="197">
                  <c:v>5.5977341803039904</c:v>
                </c:pt>
                <c:pt idx="198">
                  <c:v>5.6296446792381074</c:v>
                </c:pt>
                <c:pt idx="199">
                  <c:v>5.4132145483681464</c:v>
                </c:pt>
                <c:pt idx="200">
                  <c:v>5.3570299859643447</c:v>
                </c:pt>
                <c:pt idx="201">
                  <c:v>5.3096821554879483</c:v>
                </c:pt>
                <c:pt idx="202">
                  <c:v>5.2494639082022037</c:v>
                </c:pt>
                <c:pt idx="203">
                  <c:v>5.2661626829210082</c:v>
                </c:pt>
                <c:pt idx="204">
                  <c:v>5.209515474548386</c:v>
                </c:pt>
                <c:pt idx="205">
                  <c:v>5.2210807695184576</c:v>
                </c:pt>
                <c:pt idx="206">
                  <c:v>5.1819423616665272</c:v>
                </c:pt>
                <c:pt idx="207">
                  <c:v>5.2519132731893539</c:v>
                </c:pt>
                <c:pt idx="208">
                  <c:v>5.303768552506595</c:v>
                </c:pt>
                <c:pt idx="209">
                  <c:v>5.5354935657463766</c:v>
                </c:pt>
                <c:pt idx="210">
                  <c:v>5.6315727378259925</c:v>
                </c:pt>
                <c:pt idx="211">
                  <c:v>5.7023321391700774</c:v>
                </c:pt>
                <c:pt idx="212">
                  <c:v>5.7024893338700533</c:v>
                </c:pt>
                <c:pt idx="213">
                  <c:v>5.7705165650887986</c:v>
                </c:pt>
                <c:pt idx="214">
                  <c:v>5.8321529319186274</c:v>
                </c:pt>
                <c:pt idx="215">
                  <c:v>5.7791345028425889</c:v>
                </c:pt>
                <c:pt idx="216">
                  <c:v>5.8511983432848806</c:v>
                </c:pt>
                <c:pt idx="217">
                  <c:v>5.8562324997515569</c:v>
                </c:pt>
                <c:pt idx="218">
                  <c:v>6.1384705751767008</c:v>
                </c:pt>
                <c:pt idx="219">
                  <c:v>6.138561109617493</c:v>
                </c:pt>
                <c:pt idx="220">
                  <c:v>6.049247192260589</c:v>
                </c:pt>
                <c:pt idx="221">
                  <c:v>6.0690325213906045</c:v>
                </c:pt>
                <c:pt idx="222">
                  <c:v>6.0904722637693052</c:v>
                </c:pt>
                <c:pt idx="223">
                  <c:v>6.0646586285209718</c:v>
                </c:pt>
                <c:pt idx="224">
                  <c:v>6.1206625985049143</c:v>
                </c:pt>
                <c:pt idx="225">
                  <c:v>6.1639400662930388</c:v>
                </c:pt>
                <c:pt idx="226">
                  <c:v>6.1262250382797792</c:v>
                </c:pt>
                <c:pt idx="227">
                  <c:v>6.0836434807393776</c:v>
                </c:pt>
                <c:pt idx="228">
                  <c:v>6.1023827949864042</c:v>
                </c:pt>
                <c:pt idx="229">
                  <c:v>6.151686816230451</c:v>
                </c:pt>
                <c:pt idx="230">
                  <c:v>6.2830149848064574</c:v>
                </c:pt>
                <c:pt idx="231">
                  <c:v>6.3446374605916276</c:v>
                </c:pt>
                <c:pt idx="232">
                  <c:v>6.2806534065671418</c:v>
                </c:pt>
                <c:pt idx="233">
                  <c:v>6.2894980045641553</c:v>
                </c:pt>
                <c:pt idx="234">
                  <c:v>6.3133235657449118</c:v>
                </c:pt>
                <c:pt idx="235">
                  <c:v>6.3325807774458394</c:v>
                </c:pt>
                <c:pt idx="236">
                  <c:v>6.4182530603661023</c:v>
                </c:pt>
                <c:pt idx="237">
                  <c:v>6.4798331684622807</c:v>
                </c:pt>
                <c:pt idx="238">
                  <c:v>6.6428565969622673</c:v>
                </c:pt>
                <c:pt idx="239">
                  <c:v>6.7256343630616104</c:v>
                </c:pt>
                <c:pt idx="240">
                  <c:v>6.673683582398656</c:v>
                </c:pt>
                <c:pt idx="241">
                  <c:v>6.6667095332032194</c:v>
                </c:pt>
                <c:pt idx="242">
                  <c:v>6.7399285794532249</c:v>
                </c:pt>
                <c:pt idx="243">
                  <c:v>6.6470993868500097</c:v>
                </c:pt>
                <c:pt idx="244">
                  <c:v>6.7140036853281675</c:v>
                </c:pt>
                <c:pt idx="245">
                  <c:v>6.7507779826057579</c:v>
                </c:pt>
                <c:pt idx="246">
                  <c:v>6.8357372730850035</c:v>
                </c:pt>
                <c:pt idx="247">
                  <c:v>6.8476526004185381</c:v>
                </c:pt>
                <c:pt idx="248">
                  <c:v>6.8230569785757842</c:v>
                </c:pt>
                <c:pt idx="249">
                  <c:v>6.7560415477721971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B4-454C-A60D-20325805F8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4358703"/>
        <c:axId val="574360623"/>
      </c:lineChart>
      <c:dateAx>
        <c:axId val="574358703"/>
        <c:scaling>
          <c:orientation val="minMax"/>
          <c:min val="44927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360623"/>
        <c:crosses val="autoZero"/>
        <c:auto val="1"/>
        <c:lblOffset val="100"/>
        <c:baseTimeUnit val="days"/>
      </c:dateAx>
      <c:valAx>
        <c:axId val="574360623"/>
        <c:scaling>
          <c:orientation val="minMax"/>
          <c:max val="7"/>
          <c:min val="4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Portfolio Value in Millions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3587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 b="1"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ADB8A8B-F0E0-4140-AF4E-4E266C1DAC7C}">
  <sheetPr codeName="Chart1"/>
  <sheetViews>
    <sheetView zoomScale="6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2015" cy="629787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025C08A-85E5-3D7D-E1F3-C78DA1C073F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373F49-EA09-41ED-A44C-EA63B68F9BB4}">
  <sheetPr codeName="Sheet1"/>
  <dimension ref="A1:A4"/>
  <sheetViews>
    <sheetView workbookViewId="0"/>
  </sheetViews>
  <sheetFormatPr defaultRowHeight="15" x14ac:dyDescent="0.25"/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>
        <v>80679969</v>
      </c>
    </row>
    <row r="4" spans="1:1" x14ac:dyDescent="0.25">
      <c r="A4" s="1">
        <v>45748.714016203703</v>
      </c>
    </row>
  </sheetData>
  <sheetProtection algorithmName="SHA-512" hashValue="SwwdZ5eKnoyBp5OGWU6DKTvTEalgHDX4Chs2ylk6JRNvW43lokdonXsZqn4UEXHkq8SLlrtM2jxr0u3frWVA0g==" saltValue="QH9KGtlPNdfkoNKyO7jgoQ==" spinCount="100000"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35A07-71F2-46CE-9741-90F08FA98712}">
  <sheetPr codeName="Sheet2"/>
  <dimension ref="A1:TL2943"/>
  <sheetViews>
    <sheetView workbookViewId="0"/>
  </sheetViews>
  <sheetFormatPr defaultRowHeight="15" x14ac:dyDescent="0.25"/>
  <cols>
    <col min="2" max="2" width="12" bestFit="1" customWidth="1"/>
    <col min="3" max="3" width="10" bestFit="1" customWidth="1"/>
    <col min="7" max="7" width="12" bestFit="1" customWidth="1"/>
    <col min="9" max="9" width="10" bestFit="1" customWidth="1"/>
    <col min="10" max="10" width="9.5703125" bestFit="1" customWidth="1"/>
    <col min="12" max="12" width="20.42578125" bestFit="1" customWidth="1"/>
    <col min="532" max="532" width="0" hidden="1" customWidth="1"/>
  </cols>
  <sheetData>
    <row r="1" spans="1:19" x14ac:dyDescent="0.25">
      <c r="A1" s="18" t="s">
        <v>2</v>
      </c>
      <c r="B1" s="7">
        <v>4.36E-2</v>
      </c>
      <c r="E1" s="18" t="s">
        <v>3</v>
      </c>
      <c r="F1" s="7">
        <v>0.25829999999999997</v>
      </c>
      <c r="G1" s="7"/>
      <c r="I1" s="18" t="s">
        <v>4</v>
      </c>
      <c r="J1" s="14">
        <v>5.1215890225123566</v>
      </c>
    </row>
    <row r="2" spans="1:19" x14ac:dyDescent="0.25">
      <c r="S2" s="7">
        <v>0.25829999999999997</v>
      </c>
    </row>
    <row r="3" spans="1:19" ht="15.75" thickBot="1" x14ac:dyDescent="0.3">
      <c r="A3" s="30" t="s">
        <v>5</v>
      </c>
      <c r="B3" s="30" t="s">
        <v>6</v>
      </c>
      <c r="C3" s="30" t="s">
        <v>7</v>
      </c>
      <c r="D3" s="30" t="s">
        <v>8</v>
      </c>
      <c r="E3" s="30" t="s">
        <v>9</v>
      </c>
      <c r="F3" s="30" t="s">
        <v>10</v>
      </c>
      <c r="G3" s="30" t="s">
        <v>11</v>
      </c>
      <c r="I3" s="18" t="s">
        <v>12</v>
      </c>
      <c r="K3" s="18" t="s">
        <v>13</v>
      </c>
      <c r="L3" s="34">
        <f t="array" ref="L3">MMULT(TRANSPOSE(F4:F13),MMULT(B18:K27,F4:F13))</f>
        <v>4.3066254457034487E-3</v>
      </c>
    </row>
    <row r="4" spans="1:19" x14ac:dyDescent="0.25">
      <c r="B4" s="31" t="s">
        <v>36</v>
      </c>
      <c r="C4">
        <v>0.3</v>
      </c>
      <c r="D4" s="8">
        <f t="shared" ref="D4:D12" si="0">$B$1+C4*($F$1-$B$1)</f>
        <v>0.10800999999999999</v>
      </c>
      <c r="E4">
        <v>0.19670000000000001</v>
      </c>
      <c r="F4" s="8">
        <v>0.04</v>
      </c>
      <c r="G4" s="9">
        <f>D4*F4</f>
        <v>4.3204000000000003E-3</v>
      </c>
      <c r="I4" s="14">
        <f>SUMPRODUCT(C4:C13,F4:F13)</f>
        <v>1.0221162685934071</v>
      </c>
      <c r="K4" s="18" t="s">
        <v>14</v>
      </c>
      <c r="L4" s="8">
        <f>SQRT(L3)</f>
        <v>6.5624884348114851E-2</v>
      </c>
    </row>
    <row r="5" spans="1:19" x14ac:dyDescent="0.25">
      <c r="B5" s="21" t="s">
        <v>35</v>
      </c>
      <c r="C5">
        <v>1.6</v>
      </c>
      <c r="D5" s="8">
        <f t="shared" si="0"/>
        <v>0.38712000000000002</v>
      </c>
      <c r="E5">
        <v>1.6080000000000001</v>
      </c>
      <c r="F5" s="8">
        <v>0.13089485874894766</v>
      </c>
      <c r="G5" s="9">
        <f t="shared" ref="G5:G13" si="1">D5*F5</f>
        <v>5.0672017718892619E-2</v>
      </c>
      <c r="K5" s="18" t="s">
        <v>15</v>
      </c>
      <c r="L5" s="8">
        <f>SQRT(12*L4)</f>
        <v>0.88741118551513543</v>
      </c>
    </row>
    <row r="6" spans="1:19" x14ac:dyDescent="0.25">
      <c r="B6" s="21" t="s">
        <v>32</v>
      </c>
      <c r="C6">
        <v>0.6</v>
      </c>
      <c r="D6" s="8">
        <f t="shared" si="0"/>
        <v>0.17241999999999999</v>
      </c>
      <c r="E6">
        <v>17.484000000000002</v>
      </c>
      <c r="F6" s="8">
        <v>0.04</v>
      </c>
      <c r="G6" s="9">
        <f t="shared" si="1"/>
        <v>6.8967999999999998E-3</v>
      </c>
      <c r="I6" s="18" t="s">
        <v>16</v>
      </c>
      <c r="K6" s="18" t="s">
        <v>17</v>
      </c>
      <c r="L6" s="35">
        <f>(G14-B1)/L5</f>
        <v>0.24729050799558772</v>
      </c>
    </row>
    <row r="7" spans="1:19" x14ac:dyDescent="0.25">
      <c r="B7" s="21" t="s">
        <v>37</v>
      </c>
      <c r="C7">
        <v>0.88</v>
      </c>
      <c r="D7" s="8">
        <f t="shared" si="0"/>
        <v>0.23253599999999996</v>
      </c>
      <c r="E7">
        <v>0.14510000000000001</v>
      </c>
      <c r="F7" s="8">
        <v>0.04</v>
      </c>
      <c r="G7" s="9">
        <f t="shared" si="1"/>
        <v>9.3014399999999994E-3</v>
      </c>
      <c r="I7" s="14">
        <f>SUMSQ(F4:F13)</f>
        <v>0.15026973511338354</v>
      </c>
    </row>
    <row r="8" spans="1:19" x14ac:dyDescent="0.25">
      <c r="B8" s="21" t="s">
        <v>28</v>
      </c>
      <c r="C8">
        <v>1.27</v>
      </c>
      <c r="D8" s="8">
        <f t="shared" si="0"/>
        <v>0.31626900000000002</v>
      </c>
      <c r="E8">
        <v>13.467000000000001</v>
      </c>
      <c r="F8" s="8">
        <v>0.22</v>
      </c>
      <c r="G8" s="9">
        <f t="shared" si="1"/>
        <v>6.9579180000000004E-2</v>
      </c>
    </row>
    <row r="9" spans="1:19" x14ac:dyDescent="0.25">
      <c r="B9" s="21" t="s">
        <v>34</v>
      </c>
      <c r="C9">
        <v>0.83</v>
      </c>
      <c r="D9" s="8">
        <f t="shared" si="0"/>
        <v>0.22180099999999997</v>
      </c>
      <c r="E9">
        <v>2.7839999999999998</v>
      </c>
      <c r="F9" s="8">
        <v>0.17879592788769019</v>
      </c>
      <c r="G9" s="9">
        <f t="shared" si="1"/>
        <v>3.9657115601417568E-2</v>
      </c>
      <c r="Q9" t="s">
        <v>43</v>
      </c>
    </row>
    <row r="10" spans="1:19" x14ac:dyDescent="0.25">
      <c r="B10" s="21" t="s">
        <v>29</v>
      </c>
      <c r="C10">
        <v>0.94</v>
      </c>
      <c r="D10" s="8">
        <f t="shared" si="0"/>
        <v>0.24541799999999997</v>
      </c>
      <c r="E10">
        <v>5.6760000000000002</v>
      </c>
      <c r="F10" s="8">
        <v>7.0987824688594311E-2</v>
      </c>
      <c r="G10" s="9">
        <f t="shared" si="1"/>
        <v>1.7421689959425436E-2</v>
      </c>
    </row>
    <row r="11" spans="1:19" x14ac:dyDescent="0.25">
      <c r="B11" s="21" t="s">
        <v>30</v>
      </c>
      <c r="C11">
        <v>0.95</v>
      </c>
      <c r="D11" s="8">
        <f t="shared" si="0"/>
        <v>0.24756499999999998</v>
      </c>
      <c r="E11">
        <v>6.0339999999999998</v>
      </c>
      <c r="F11" s="8">
        <v>0.19932138867476784</v>
      </c>
      <c r="G11" s="9">
        <f t="shared" si="1"/>
        <v>4.9344999587268894E-2</v>
      </c>
    </row>
    <row r="12" spans="1:19" x14ac:dyDescent="0.25">
      <c r="B12" s="21" t="s">
        <v>31</v>
      </c>
      <c r="C12">
        <v>0.82</v>
      </c>
      <c r="D12" s="8">
        <f t="shared" si="0"/>
        <v>0.21965399999999996</v>
      </c>
      <c r="E12">
        <v>0.32279999999999998</v>
      </c>
      <c r="F12" s="8">
        <v>0.04</v>
      </c>
      <c r="G12" s="9">
        <f t="shared" si="1"/>
        <v>8.7861599999999995E-3</v>
      </c>
    </row>
    <row r="13" spans="1:19" ht="15.75" thickBot="1" x14ac:dyDescent="0.3">
      <c r="A13" s="6"/>
      <c r="B13" s="32" t="s">
        <v>33</v>
      </c>
      <c r="C13" s="6">
        <v>0.62</v>
      </c>
      <c r="D13" s="10">
        <f t="shared" ref="D13" si="2">$B$1+C13*($F$1-$B$1)</f>
        <v>0.17671399999999998</v>
      </c>
      <c r="E13" s="6">
        <v>0.24560000000000001</v>
      </c>
      <c r="F13" s="10">
        <v>4.0000000000000008E-2</v>
      </c>
      <c r="G13" s="11">
        <f t="shared" si="1"/>
        <v>7.0685600000000006E-3</v>
      </c>
    </row>
    <row r="14" spans="1:19" x14ac:dyDescent="0.25">
      <c r="E14">
        <f>SUM(E4:E13)</f>
        <v>47.963200000000008</v>
      </c>
      <c r="F14" s="7">
        <f>SUM(F4:F13)</f>
        <v>1</v>
      </c>
      <c r="G14" s="7">
        <f>SUM(G4:G13)</f>
        <v>0.26304836286700456</v>
      </c>
    </row>
    <row r="16" spans="1:19" ht="15.75" thickBot="1" x14ac:dyDescent="0.3"/>
    <row r="17" spans="1:11" x14ac:dyDescent="0.25">
      <c r="A17" s="15"/>
      <c r="B17" s="15" t="s">
        <v>36</v>
      </c>
      <c r="C17" s="15" t="s">
        <v>35</v>
      </c>
      <c r="D17" s="15" t="s">
        <v>32</v>
      </c>
      <c r="E17" s="15" t="s">
        <v>37</v>
      </c>
      <c r="F17" s="15" t="s">
        <v>28</v>
      </c>
      <c r="G17" s="15" t="s">
        <v>34</v>
      </c>
      <c r="H17" s="15" t="s">
        <v>29</v>
      </c>
      <c r="I17" s="15" t="s">
        <v>30</v>
      </c>
      <c r="J17" s="15" t="s">
        <v>31</v>
      </c>
      <c r="K17" s="15" t="s">
        <v>33</v>
      </c>
    </row>
    <row r="18" spans="1:11" x14ac:dyDescent="0.25">
      <c r="A18" s="16" t="s">
        <v>36</v>
      </c>
      <c r="B18">
        <f>VARP(Rtrns!$B$4:$B$63)</f>
        <v>1.1669876627599144E-2</v>
      </c>
      <c r="C18">
        <v>5.8251140228525213E-3</v>
      </c>
      <c r="D18">
        <v>3.0262828940857186E-3</v>
      </c>
      <c r="E18">
        <v>2.293271864131345E-3</v>
      </c>
      <c r="F18">
        <v>1.4617049987124329E-3</v>
      </c>
      <c r="G18">
        <v>8.1173736741011089E-4</v>
      </c>
      <c r="H18">
        <v>3.3532916845535601E-3</v>
      </c>
      <c r="I18">
        <v>-1.0721660408275853E-3</v>
      </c>
      <c r="J18">
        <v>2.6022249448409032E-3</v>
      </c>
      <c r="K18">
        <v>1.4053817429504408E-3</v>
      </c>
    </row>
    <row r="19" spans="1:11" x14ac:dyDescent="0.25">
      <c r="A19" s="12" t="s">
        <v>35</v>
      </c>
      <c r="B19">
        <v>5.8251140228525213E-3</v>
      </c>
      <c r="C19">
        <f>VARP(Rtrns!$C$4:$C$63)</f>
        <v>3.8663084227354608E-2</v>
      </c>
      <c r="D19">
        <v>4.2332223841852088E-3</v>
      </c>
      <c r="E19">
        <v>6.8677343474210784E-3</v>
      </c>
      <c r="F19">
        <v>5.5566640417334962E-3</v>
      </c>
      <c r="G19">
        <v>3.2763992336145228E-3</v>
      </c>
      <c r="H19">
        <v>6.706316661259564E-3</v>
      </c>
      <c r="I19">
        <v>5.3708121907762177E-3</v>
      </c>
      <c r="J19">
        <v>6.2948956131432194E-3</v>
      </c>
      <c r="K19">
        <v>3.1613364198686119E-3</v>
      </c>
    </row>
    <row r="20" spans="1:11" x14ac:dyDescent="0.25">
      <c r="A20" s="12" t="s">
        <v>32</v>
      </c>
      <c r="B20">
        <v>3.0262828940857186E-3</v>
      </c>
      <c r="C20">
        <v>4.2332223841852088E-3</v>
      </c>
      <c r="D20">
        <f>VARP(Rtrns!$D$4:$D$63)</f>
        <v>4.3845171896325502E-3</v>
      </c>
      <c r="E20">
        <v>3.5152842998942817E-3</v>
      </c>
      <c r="F20">
        <v>2.2750136237434798E-3</v>
      </c>
      <c r="G20">
        <v>3.1139302351234936E-3</v>
      </c>
      <c r="H20">
        <v>2.5138371569760091E-3</v>
      </c>
      <c r="I20">
        <v>1.808442629427004E-3</v>
      </c>
      <c r="J20">
        <v>3.2783740461955688E-3</v>
      </c>
      <c r="K20">
        <v>1.5448095348269476E-3</v>
      </c>
    </row>
    <row r="21" spans="1:11" x14ac:dyDescent="0.25">
      <c r="A21" s="12" t="s">
        <v>37</v>
      </c>
      <c r="B21">
        <v>2.293271864131345E-3</v>
      </c>
      <c r="C21">
        <v>6.8677343474210784E-3</v>
      </c>
      <c r="D21">
        <v>3.5152842998942817E-3</v>
      </c>
      <c r="E21">
        <f>VARP(Rtrns!$E$4:$E$63)</f>
        <v>1.0805241892694063E-2</v>
      </c>
      <c r="F21">
        <v>3.9447883287176402E-3</v>
      </c>
      <c r="G21">
        <v>3.2181037376466282E-3</v>
      </c>
      <c r="H21">
        <v>4.2466941320516462E-3</v>
      </c>
      <c r="I21">
        <v>3.2817117231681969E-3</v>
      </c>
      <c r="J21">
        <v>4.4126891095683249E-3</v>
      </c>
      <c r="K21">
        <v>2.5724611210551215E-3</v>
      </c>
    </row>
    <row r="22" spans="1:11" x14ac:dyDescent="0.25">
      <c r="A22" s="12" t="s">
        <v>28</v>
      </c>
      <c r="B22">
        <v>1.4617049987124329E-3</v>
      </c>
      <c r="C22">
        <v>5.5566640417334962E-3</v>
      </c>
      <c r="D22">
        <v>2.2750136237434798E-3</v>
      </c>
      <c r="E22">
        <v>3.9447883287176402E-3</v>
      </c>
      <c r="F22">
        <f>VARP(Rtrns!$F$4:$F$63)</f>
        <v>6.3964512389197434E-3</v>
      </c>
      <c r="G22">
        <v>1.9746223212470607E-3</v>
      </c>
      <c r="H22">
        <v>3.0322008854943411E-3</v>
      </c>
      <c r="I22">
        <v>2.9458059854782421E-3</v>
      </c>
      <c r="J22">
        <v>3.8539606035680419E-3</v>
      </c>
      <c r="K22">
        <v>2.1805301485813139E-3</v>
      </c>
    </row>
    <row r="23" spans="1:11" x14ac:dyDescent="0.25">
      <c r="A23" s="12" t="s">
        <v>34</v>
      </c>
      <c r="B23">
        <v>8.1173736741011089E-4</v>
      </c>
      <c r="C23">
        <v>3.2763992336145228E-3</v>
      </c>
      <c r="D23">
        <v>3.1139302351234936E-3</v>
      </c>
      <c r="E23">
        <v>3.2181037376466282E-3</v>
      </c>
      <c r="F23">
        <v>1.9746223212470607E-3</v>
      </c>
      <c r="G23">
        <f>VARP(Rtrns!$G$4:$G$63)</f>
        <v>6.4563114377313539E-3</v>
      </c>
      <c r="H23">
        <v>2.0270910451330609E-3</v>
      </c>
      <c r="I23">
        <v>1.8849841009099695E-3</v>
      </c>
      <c r="J23">
        <v>2.3460670892413685E-3</v>
      </c>
      <c r="K23">
        <v>1.7401168954240998E-3</v>
      </c>
    </row>
    <row r="24" spans="1:11" x14ac:dyDescent="0.25">
      <c r="A24" s="12" t="s">
        <v>29</v>
      </c>
      <c r="B24">
        <v>3.3532916845535601E-3</v>
      </c>
      <c r="C24">
        <v>6.706316661259564E-3</v>
      </c>
      <c r="D24">
        <v>2.5138371569760091E-3</v>
      </c>
      <c r="E24">
        <v>4.2466941320516462E-3</v>
      </c>
      <c r="F24">
        <v>3.0322008854943411E-3</v>
      </c>
      <c r="G24">
        <v>2.0270910451330609E-3</v>
      </c>
      <c r="H24">
        <f>VARP(Rtrns!$H$4:$H$63)</f>
        <v>9.9091414990201861E-3</v>
      </c>
      <c r="I24">
        <v>3.4576533201278242E-3</v>
      </c>
      <c r="J24">
        <v>2.5967555888909426E-3</v>
      </c>
      <c r="K24">
        <v>2.5894583133331335E-3</v>
      </c>
    </row>
    <row r="25" spans="1:11" x14ac:dyDescent="0.25">
      <c r="A25" s="12" t="s">
        <v>30</v>
      </c>
      <c r="B25">
        <v>-1.0721660408275853E-3</v>
      </c>
      <c r="C25">
        <v>5.3708121907762177E-3</v>
      </c>
      <c r="D25">
        <v>1.808442629427004E-3</v>
      </c>
      <c r="E25">
        <v>3.2817117231681969E-3</v>
      </c>
      <c r="F25">
        <v>2.9458059854782421E-3</v>
      </c>
      <c r="G25">
        <v>1.8849841009099695E-3</v>
      </c>
      <c r="H25">
        <v>3.4576533201278242E-3</v>
      </c>
      <c r="I25">
        <f>VARP(Rtrns!$I$4:$I$63)</f>
        <v>8.333936325410355E-3</v>
      </c>
      <c r="J25">
        <v>3.3278728991051826E-3</v>
      </c>
      <c r="K25">
        <v>2.7241323502811025E-3</v>
      </c>
    </row>
    <row r="26" spans="1:11" x14ac:dyDescent="0.25">
      <c r="A26" s="12" t="s">
        <v>31</v>
      </c>
      <c r="B26">
        <v>2.6022249448409032E-3</v>
      </c>
      <c r="C26">
        <v>6.2948956131432194E-3</v>
      </c>
      <c r="D26">
        <v>3.2783740461955688E-3</v>
      </c>
      <c r="E26">
        <v>4.4126891095683249E-3</v>
      </c>
      <c r="F26">
        <v>3.8539606035680419E-3</v>
      </c>
      <c r="G26">
        <v>2.3460670892413685E-3</v>
      </c>
      <c r="H26">
        <v>2.5967555888909426E-3</v>
      </c>
      <c r="I26">
        <v>3.3278728991051826E-3</v>
      </c>
      <c r="J26">
        <f>VARP(Rtrns!$J$4:$J$63)</f>
        <v>7.9552673137946849E-3</v>
      </c>
      <c r="K26">
        <v>3.3657677156122248E-3</v>
      </c>
    </row>
    <row r="27" spans="1:11" ht="15.75" thickBot="1" x14ac:dyDescent="0.3">
      <c r="A27" s="13" t="s">
        <v>33</v>
      </c>
      <c r="B27" s="6">
        <v>1.4053817429504408E-3</v>
      </c>
      <c r="C27" s="6">
        <v>3.1613364198686119E-3</v>
      </c>
      <c r="D27" s="6">
        <v>1.5448095348269476E-3</v>
      </c>
      <c r="E27" s="6">
        <v>2.5724611210551215E-3</v>
      </c>
      <c r="F27" s="6">
        <v>2.1805301485813139E-3</v>
      </c>
      <c r="G27" s="6">
        <v>1.7401168954240998E-3</v>
      </c>
      <c r="H27" s="6">
        <v>2.5894583133331335E-3</v>
      </c>
      <c r="I27" s="6">
        <v>2.7241323502811025E-3</v>
      </c>
      <c r="J27" s="6">
        <v>3.3657677156122248E-3</v>
      </c>
      <c r="K27" s="6">
        <f>VARP(Rtrns!$K$4:$K$63)</f>
        <v>3.5813347658986377E-3</v>
      </c>
    </row>
    <row r="30" spans="1:11" x14ac:dyDescent="0.25">
      <c r="B30" s="7">
        <f>F4</f>
        <v>0.04</v>
      </c>
      <c r="C30" s="7">
        <f>F5</f>
        <v>0.13089485874894766</v>
      </c>
      <c r="D30" s="7">
        <f>F6</f>
        <v>0.04</v>
      </c>
      <c r="E30" s="7">
        <f>F7</f>
        <v>0.04</v>
      </c>
      <c r="F30" s="7">
        <f>F8</f>
        <v>0.22</v>
      </c>
      <c r="G30" s="7">
        <f>F9</f>
        <v>0.17879592788769019</v>
      </c>
      <c r="H30" s="7">
        <f>F10</f>
        <v>7.0987824688594311E-2</v>
      </c>
      <c r="I30" s="7">
        <f>F11</f>
        <v>0.19932138867476784</v>
      </c>
      <c r="J30" s="7">
        <f>F12</f>
        <v>0.04</v>
      </c>
      <c r="K30" s="7">
        <f>F13</f>
        <v>4.0000000000000008E-2</v>
      </c>
    </row>
    <row r="31" spans="1:11" x14ac:dyDescent="0.25">
      <c r="A31" s="7">
        <f>F4</f>
        <v>0.04</v>
      </c>
      <c r="B31">
        <f>A31*B18*B30</f>
        <v>1.8671802604158632E-5</v>
      </c>
      <c r="C31">
        <f>A31*C30*C18</f>
        <v>3.0499099088711802E-5</v>
      </c>
    </row>
    <row r="32" spans="1:11" x14ac:dyDescent="0.25">
      <c r="A32" s="7">
        <f t="shared" ref="A32:A40" si="3">F5</f>
        <v>0.13089485874894766</v>
      </c>
    </row>
    <row r="33" spans="1:1" x14ac:dyDescent="0.25">
      <c r="A33" s="7">
        <f t="shared" si="3"/>
        <v>0.04</v>
      </c>
    </row>
    <row r="34" spans="1:1" x14ac:dyDescent="0.25">
      <c r="A34" s="7">
        <f t="shared" si="3"/>
        <v>0.04</v>
      </c>
    </row>
    <row r="35" spans="1:1" x14ac:dyDescent="0.25">
      <c r="A35" s="7">
        <f t="shared" si="3"/>
        <v>0.22</v>
      </c>
    </row>
    <row r="36" spans="1:1" x14ac:dyDescent="0.25">
      <c r="A36" s="7">
        <f t="shared" si="3"/>
        <v>0.17879592788769019</v>
      </c>
    </row>
    <row r="37" spans="1:1" x14ac:dyDescent="0.25">
      <c r="A37" s="7">
        <f t="shared" si="3"/>
        <v>7.0987824688594311E-2</v>
      </c>
    </row>
    <row r="38" spans="1:1" x14ac:dyDescent="0.25">
      <c r="A38" s="7">
        <f t="shared" si="3"/>
        <v>0.19932138867476784</v>
      </c>
    </row>
    <row r="39" spans="1:1" x14ac:dyDescent="0.25">
      <c r="A39" s="7">
        <f t="shared" si="3"/>
        <v>0.04</v>
      </c>
    </row>
    <row r="40" spans="1:1" x14ac:dyDescent="0.25">
      <c r="A40" s="7">
        <f t="shared" si="3"/>
        <v>4.0000000000000008E-2</v>
      </c>
    </row>
    <row r="41" spans="1:1" x14ac:dyDescent="0.25">
      <c r="A41" s="7"/>
    </row>
    <row r="2943" spans="532:532" x14ac:dyDescent="0.25">
      <c r="TL2943">
        <v>80679969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9203F-5374-430E-A645-E6027D39A84A}">
  <sheetPr codeName="Sheet3"/>
  <dimension ref="A1:TL2943"/>
  <sheetViews>
    <sheetView workbookViewId="0">
      <selection activeCell="D13" sqref="D13"/>
    </sheetView>
  </sheetViews>
  <sheetFormatPr defaultRowHeight="15" x14ac:dyDescent="0.25"/>
  <cols>
    <col min="1" max="1" width="10.42578125" bestFit="1" customWidth="1"/>
    <col min="2" max="11" width="12.7109375" bestFit="1" customWidth="1"/>
    <col min="532" max="532" width="0" hidden="1" customWidth="1"/>
  </cols>
  <sheetData>
    <row r="1" spans="1:11" x14ac:dyDescent="0.25">
      <c r="B1" s="75" t="s">
        <v>18</v>
      </c>
      <c r="C1" s="75"/>
      <c r="D1" s="75"/>
      <c r="E1" s="75"/>
      <c r="F1" s="75"/>
      <c r="G1" s="75"/>
      <c r="H1" s="75"/>
      <c r="I1" s="75"/>
      <c r="J1" s="75"/>
      <c r="K1" s="75"/>
    </row>
    <row r="2" spans="1:11" x14ac:dyDescent="0.25">
      <c r="B2" s="5">
        <v>1</v>
      </c>
      <c r="C2" s="5">
        <v>2</v>
      </c>
      <c r="D2" s="5">
        <v>3</v>
      </c>
      <c r="E2" s="5">
        <v>4</v>
      </c>
      <c r="F2" s="5">
        <v>5</v>
      </c>
      <c r="G2" s="5">
        <v>6</v>
      </c>
      <c r="H2" s="5">
        <v>7</v>
      </c>
      <c r="I2" s="5">
        <v>8</v>
      </c>
      <c r="J2" s="5">
        <v>9</v>
      </c>
      <c r="K2" s="5">
        <v>10</v>
      </c>
    </row>
    <row r="3" spans="1:11" ht="15.75" thickBot="1" x14ac:dyDescent="0.3">
      <c r="A3" s="26" t="s">
        <v>19</v>
      </c>
      <c r="B3" s="30" t="str">
        <f>RawData!D2</f>
        <v>PVBC</v>
      </c>
      <c r="C3" s="30" t="str">
        <f>RawData!D62</f>
        <v>UPWK</v>
      </c>
      <c r="D3" s="30" t="str">
        <f>RawData!D122</f>
        <v>L</v>
      </c>
      <c r="E3" s="30" t="str">
        <f>RawData!D182</f>
        <v>EML</v>
      </c>
      <c r="F3" s="30" t="str">
        <f>RawData!D242</f>
        <v>JBHT</v>
      </c>
      <c r="G3" s="30" t="str">
        <f>RawData!D302</f>
        <v>MCY</v>
      </c>
      <c r="H3" s="30" t="str">
        <f>RawData!D362</f>
        <v>CRVL</v>
      </c>
      <c r="I3" s="30" t="str">
        <f>RawData!D422</f>
        <v>AAON</v>
      </c>
      <c r="J3" s="30" t="str">
        <f>RawData!D482</f>
        <v>BMRC</v>
      </c>
      <c r="K3" s="30" t="str">
        <f>RawData!D542</f>
        <v>WSBF</v>
      </c>
    </row>
    <row r="4" spans="1:11" x14ac:dyDescent="0.25">
      <c r="A4" s="3">
        <v>43496</v>
      </c>
      <c r="B4">
        <v>4.2896692E-2</v>
      </c>
      <c r="C4">
        <v>6.6261670999999994E-2</v>
      </c>
      <c r="D4">
        <v>5.2284732E-2</v>
      </c>
      <c r="E4">
        <v>0.124069475</v>
      </c>
      <c r="F4">
        <v>0.15047290899999999</v>
      </c>
      <c r="G4">
        <v>-1.9335399999999999E-4</v>
      </c>
      <c r="H4">
        <v>1.2151652000000001E-2</v>
      </c>
      <c r="I4">
        <v>5.3622283E-2</v>
      </c>
      <c r="J4">
        <v>1.6973737999999999E-2</v>
      </c>
      <c r="K4">
        <v>-5.6085943999999999E-2</v>
      </c>
    </row>
    <row r="5" spans="1:11" x14ac:dyDescent="0.25">
      <c r="A5" s="3">
        <v>43524</v>
      </c>
      <c r="B5">
        <v>1.8575854999999999E-2</v>
      </c>
      <c r="C5">
        <v>0.22682553499999999</v>
      </c>
      <c r="D5">
        <v>-4.5407640000000001E-3</v>
      </c>
      <c r="E5">
        <v>7.4687271999999999E-2</v>
      </c>
      <c r="F5">
        <v>8.3146230000000002E-3</v>
      </c>
      <c r="G5">
        <v>2.4564804999999999E-2</v>
      </c>
      <c r="H5">
        <v>7.7317141000000006E-2</v>
      </c>
      <c r="I5">
        <v>7.9047158000000006E-2</v>
      </c>
      <c r="J5">
        <v>6.55699E-2</v>
      </c>
      <c r="K5">
        <v>7.2611488000000002E-2</v>
      </c>
    </row>
    <row r="6" spans="1:11" x14ac:dyDescent="0.25">
      <c r="A6" s="3">
        <v>43553</v>
      </c>
      <c r="B6">
        <v>-1.6500263000000001E-2</v>
      </c>
      <c r="C6">
        <v>-0.19206421100000001</v>
      </c>
      <c r="D6">
        <v>6.5098990000000004E-3</v>
      </c>
      <c r="E6">
        <v>-5.4295529000000002E-2</v>
      </c>
      <c r="F6">
        <v>-5.9255108000000001E-2</v>
      </c>
      <c r="G6">
        <v>-4.2901669000000003E-2</v>
      </c>
      <c r="H6">
        <v>-3.0609286999999999E-2</v>
      </c>
      <c r="I6">
        <v>0.15855492700000001</v>
      </c>
      <c r="J6">
        <v>-8.5618011999999993E-2</v>
      </c>
      <c r="K6">
        <v>7.1258270000000004E-3</v>
      </c>
    </row>
    <row r="7" spans="1:11" x14ac:dyDescent="0.25">
      <c r="A7" s="3">
        <v>43585</v>
      </c>
      <c r="B7">
        <v>8.1677719999999995E-2</v>
      </c>
      <c r="C7">
        <v>4.4409636000000002E-2</v>
      </c>
      <c r="D7">
        <v>7.0102244999999994E-2</v>
      </c>
      <c r="E7">
        <v>4.1424397000000002E-2</v>
      </c>
      <c r="F7">
        <v>-6.7232676000000005E-2</v>
      </c>
      <c r="G7">
        <v>7.4096248000000003E-2</v>
      </c>
      <c r="H7">
        <v>0.10055188800000001</v>
      </c>
      <c r="I7">
        <v>8.7267189999999994E-2</v>
      </c>
      <c r="J7">
        <v>4.0796261E-2</v>
      </c>
      <c r="K7">
        <v>1.3365759E-2</v>
      </c>
    </row>
    <row r="8" spans="1:11" x14ac:dyDescent="0.25">
      <c r="A8" s="3">
        <v>43616</v>
      </c>
      <c r="B8">
        <v>-3.8775540999999997E-2</v>
      </c>
      <c r="C8">
        <v>-0.25062531199999999</v>
      </c>
      <c r="D8">
        <v>2.583344E-3</v>
      </c>
      <c r="E8">
        <v>-0.14759247</v>
      </c>
      <c r="F8">
        <v>-9.6105032000000007E-2</v>
      </c>
      <c r="G8">
        <v>7.1959889999999999E-2</v>
      </c>
      <c r="H8">
        <v>3.0362119999999999E-2</v>
      </c>
      <c r="I8">
        <v>-9.2810191E-2</v>
      </c>
      <c r="J8">
        <v>-3.8961045E-2</v>
      </c>
      <c r="K8">
        <v>-3.0192779999999998E-3</v>
      </c>
    </row>
    <row r="9" spans="1:11" x14ac:dyDescent="0.25">
      <c r="A9" s="3">
        <v>43644</v>
      </c>
      <c r="B9">
        <v>0.188535064</v>
      </c>
      <c r="C9">
        <v>7.3431267999999994E-2</v>
      </c>
      <c r="D9">
        <v>6.4446992999999994E-2</v>
      </c>
      <c r="E9">
        <v>0.15213818800000001</v>
      </c>
      <c r="F9">
        <v>7.3643460999999993E-2</v>
      </c>
      <c r="G9">
        <v>9.5012977999999998E-2</v>
      </c>
      <c r="H9">
        <v>0.17612865599999999</v>
      </c>
      <c r="I9">
        <v>0.105529875</v>
      </c>
      <c r="J9">
        <v>1.2589538000000001E-2</v>
      </c>
      <c r="K9">
        <v>3.3313096E-2</v>
      </c>
    </row>
    <row r="10" spans="1:11" x14ac:dyDescent="0.25">
      <c r="A10" s="3">
        <v>43677</v>
      </c>
      <c r="B10">
        <v>-1.2147201E-2</v>
      </c>
      <c r="C10">
        <v>2.2388096999999999E-2</v>
      </c>
      <c r="D10">
        <v>-2.0669421E-2</v>
      </c>
      <c r="E10">
        <v>-9.8501079000000005E-2</v>
      </c>
      <c r="F10">
        <v>0.11989933999999999</v>
      </c>
      <c r="G10">
        <v>-9.2640012999999993E-2</v>
      </c>
      <c r="H10">
        <v>-2.0802265E-2</v>
      </c>
      <c r="I10">
        <v>1.2355499000000001E-2</v>
      </c>
      <c r="J10">
        <v>6.5821565999999998E-2</v>
      </c>
      <c r="K10">
        <v>-2.344657E-3</v>
      </c>
    </row>
    <row r="11" spans="1:11" x14ac:dyDescent="0.25">
      <c r="A11" s="3">
        <v>43707</v>
      </c>
      <c r="B11">
        <v>-8.4267630999999996E-2</v>
      </c>
      <c r="C11">
        <v>-0.12043798</v>
      </c>
      <c r="D11">
        <v>-0.100999273</v>
      </c>
      <c r="E11">
        <v>-0.122327819</v>
      </c>
      <c r="F11">
        <v>5.7927108999999997E-2</v>
      </c>
      <c r="G11">
        <v>-5.6603760000000003E-2</v>
      </c>
      <c r="H11">
        <v>-1.1384902000000001E-2</v>
      </c>
      <c r="I11">
        <v>-5.5708623999999998E-2</v>
      </c>
      <c r="J11">
        <v>-6.6331208000000003E-2</v>
      </c>
      <c r="K11">
        <v>-1.8343163999999999E-2</v>
      </c>
    </row>
    <row r="12" spans="1:11" x14ac:dyDescent="0.25">
      <c r="A12" s="3">
        <v>43738</v>
      </c>
      <c r="B12">
        <v>-5.094783E-2</v>
      </c>
      <c r="C12">
        <v>-7.9875499000000003E-2</v>
      </c>
      <c r="D12">
        <v>7.0938214999999999E-2</v>
      </c>
      <c r="E12">
        <v>0.12511333799999999</v>
      </c>
      <c r="F12">
        <v>2.4157725000000001E-2</v>
      </c>
      <c r="G12">
        <v>5.6214973000000001E-2</v>
      </c>
      <c r="H12">
        <v>-0.1012704</v>
      </c>
      <c r="I12">
        <v>-4.2318169000000003E-2</v>
      </c>
      <c r="J12">
        <v>2.1669564999999998E-2</v>
      </c>
      <c r="K12">
        <v>3.5563602999999999E-2</v>
      </c>
    </row>
    <row r="13" spans="1:11" x14ac:dyDescent="0.25">
      <c r="A13" s="3">
        <v>43769</v>
      </c>
      <c r="B13">
        <v>-4.1128676000000003E-2</v>
      </c>
      <c r="C13">
        <v>0.13040207300000001</v>
      </c>
      <c r="D13">
        <v>-4.8174039000000002E-2</v>
      </c>
      <c r="E13">
        <v>0.111603566</v>
      </c>
      <c r="F13">
        <v>6.2449127E-2</v>
      </c>
      <c r="G13">
        <v>-0.13994272099999999</v>
      </c>
      <c r="H13">
        <v>4.5178413000000001E-2</v>
      </c>
      <c r="I13">
        <v>5.9207689000000001E-2</v>
      </c>
      <c r="J13">
        <v>6.2424610999999998E-2</v>
      </c>
      <c r="K13">
        <v>9.1385259999999996E-2</v>
      </c>
    </row>
    <row r="14" spans="1:11" x14ac:dyDescent="0.25">
      <c r="A14" s="3">
        <v>43798</v>
      </c>
      <c r="B14">
        <v>3.5087772000000003E-2</v>
      </c>
      <c r="C14">
        <v>-0.22539895800000001</v>
      </c>
      <c r="D14">
        <v>4.0051049999999998E-2</v>
      </c>
      <c r="E14" s="4">
        <v>-2.2143799999999999E-8</v>
      </c>
      <c r="F14">
        <v>-1.4290531E-2</v>
      </c>
      <c r="G14">
        <v>1.9142699999999999E-2</v>
      </c>
      <c r="H14">
        <v>4.2846299999999997E-2</v>
      </c>
      <c r="I14">
        <v>1.7879143E-2</v>
      </c>
      <c r="J14">
        <v>2.8721271E-2</v>
      </c>
      <c r="K14">
        <v>1.2882538000000001E-2</v>
      </c>
    </row>
    <row r="15" spans="1:11" x14ac:dyDescent="0.25">
      <c r="A15" s="3">
        <v>43830</v>
      </c>
      <c r="B15">
        <v>5.5084713E-2</v>
      </c>
      <c r="C15">
        <v>-8.4120132E-2</v>
      </c>
      <c r="D15">
        <v>3.1237722999999998E-2</v>
      </c>
      <c r="E15">
        <v>0.110989854</v>
      </c>
      <c r="F15">
        <v>1.0032832E-2</v>
      </c>
      <c r="G15">
        <v>7.7582689999999999E-3</v>
      </c>
      <c r="H15">
        <v>5.8780733000000002E-2</v>
      </c>
      <c r="I15">
        <v>8.1022699999999995E-4</v>
      </c>
      <c r="J15">
        <v>-1.7726969999999999E-3</v>
      </c>
      <c r="K15">
        <v>8.4790590000000006E-3</v>
      </c>
    </row>
    <row r="16" spans="1:11" x14ac:dyDescent="0.25">
      <c r="A16" s="3">
        <v>43861</v>
      </c>
      <c r="B16">
        <v>-5.1405575000000002E-2</v>
      </c>
      <c r="C16">
        <v>-0.13964383299999999</v>
      </c>
      <c r="D16">
        <v>-1.9813313999999999E-2</v>
      </c>
      <c r="E16">
        <v>-9.2695706000000003E-2</v>
      </c>
      <c r="F16">
        <v>-7.5783512999999997E-2</v>
      </c>
      <c r="G16">
        <v>7.3876590000000004E-3</v>
      </c>
      <c r="H16">
        <v>4.8191379999999999E-2</v>
      </c>
      <c r="I16">
        <v>6.1323594000000002E-2</v>
      </c>
      <c r="J16">
        <v>-2.1975536E-2</v>
      </c>
      <c r="K16">
        <v>-7.4619069999999996E-2</v>
      </c>
    </row>
    <row r="17" spans="1:11" x14ac:dyDescent="0.25">
      <c r="A17" s="3">
        <v>43889</v>
      </c>
      <c r="B17">
        <v>-6.9432734999999995E-2</v>
      </c>
      <c r="C17">
        <v>-5.6100253000000003E-2</v>
      </c>
      <c r="D17">
        <v>-0.11190475499999999</v>
      </c>
      <c r="E17">
        <v>-7.6534346000000003E-2</v>
      </c>
      <c r="F17">
        <v>-0.103956245</v>
      </c>
      <c r="G17">
        <v>-0.117742896</v>
      </c>
      <c r="H17">
        <v>-0.24713331499999999</v>
      </c>
      <c r="I17">
        <v>4.9008384000000002E-2</v>
      </c>
      <c r="J17">
        <v>-0.12936905000000001</v>
      </c>
      <c r="K17">
        <v>-4.9170989999999998E-2</v>
      </c>
    </row>
    <row r="18" spans="1:11" x14ac:dyDescent="0.25">
      <c r="A18" s="3">
        <v>43921</v>
      </c>
      <c r="B18">
        <v>-0.215650588</v>
      </c>
      <c r="C18">
        <v>-0.25562611200000002</v>
      </c>
      <c r="D18">
        <v>-0.23668636400000001</v>
      </c>
      <c r="E18">
        <v>-0.23439338800000001</v>
      </c>
      <c r="F18">
        <v>-4.3654073000000002E-2</v>
      </c>
      <c r="G18">
        <v>-4.5255139E-2</v>
      </c>
      <c r="H18">
        <v>-0.20931249900000001</v>
      </c>
      <c r="I18">
        <v>-0.121614233</v>
      </c>
      <c r="J18">
        <v>-0.21321795900000001</v>
      </c>
      <c r="K18">
        <v>-9.5610297999999996E-2</v>
      </c>
    </row>
    <row r="19" spans="1:11" x14ac:dyDescent="0.25">
      <c r="A19" s="3">
        <v>43951</v>
      </c>
      <c r="B19">
        <v>0.110208824</v>
      </c>
      <c r="C19">
        <v>0.29147288199999999</v>
      </c>
      <c r="D19">
        <v>-4.8809070000000003E-3</v>
      </c>
      <c r="E19">
        <v>-7.6923080000000005E-2</v>
      </c>
      <c r="F19">
        <v>9.6389450000000002E-2</v>
      </c>
      <c r="G19">
        <v>5.8938569999999997E-3</v>
      </c>
      <c r="H19">
        <v>-3.3388365000000003E-2</v>
      </c>
      <c r="I19">
        <v>-1.4072853999999999E-2</v>
      </c>
      <c r="J19">
        <v>0.10633330000000001</v>
      </c>
      <c r="K19">
        <v>6.8776130000000003E-3</v>
      </c>
    </row>
    <row r="20" spans="1:11" x14ac:dyDescent="0.25">
      <c r="A20" s="3">
        <v>43980</v>
      </c>
      <c r="B20">
        <v>-0.106918186</v>
      </c>
      <c r="C20">
        <v>0.493397325</v>
      </c>
      <c r="D20">
        <v>-3.9166133999999998E-2</v>
      </c>
      <c r="E20">
        <v>4.5555506000000003E-2</v>
      </c>
      <c r="F20">
        <v>0.18611545900000001</v>
      </c>
      <c r="G20">
        <v>-1.7822253999999999E-2</v>
      </c>
      <c r="H20">
        <v>0.28847980499999998</v>
      </c>
      <c r="I20">
        <v>0.137069672</v>
      </c>
      <c r="J20">
        <v>2.0934541000000001E-2</v>
      </c>
      <c r="K20">
        <v>2.6170740000000001E-2</v>
      </c>
    </row>
    <row r="21" spans="1:11" x14ac:dyDescent="0.25">
      <c r="A21" s="3">
        <v>44012</v>
      </c>
      <c r="B21">
        <v>-7.7464819000000004E-2</v>
      </c>
      <c r="C21">
        <v>0.16077171300000001</v>
      </c>
      <c r="D21">
        <v>3.1588423999999997E-2</v>
      </c>
      <c r="E21">
        <v>-4.4895685999999997E-2</v>
      </c>
      <c r="F21">
        <v>5.5987149999999998E-3</v>
      </c>
      <c r="G21">
        <v>2.8585644E-2</v>
      </c>
      <c r="H21">
        <v>4.4189129000000001E-2</v>
      </c>
      <c r="I21">
        <v>5.7227759999999997E-3</v>
      </c>
      <c r="J21">
        <v>-9.5096490000000002E-3</v>
      </c>
      <c r="K21">
        <v>-4.6979659999999996E-3</v>
      </c>
    </row>
    <row r="22" spans="1:11" x14ac:dyDescent="0.25">
      <c r="A22" s="3">
        <v>44043</v>
      </c>
      <c r="B22">
        <v>2.5444999999999999E-3</v>
      </c>
      <c r="C22">
        <v>4.0166265999999999E-2</v>
      </c>
      <c r="D22">
        <v>6.1825573000000002E-2</v>
      </c>
      <c r="E22">
        <v>-8.7297215999999997E-2</v>
      </c>
      <c r="F22">
        <v>7.5286671999999999E-2</v>
      </c>
      <c r="G22">
        <v>5.3006130999999998E-2</v>
      </c>
      <c r="H22">
        <v>0.12131469</v>
      </c>
      <c r="I22">
        <v>9.1361186999999996E-2</v>
      </c>
      <c r="J22">
        <v>-5.0705127000000003E-2</v>
      </c>
      <c r="K22">
        <v>3.8435589999999999E-2</v>
      </c>
    </row>
    <row r="23" spans="1:11" x14ac:dyDescent="0.25">
      <c r="A23" s="3">
        <v>44074</v>
      </c>
      <c r="B23">
        <v>-8.9171579999999997E-3</v>
      </c>
      <c r="C23">
        <v>1.3981297E-2</v>
      </c>
      <c r="D23">
        <v>-1.3389158E-2</v>
      </c>
      <c r="E23">
        <v>0.34947887100000002</v>
      </c>
      <c r="F23">
        <v>8.8176197999999997E-2</v>
      </c>
      <c r="G23">
        <v>4.2414348999999997E-2</v>
      </c>
      <c r="H23">
        <v>4.4408086999999999E-2</v>
      </c>
      <c r="I23">
        <v>-3.9156112999999999E-2</v>
      </c>
      <c r="J23">
        <v>1.3371539999999999E-2</v>
      </c>
      <c r="K23">
        <v>1.3743458E-2</v>
      </c>
    </row>
    <row r="24" spans="1:11" x14ac:dyDescent="0.25">
      <c r="A24" s="3">
        <v>44104</v>
      </c>
      <c r="B24">
        <v>1.285315E-3</v>
      </c>
      <c r="C24">
        <v>0.145108402</v>
      </c>
      <c r="D24">
        <v>-3.0953726000000001E-2</v>
      </c>
      <c r="E24">
        <v>-0.10867576299999999</v>
      </c>
      <c r="F24">
        <v>-0.100754209</v>
      </c>
      <c r="G24">
        <v>-6.1032876E-2</v>
      </c>
      <c r="H24">
        <v>2.9029194000000001E-2</v>
      </c>
      <c r="I24">
        <v>5.8317225E-2</v>
      </c>
      <c r="J24">
        <v>-9.0166539000000004E-2</v>
      </c>
      <c r="K24">
        <v>0</v>
      </c>
    </row>
    <row r="25" spans="1:11" x14ac:dyDescent="0.25">
      <c r="A25" s="3">
        <v>44134</v>
      </c>
      <c r="B25">
        <v>0.106546849</v>
      </c>
      <c r="C25">
        <v>5.7912855999999999E-2</v>
      </c>
      <c r="D25">
        <v>-2.0143800000000001E-3</v>
      </c>
      <c r="E25">
        <v>4.8667975000000002E-2</v>
      </c>
      <c r="F25">
        <v>-3.6714666E-2</v>
      </c>
      <c r="G25">
        <v>-1.5953585999999999E-2</v>
      </c>
      <c r="H25">
        <v>6.7774794999999999E-2</v>
      </c>
      <c r="I25">
        <v>-3.0539421000000001E-2</v>
      </c>
      <c r="J25">
        <v>4.0745868999999997E-2</v>
      </c>
      <c r="K25">
        <v>9.7482211999999999E-2</v>
      </c>
    </row>
    <row r="26" spans="1:11" x14ac:dyDescent="0.25">
      <c r="A26" s="3">
        <v>44165</v>
      </c>
      <c r="B26">
        <v>0.17517407199999999</v>
      </c>
      <c r="C26">
        <v>0.77344173199999999</v>
      </c>
      <c r="D26">
        <v>0.21027968799999999</v>
      </c>
      <c r="E26">
        <v>8.5002496999999996E-2</v>
      </c>
      <c r="F26">
        <v>0.113438487</v>
      </c>
      <c r="G26">
        <v>9.2360653000000001E-2</v>
      </c>
      <c r="H26">
        <v>-1.8307369E-2</v>
      </c>
      <c r="I26">
        <v>0.118301615</v>
      </c>
      <c r="J26">
        <v>0.158925071</v>
      </c>
      <c r="K26">
        <v>5.8353166999999997E-2</v>
      </c>
    </row>
    <row r="27" spans="1:11" x14ac:dyDescent="0.25">
      <c r="A27" s="3">
        <v>44196</v>
      </c>
      <c r="B27">
        <v>0.18811877099999999</v>
      </c>
      <c r="C27">
        <v>5.5012199999999997E-2</v>
      </c>
      <c r="D27">
        <v>7.4206649999999999E-2</v>
      </c>
      <c r="E27">
        <v>9.0497739999999993E-2</v>
      </c>
      <c r="F27">
        <v>1.0127107999999999E-2</v>
      </c>
      <c r="G27">
        <v>0.188272938</v>
      </c>
      <c r="H27">
        <v>0.18369622499999999</v>
      </c>
      <c r="I27">
        <v>2.3030861999999999E-2</v>
      </c>
      <c r="J27">
        <v>-1.0374657000000001E-2</v>
      </c>
      <c r="K27">
        <v>7.1448855000000006E-2</v>
      </c>
    </row>
    <row r="28" spans="1:11" x14ac:dyDescent="0.25">
      <c r="A28" s="3">
        <v>44225</v>
      </c>
      <c r="B28">
        <v>-3.9166688999999998E-2</v>
      </c>
      <c r="C28">
        <v>0.20075319699999999</v>
      </c>
      <c r="D28">
        <v>5.9973450000000003E-3</v>
      </c>
      <c r="E28">
        <v>-2.3236493E-2</v>
      </c>
      <c r="F28">
        <v>-1.456268E-2</v>
      </c>
      <c r="G28">
        <v>1.5322720999999999E-2</v>
      </c>
      <c r="H28">
        <v>-6.7735851E-2</v>
      </c>
      <c r="I28">
        <v>0.11061087999999999</v>
      </c>
      <c r="J28">
        <v>8.1537545000000003E-2</v>
      </c>
      <c r="K28">
        <v>-7.9702650000000007E-3</v>
      </c>
    </row>
    <row r="29" spans="1:11" x14ac:dyDescent="0.25">
      <c r="A29" s="3">
        <v>44253</v>
      </c>
      <c r="B29">
        <v>6.5047726E-2</v>
      </c>
      <c r="C29">
        <v>0.29987937199999998</v>
      </c>
      <c r="D29">
        <v>5.7021427999999999E-2</v>
      </c>
      <c r="E29">
        <v>8.7935388000000003E-2</v>
      </c>
      <c r="F29">
        <v>9.2752047000000004E-2</v>
      </c>
      <c r="G29">
        <v>0.10167899</v>
      </c>
      <c r="H29">
        <v>2.7120020000000002E-2</v>
      </c>
      <c r="I29">
        <v>4.1891873000000003E-2</v>
      </c>
      <c r="J29">
        <v>2.4232799999999999E-3</v>
      </c>
      <c r="K29">
        <v>5.1976234000000003E-2</v>
      </c>
    </row>
    <row r="30" spans="1:11" x14ac:dyDescent="0.25">
      <c r="A30" s="3">
        <v>44286</v>
      </c>
      <c r="B30">
        <v>0.17551016799999999</v>
      </c>
      <c r="C30">
        <v>-0.169079438</v>
      </c>
      <c r="D30">
        <v>7.2578900000000002E-2</v>
      </c>
      <c r="E30">
        <v>5.0980363000000001E-2</v>
      </c>
      <c r="F30">
        <v>0.144345433</v>
      </c>
      <c r="G30">
        <v>5.2097600000000001E-2</v>
      </c>
      <c r="H30">
        <v>1.0738879999999999E-2</v>
      </c>
      <c r="I30">
        <v>-9.1958447999999998E-2</v>
      </c>
      <c r="J30">
        <v>5.8378376000000003E-2</v>
      </c>
      <c r="K30">
        <v>5.0952122000000002E-2</v>
      </c>
    </row>
    <row r="31" spans="1:11" x14ac:dyDescent="0.25">
      <c r="A31" s="3">
        <v>44316</v>
      </c>
      <c r="B31">
        <v>0.13680563900000001</v>
      </c>
      <c r="C31">
        <v>2.8813958000000001E-2</v>
      </c>
      <c r="D31">
        <v>8.7168515000000002E-2</v>
      </c>
      <c r="E31">
        <v>5.4850794000000001E-2</v>
      </c>
      <c r="F31">
        <v>1.5707736999999999E-2</v>
      </c>
      <c r="G31">
        <v>2.4009194000000001E-2</v>
      </c>
      <c r="H31">
        <v>0.140559569</v>
      </c>
      <c r="I31">
        <v>-6.5704874999999996E-2</v>
      </c>
      <c r="J31">
        <v>-8.9632317000000003E-2</v>
      </c>
      <c r="K31">
        <v>-2.5465195999999999E-2</v>
      </c>
    </row>
    <row r="32" spans="1:11" x14ac:dyDescent="0.25">
      <c r="A32" s="3">
        <v>44344</v>
      </c>
      <c r="B32">
        <v>3.3597941999999999E-2</v>
      </c>
      <c r="C32">
        <v>2.1927884000000002E-2</v>
      </c>
      <c r="D32">
        <v>4.8295982000000001E-2</v>
      </c>
      <c r="E32">
        <v>0.13158820600000001</v>
      </c>
      <c r="F32">
        <v>6.6193340000000002E-3</v>
      </c>
      <c r="G32">
        <v>2.1358568000000001E-2</v>
      </c>
      <c r="H32">
        <v>6.4866215000000005E-2</v>
      </c>
      <c r="I32">
        <v>1.2842016E-2</v>
      </c>
      <c r="J32">
        <v>-4.8277783999999997E-2</v>
      </c>
      <c r="K32">
        <v>4.06091E-3</v>
      </c>
    </row>
    <row r="33" spans="1:11" x14ac:dyDescent="0.25">
      <c r="A33" s="3">
        <v>44377</v>
      </c>
      <c r="B33">
        <v>-3.3767756000000003E-2</v>
      </c>
      <c r="C33">
        <v>0.238368422</v>
      </c>
      <c r="D33">
        <v>-6.3891730999999993E-2</v>
      </c>
      <c r="E33">
        <v>-4.8619803000000003E-2</v>
      </c>
      <c r="F33">
        <v>-5.0075766000000001E-2</v>
      </c>
      <c r="G33">
        <v>3.1171361000000002E-2</v>
      </c>
      <c r="H33">
        <v>7.7849157000000002E-2</v>
      </c>
      <c r="I33">
        <v>-5.2377357999999999E-2</v>
      </c>
      <c r="J33">
        <v>-5.3693254000000003E-2</v>
      </c>
      <c r="K33">
        <v>1.9211281E-2</v>
      </c>
    </row>
    <row r="34" spans="1:11" x14ac:dyDescent="0.25">
      <c r="A34" s="3">
        <v>44407</v>
      </c>
      <c r="B34">
        <v>-3.2495387000000001E-2</v>
      </c>
      <c r="C34">
        <v>-0.11151140900000001</v>
      </c>
      <c r="D34">
        <v>-1.8664235000000001E-2</v>
      </c>
      <c r="E34">
        <v>-3.1981513000000003E-2</v>
      </c>
      <c r="F34">
        <v>3.3752687000000003E-2</v>
      </c>
      <c r="G34">
        <v>-6.3433342000000004E-2</v>
      </c>
      <c r="H34">
        <v>4.8548057999999998E-2</v>
      </c>
      <c r="I34">
        <v>-7.0298549999999998E-3</v>
      </c>
      <c r="J34">
        <v>9.5297842999999993E-2</v>
      </c>
      <c r="K34">
        <v>1.3733454000000001E-2</v>
      </c>
    </row>
    <row r="35" spans="1:11" x14ac:dyDescent="0.25">
      <c r="A35" s="3">
        <v>44439</v>
      </c>
      <c r="B35">
        <v>3.1051952000000001E-2</v>
      </c>
      <c r="C35">
        <v>-0.13670596500000001</v>
      </c>
      <c r="D35">
        <v>4.2933021000000002E-2</v>
      </c>
      <c r="E35">
        <v>-6.9482341000000003E-2</v>
      </c>
      <c r="F35">
        <v>5.4912417999999998E-2</v>
      </c>
      <c r="G35">
        <v>-1.8412013000000001E-2</v>
      </c>
      <c r="H35">
        <v>0.170359239</v>
      </c>
      <c r="I35">
        <v>9.5897003999999994E-2</v>
      </c>
      <c r="J35">
        <v>4.3227664999999998E-2</v>
      </c>
      <c r="K35">
        <v>2.7876387999999998E-2</v>
      </c>
    </row>
    <row r="36" spans="1:11" x14ac:dyDescent="0.25">
      <c r="A36" s="3">
        <v>44469</v>
      </c>
      <c r="B36">
        <v>-1.2938946E-2</v>
      </c>
      <c r="C36">
        <v>7.1572290000000002E-3</v>
      </c>
      <c r="D36">
        <v>-3.4723442E-2</v>
      </c>
      <c r="E36">
        <v>-7.5339921000000004E-2</v>
      </c>
      <c r="F36">
        <v>-5.7384402000000001E-2</v>
      </c>
      <c r="G36">
        <v>-5.7067510000000002E-2</v>
      </c>
      <c r="H36">
        <v>0.12990719100000001</v>
      </c>
      <c r="I36">
        <v>-4.0669568000000003E-2</v>
      </c>
      <c r="J36">
        <v>4.2817656000000003E-2</v>
      </c>
      <c r="K36">
        <v>1.0354985000000001E-2</v>
      </c>
    </row>
    <row r="37" spans="1:11" x14ac:dyDescent="0.25">
      <c r="A37" s="3">
        <v>44498</v>
      </c>
      <c r="B37">
        <v>0.12484394</v>
      </c>
      <c r="C37">
        <v>4.6413507E-2</v>
      </c>
      <c r="D37">
        <v>3.9681055E-2</v>
      </c>
      <c r="E37">
        <v>-4.4912528E-2</v>
      </c>
      <c r="F37">
        <v>0.179224983</v>
      </c>
      <c r="G37">
        <v>-2.1196274000000001E-2</v>
      </c>
      <c r="H37">
        <v>-1.6109977000000001E-2</v>
      </c>
      <c r="I37">
        <v>9.6571862999999994E-2</v>
      </c>
      <c r="J37">
        <v>9.5364400000000002E-3</v>
      </c>
      <c r="K37">
        <v>1.8545648000000001E-2</v>
      </c>
    </row>
    <row r="38" spans="1:11" x14ac:dyDescent="0.25">
      <c r="A38" s="3">
        <v>44530</v>
      </c>
      <c r="B38">
        <v>7.2142150000000004E-3</v>
      </c>
      <c r="C38">
        <v>-0.209252983</v>
      </c>
      <c r="D38">
        <v>-4.5434289000000003E-2</v>
      </c>
      <c r="E38">
        <v>4.9313310999999999E-2</v>
      </c>
      <c r="F38">
        <v>-2.9058263000000001E-2</v>
      </c>
      <c r="G38">
        <v>-6.3681430999999997E-2</v>
      </c>
      <c r="H38">
        <v>2.6088849000000001E-2</v>
      </c>
      <c r="I38">
        <v>9.1277018000000001E-2</v>
      </c>
      <c r="J38">
        <v>-8.4754690999999993E-2</v>
      </c>
      <c r="K38">
        <v>3.8703399999999999E-3</v>
      </c>
    </row>
    <row r="39" spans="1:11" x14ac:dyDescent="0.25">
      <c r="A39" s="3">
        <v>44561</v>
      </c>
      <c r="B39">
        <v>2.7056862000000001E-2</v>
      </c>
      <c r="C39">
        <v>-8.3199105999999995E-2</v>
      </c>
      <c r="D39">
        <v>8.0433957E-2</v>
      </c>
      <c r="E39">
        <v>-1.394139E-3</v>
      </c>
      <c r="F39">
        <v>6.9261297999999999E-2</v>
      </c>
      <c r="G39">
        <v>5.2430435999999997E-2</v>
      </c>
      <c r="H39">
        <v>0.106382981</v>
      </c>
      <c r="I39">
        <v>1.8333335999999999E-2</v>
      </c>
      <c r="J39">
        <v>7.4769057E-2</v>
      </c>
      <c r="K39">
        <v>5.3494005999999997E-2</v>
      </c>
    </row>
    <row r="40" spans="1:11" x14ac:dyDescent="0.25">
      <c r="A40" s="3">
        <v>44592</v>
      </c>
      <c r="B40">
        <v>-2.7957012999999999E-2</v>
      </c>
      <c r="C40">
        <v>-0.20374704900000001</v>
      </c>
      <c r="D40">
        <v>3.2894764E-2</v>
      </c>
      <c r="E40">
        <v>-4.5472652000000002E-2</v>
      </c>
      <c r="F40">
        <v>-5.8023485999999999E-2</v>
      </c>
      <c r="G40">
        <v>3.0154513000000001E-2</v>
      </c>
      <c r="H40">
        <v>-0.15326926099999999</v>
      </c>
      <c r="I40">
        <v>-0.19111166900000001</v>
      </c>
      <c r="J40">
        <v>1.6116399999999999E-3</v>
      </c>
      <c r="K40">
        <v>-3.3851805999999998E-2</v>
      </c>
    </row>
    <row r="41" spans="1:11" x14ac:dyDescent="0.25">
      <c r="A41" s="3">
        <v>44620</v>
      </c>
      <c r="B41">
        <v>-9.2920318000000002E-2</v>
      </c>
      <c r="C41">
        <v>-7.0588238999999997E-2</v>
      </c>
      <c r="D41">
        <v>2.9207179E-2</v>
      </c>
      <c r="E41">
        <v>6.2682409999999999E-3</v>
      </c>
      <c r="F41">
        <v>5.6040302E-2</v>
      </c>
      <c r="G41">
        <v>6.2202739999999996E-3</v>
      </c>
      <c r="H41">
        <v>-9.6865766000000006E-2</v>
      </c>
      <c r="I41">
        <v>-8.8560290999999999E-2</v>
      </c>
      <c r="J41">
        <v>-4.6393166999999999E-2</v>
      </c>
      <c r="K41">
        <v>-4.3094963E-2</v>
      </c>
    </row>
    <row r="42" spans="1:11" x14ac:dyDescent="0.25">
      <c r="A42" s="3">
        <v>44651</v>
      </c>
      <c r="B42">
        <v>-8.5575359999999993E-3</v>
      </c>
      <c r="C42">
        <v>-8.0696240000000002E-2</v>
      </c>
      <c r="D42">
        <v>5.6732956000000001E-2</v>
      </c>
      <c r="E42">
        <v>-2.8368727999999999E-2</v>
      </c>
      <c r="F42">
        <v>-1.0545505E-2</v>
      </c>
      <c r="G42">
        <v>1.1545454E-2</v>
      </c>
      <c r="H42">
        <v>5.8971491000000001E-2</v>
      </c>
      <c r="I42">
        <v>-4.8326532999999998E-2</v>
      </c>
      <c r="J42">
        <v>-7.0781430000000003E-3</v>
      </c>
      <c r="K42">
        <v>-1.0235453E-2</v>
      </c>
    </row>
    <row r="43" spans="1:11" x14ac:dyDescent="0.25">
      <c r="A43" s="3">
        <v>44680</v>
      </c>
      <c r="B43">
        <v>-1.8495637999999998E-2</v>
      </c>
      <c r="C43">
        <v>-9.7676441000000003E-2</v>
      </c>
      <c r="D43">
        <v>-3.0546120999999999E-2</v>
      </c>
      <c r="E43">
        <v>-8.1580300000000001E-3</v>
      </c>
      <c r="F43">
        <v>-0.14911095799999999</v>
      </c>
      <c r="G43">
        <v>-8.3090900999999995E-2</v>
      </c>
      <c r="H43">
        <v>-7.9316079999999997E-2</v>
      </c>
      <c r="I43">
        <v>-0.125426129</v>
      </c>
      <c r="J43">
        <v>-0.108639851</v>
      </c>
      <c r="K43">
        <v>-0.15925545999999999</v>
      </c>
    </row>
    <row r="44" spans="1:11" x14ac:dyDescent="0.25">
      <c r="A44" s="3">
        <v>44712</v>
      </c>
      <c r="B44">
        <v>-5.4020077E-2</v>
      </c>
      <c r="C44">
        <v>-0.12970908</v>
      </c>
      <c r="D44">
        <v>4.3165144000000003E-2</v>
      </c>
      <c r="E44">
        <v>-6.1038978000000001E-2</v>
      </c>
      <c r="F44">
        <v>1.2467051E-2</v>
      </c>
      <c r="G44">
        <v>-2.9347600000000001E-2</v>
      </c>
      <c r="H44">
        <v>-3.8173831999999998E-2</v>
      </c>
      <c r="I44">
        <v>9.9302419000000003E-2</v>
      </c>
      <c r="J44">
        <v>6.0140796000000003E-2</v>
      </c>
      <c r="K44">
        <v>7.6587885999999994E-2</v>
      </c>
    </row>
    <row r="45" spans="1:11" x14ac:dyDescent="0.25">
      <c r="A45" s="3">
        <v>44742</v>
      </c>
      <c r="B45">
        <v>4.5272923999999999E-2</v>
      </c>
      <c r="C45">
        <v>0.13315069700000001</v>
      </c>
      <c r="D45">
        <v>-9.5129020999999994E-2</v>
      </c>
      <c r="E45">
        <v>-5.7460602E-2</v>
      </c>
      <c r="F45">
        <v>-8.7553597999999996E-2</v>
      </c>
      <c r="G45">
        <v>-8.2022502999999997E-2</v>
      </c>
      <c r="H45">
        <v>-1.2670953E-2</v>
      </c>
      <c r="I45">
        <v>2.5569175999999999E-2</v>
      </c>
      <c r="J45">
        <v>-3.4042577999999997E-2</v>
      </c>
      <c r="K45">
        <v>-1.3880952E-2</v>
      </c>
    </row>
    <row r="46" spans="1:11" x14ac:dyDescent="0.25">
      <c r="A46" s="3">
        <v>44771</v>
      </c>
      <c r="B46">
        <v>-3.5668757000000002E-2</v>
      </c>
      <c r="C46">
        <v>-0.102514543</v>
      </c>
      <c r="D46">
        <v>-1.7043508999999998E-2</v>
      </c>
      <c r="E46">
        <v>3.4414799999999998E-3</v>
      </c>
      <c r="F46">
        <v>0.163840756</v>
      </c>
      <c r="G46">
        <v>-5.3498849000000001E-2</v>
      </c>
      <c r="H46">
        <v>0.119644158</v>
      </c>
      <c r="I46">
        <v>9.8794743000000004E-2</v>
      </c>
      <c r="J46">
        <v>2.9578367000000001E-2</v>
      </c>
      <c r="K46">
        <v>0.105571873</v>
      </c>
    </row>
    <row r="47" spans="1:11" x14ac:dyDescent="0.25">
      <c r="A47" s="3">
        <v>44804</v>
      </c>
      <c r="B47">
        <v>-4.0290657000000001E-2</v>
      </c>
      <c r="C47">
        <v>-6.2499992999999997E-2</v>
      </c>
      <c r="D47">
        <v>-4.9399118999999998E-2</v>
      </c>
      <c r="E47">
        <v>-1.3228768E-2</v>
      </c>
      <c r="F47">
        <v>-4.8289406999999999E-2</v>
      </c>
      <c r="G47">
        <v>-0.239208221</v>
      </c>
      <c r="H47">
        <v>-5.7674780000000002E-2</v>
      </c>
      <c r="I47">
        <v>-4.4706642999999997E-2</v>
      </c>
      <c r="J47">
        <v>-4.7982930999999999E-2</v>
      </c>
      <c r="K47">
        <v>-7.2922185E-2</v>
      </c>
    </row>
    <row r="48" spans="1:11" x14ac:dyDescent="0.25">
      <c r="A48" s="3">
        <v>44834</v>
      </c>
      <c r="B48">
        <v>-1.2422315999999999E-2</v>
      </c>
      <c r="C48">
        <v>-0.21724136199999999</v>
      </c>
      <c r="D48">
        <v>-9.8897144000000006E-2</v>
      </c>
      <c r="E48">
        <v>-0.133799314</v>
      </c>
      <c r="F48">
        <v>-0.101137832</v>
      </c>
      <c r="G48">
        <v>-9.9137917000000006E-2</v>
      </c>
      <c r="H48">
        <v>-0.109087475</v>
      </c>
      <c r="I48">
        <v>-6.2630452000000003E-2</v>
      </c>
      <c r="J48">
        <v>-3.0744298999999999E-2</v>
      </c>
      <c r="K48">
        <v>-6.5355755000000001E-2</v>
      </c>
    </row>
    <row r="49" spans="1:11" x14ac:dyDescent="0.25">
      <c r="A49" s="3">
        <v>44865</v>
      </c>
      <c r="B49">
        <v>-0.13626839199999999</v>
      </c>
      <c r="C49">
        <v>-1.248165E-2</v>
      </c>
      <c r="D49">
        <v>0.144060999</v>
      </c>
      <c r="E49">
        <v>0.20518729099999999</v>
      </c>
      <c r="F49">
        <v>9.3658157000000006E-2</v>
      </c>
      <c r="G49">
        <v>2.0408161000000001E-2</v>
      </c>
      <c r="H49">
        <v>0.18623141900000001</v>
      </c>
      <c r="I49">
        <v>0.19691900900000001</v>
      </c>
      <c r="J49">
        <v>0.205342159</v>
      </c>
      <c r="K49">
        <v>6.3118793000000006E-2</v>
      </c>
    </row>
    <row r="50" spans="1:11" x14ac:dyDescent="0.25">
      <c r="A50" s="3">
        <v>44895</v>
      </c>
      <c r="B50">
        <v>-0.43851131199999999</v>
      </c>
      <c r="C50">
        <v>-8.9219317000000006E-2</v>
      </c>
      <c r="D50">
        <v>2.0913733E-2</v>
      </c>
      <c r="E50">
        <v>0.105212823</v>
      </c>
      <c r="F50">
        <v>7.7278256000000004E-2</v>
      </c>
      <c r="G50">
        <v>0.251034439</v>
      </c>
      <c r="H50">
        <v>-6.8448967999999999E-2</v>
      </c>
      <c r="I50">
        <v>0.232749343</v>
      </c>
      <c r="J50">
        <v>1.108059E-3</v>
      </c>
      <c r="K50">
        <v>-1.3545321000000001E-2</v>
      </c>
    </row>
    <row r="51" spans="1:11" x14ac:dyDescent="0.25">
      <c r="A51" s="3">
        <v>44925</v>
      </c>
      <c r="B51">
        <v>4.8991374999999997E-2</v>
      </c>
      <c r="C51">
        <v>-0.14775513100000001</v>
      </c>
      <c r="D51">
        <v>3.0954480000000002E-3</v>
      </c>
      <c r="E51">
        <v>-0.161739096</v>
      </c>
      <c r="F51">
        <v>-5.1824453999999999E-2</v>
      </c>
      <c r="G51">
        <v>-4.8580430000000001E-2</v>
      </c>
      <c r="H51">
        <v>-4.9944430999999997E-2</v>
      </c>
      <c r="I51">
        <v>-4.9709845000000003E-2</v>
      </c>
      <c r="J51">
        <v>-8.3867326000000006E-2</v>
      </c>
      <c r="K51">
        <v>2.9253718000000001E-2</v>
      </c>
    </row>
    <row r="52" spans="1:11" x14ac:dyDescent="0.25">
      <c r="A52" s="3">
        <v>44957</v>
      </c>
      <c r="B52">
        <v>0.23901101899999999</v>
      </c>
      <c r="C52">
        <v>0.24137936500000001</v>
      </c>
      <c r="D52">
        <v>5.4003045E-2</v>
      </c>
      <c r="E52">
        <v>0.125518665</v>
      </c>
      <c r="F52">
        <v>8.4250986999999999E-2</v>
      </c>
      <c r="G52">
        <v>4.4736805999999997E-2</v>
      </c>
      <c r="H52">
        <v>0.22589968099999999</v>
      </c>
      <c r="I52">
        <v>1.3276685999999999E-2</v>
      </c>
      <c r="J52">
        <v>-7.3296890000000003E-2</v>
      </c>
      <c r="K52">
        <v>-5.4524329000000003E-2</v>
      </c>
    </row>
    <row r="53" spans="1:11" x14ac:dyDescent="0.25">
      <c r="A53" s="3">
        <v>44985</v>
      </c>
      <c r="B53">
        <v>1.6629668E-2</v>
      </c>
      <c r="C53">
        <v>-0.124999993</v>
      </c>
      <c r="D53">
        <v>-5.3269260000000001E-3</v>
      </c>
      <c r="E53">
        <v>-3.6405601000000003E-2</v>
      </c>
      <c r="F53">
        <v>-4.1470561000000003E-2</v>
      </c>
      <c r="G53">
        <v>-4.7019321000000003E-2</v>
      </c>
      <c r="H53">
        <v>1.1899388E-2</v>
      </c>
      <c r="I53">
        <v>0.191823885</v>
      </c>
      <c r="J53">
        <v>-4.0039361000000002E-2</v>
      </c>
      <c r="K53">
        <v>0</v>
      </c>
    </row>
    <row r="54" spans="1:11" x14ac:dyDescent="0.25">
      <c r="A54" s="3">
        <v>45016</v>
      </c>
      <c r="B54">
        <v>-0.25408941499999999</v>
      </c>
      <c r="C54">
        <v>-1.763709E-3</v>
      </c>
      <c r="D54">
        <v>-5.0253719000000002E-2</v>
      </c>
      <c r="E54">
        <v>-6.3461527000000004E-2</v>
      </c>
      <c r="F54">
        <v>-2.9481646E-2</v>
      </c>
      <c r="G54">
        <v>-5.8516870999999998E-2</v>
      </c>
      <c r="H54">
        <v>5.5469271000000001E-2</v>
      </c>
      <c r="I54">
        <v>6.4314022999999998E-2</v>
      </c>
      <c r="J54">
        <v>-0.24517244099999999</v>
      </c>
      <c r="K54">
        <v>-6.0248461000000003E-2</v>
      </c>
    </row>
    <row r="55" spans="1:11" x14ac:dyDescent="0.25">
      <c r="A55" s="3">
        <v>45044</v>
      </c>
      <c r="B55">
        <v>-1.4620220000000001E-3</v>
      </c>
      <c r="C55">
        <v>-0.154593647</v>
      </c>
      <c r="D55">
        <v>-7.7559589999999998E-3</v>
      </c>
      <c r="E55">
        <v>-9.3429148000000004E-2</v>
      </c>
      <c r="F55">
        <v>-9.6895800000000002E-4</v>
      </c>
      <c r="G55">
        <v>-4.1902958999999997E-2</v>
      </c>
      <c r="H55">
        <v>6.1751105000000001E-2</v>
      </c>
      <c r="I55">
        <v>1.3548428E-2</v>
      </c>
      <c r="J55">
        <v>-0.194609433</v>
      </c>
      <c r="K55">
        <v>-7.1381344999999999E-2</v>
      </c>
    </row>
    <row r="56" spans="1:11" x14ac:dyDescent="0.25">
      <c r="A56" s="3">
        <v>45077</v>
      </c>
      <c r="B56">
        <v>0.114202082</v>
      </c>
      <c r="C56">
        <v>-0.143155694</v>
      </c>
      <c r="D56">
        <v>-2.6185508999999999E-2</v>
      </c>
      <c r="E56">
        <v>-7.1347617000000002E-2</v>
      </c>
      <c r="F56">
        <v>-4.5068129999999998E-2</v>
      </c>
      <c r="G56">
        <v>-1.3153556E-2</v>
      </c>
      <c r="H56">
        <v>-3.2618899E-2</v>
      </c>
      <c r="I56">
        <v>-0.116224483</v>
      </c>
      <c r="J56">
        <v>-6.8632960000000007E-2</v>
      </c>
      <c r="K56">
        <v>-2.3826709000000001E-2</v>
      </c>
    </row>
    <row r="57" spans="1:11" x14ac:dyDescent="0.25">
      <c r="A57" s="3">
        <v>45107</v>
      </c>
      <c r="B57">
        <v>8.8041997999999996E-2</v>
      </c>
      <c r="C57">
        <v>0.139024436</v>
      </c>
      <c r="D57">
        <v>6.0357160999999999E-2</v>
      </c>
      <c r="E57">
        <v>0.110497184</v>
      </c>
      <c r="F57">
        <v>8.4206729999999994E-2</v>
      </c>
      <c r="G57">
        <v>1.9243592E-2</v>
      </c>
      <c r="H57">
        <v>-9.9263319999999995E-3</v>
      </c>
      <c r="I57">
        <v>9.6062772000000005E-2</v>
      </c>
      <c r="J57">
        <v>9.2764377999999995E-2</v>
      </c>
      <c r="K57">
        <v>7.1745507E-2</v>
      </c>
    </row>
    <row r="58" spans="1:11" x14ac:dyDescent="0.25">
      <c r="A58" s="3">
        <v>45138</v>
      </c>
      <c r="B58">
        <v>0.16666668700000001</v>
      </c>
      <c r="C58">
        <v>0.11670237</v>
      </c>
      <c r="D58">
        <v>5.5069052E-2</v>
      </c>
      <c r="E58">
        <v>1.8794921999999999E-2</v>
      </c>
      <c r="F58">
        <v>0.126553625</v>
      </c>
      <c r="G58">
        <v>6.3098772999999997E-2</v>
      </c>
      <c r="H58">
        <v>5.7157609999999998E-2</v>
      </c>
      <c r="I58">
        <v>0.110220492</v>
      </c>
      <c r="J58">
        <v>0.18732310799999999</v>
      </c>
      <c r="K58">
        <v>-2.3464456000000002E-2</v>
      </c>
    </row>
    <row r="59" spans="1:11" x14ac:dyDescent="0.25">
      <c r="A59" s="3">
        <v>45169</v>
      </c>
      <c r="B59">
        <v>1.6563130999999998E-2</v>
      </c>
      <c r="C59">
        <v>0.41994246800000001</v>
      </c>
      <c r="D59">
        <v>-7.940964E-3</v>
      </c>
      <c r="E59">
        <v>-1.2479661E-2</v>
      </c>
      <c r="F59">
        <v>-7.6689205999999996E-2</v>
      </c>
      <c r="G59">
        <v>-0.11093846</v>
      </c>
      <c r="H59">
        <v>5.8124755E-2</v>
      </c>
      <c r="I59">
        <v>-0.10136804000000001</v>
      </c>
      <c r="J59">
        <v>-9.1039075999999997E-2</v>
      </c>
      <c r="K59">
        <v>-0.11039426200000001</v>
      </c>
    </row>
    <row r="60" spans="1:11" x14ac:dyDescent="0.25">
      <c r="A60" s="3">
        <v>45198</v>
      </c>
      <c r="B60">
        <v>-1.3238302E-2</v>
      </c>
      <c r="C60">
        <v>-0.23295074700000001</v>
      </c>
      <c r="D60">
        <v>1.9648916999999998E-2</v>
      </c>
      <c r="E60">
        <v>3.31672E-3</v>
      </c>
      <c r="F60">
        <v>3.4064260000000002E-3</v>
      </c>
      <c r="G60">
        <v>-9.1751109999999997E-3</v>
      </c>
      <c r="H60">
        <v>-9.1476105000000002E-2</v>
      </c>
      <c r="I60">
        <v>-9.6891886999999996E-2</v>
      </c>
      <c r="J60">
        <v>-2.8692828E-2</v>
      </c>
      <c r="K60">
        <v>-0.11764706699999999</v>
      </c>
    </row>
    <row r="61" spans="1:11" x14ac:dyDescent="0.25">
      <c r="A61" s="3">
        <v>45230</v>
      </c>
      <c r="B61">
        <v>1.0320150000000001E-3</v>
      </c>
      <c r="C61">
        <v>-8.0105625E-2</v>
      </c>
      <c r="D61">
        <v>1.1056717000000001E-2</v>
      </c>
      <c r="E61">
        <v>-0.104132198</v>
      </c>
      <c r="F61">
        <v>-8.8319585000000006E-2</v>
      </c>
      <c r="G61">
        <v>0.101676717</v>
      </c>
      <c r="H61">
        <v>-1.3780786E-2</v>
      </c>
      <c r="I61">
        <v>-4.2025662999999998E-2</v>
      </c>
      <c r="J61">
        <v>-8.0962874000000004E-2</v>
      </c>
      <c r="K61" s="4">
        <v>3.5381800000000001E-8</v>
      </c>
    </row>
    <row r="62" spans="1:11" x14ac:dyDescent="0.25">
      <c r="A62" s="3">
        <v>45260</v>
      </c>
      <c r="B62">
        <v>6.1856100000000002E-3</v>
      </c>
      <c r="C62">
        <v>0.34832540200000001</v>
      </c>
      <c r="D62">
        <v>9.9086061000000003E-2</v>
      </c>
      <c r="E62">
        <v>0.123001188</v>
      </c>
      <c r="F62">
        <v>8.0409668000000004E-2</v>
      </c>
      <c r="G62">
        <v>0.20628242199999999</v>
      </c>
      <c r="H62">
        <v>7.6930999999999999E-2</v>
      </c>
      <c r="I62">
        <v>0.15051393199999999</v>
      </c>
      <c r="J62">
        <v>0.15952383000000001</v>
      </c>
      <c r="K62">
        <v>0.13055554</v>
      </c>
    </row>
    <row r="63" spans="1:11" x14ac:dyDescent="0.25">
      <c r="A63" s="3">
        <v>45289</v>
      </c>
      <c r="B63">
        <v>3.1762238999999998E-2</v>
      </c>
      <c r="C63">
        <v>5.5358391E-2</v>
      </c>
      <c r="D63">
        <v>-9.9588070000000001E-3</v>
      </c>
      <c r="E63">
        <v>0.21212123299999999</v>
      </c>
      <c r="F63">
        <v>7.8102230999999994E-2</v>
      </c>
      <c r="G63">
        <v>1.0134265E-2</v>
      </c>
      <c r="H63">
        <v>0.183615848</v>
      </c>
      <c r="I63">
        <v>0.18003201499999999</v>
      </c>
      <c r="J63">
        <v>0.14508585600000001</v>
      </c>
      <c r="K63">
        <v>0.162981138</v>
      </c>
    </row>
    <row r="64" spans="1:11" x14ac:dyDescent="0.25">
      <c r="A64" s="3"/>
    </row>
    <row r="65" spans="1:1" x14ac:dyDescent="0.25">
      <c r="A65" s="3"/>
    </row>
    <row r="66" spans="1:1" x14ac:dyDescent="0.25">
      <c r="A66" s="3"/>
    </row>
    <row r="67" spans="1:1" x14ac:dyDescent="0.25">
      <c r="A67" s="3"/>
    </row>
    <row r="68" spans="1:1" x14ac:dyDescent="0.25">
      <c r="A68" s="3"/>
    </row>
    <row r="69" spans="1:1" x14ac:dyDescent="0.25">
      <c r="A69" s="3"/>
    </row>
    <row r="70" spans="1:1" x14ac:dyDescent="0.25">
      <c r="A70" s="3"/>
    </row>
    <row r="71" spans="1:1" x14ac:dyDescent="0.25">
      <c r="A71" s="3"/>
    </row>
    <row r="72" spans="1:1" x14ac:dyDescent="0.25">
      <c r="A72" s="3"/>
    </row>
    <row r="73" spans="1:1" x14ac:dyDescent="0.25">
      <c r="A73" s="3"/>
    </row>
    <row r="74" spans="1:1" x14ac:dyDescent="0.25">
      <c r="A74" s="3"/>
    </row>
    <row r="75" spans="1:1" x14ac:dyDescent="0.25">
      <c r="A75" s="3"/>
    </row>
    <row r="76" spans="1:1" x14ac:dyDescent="0.25">
      <c r="A76" s="3"/>
    </row>
    <row r="77" spans="1:1" x14ac:dyDescent="0.25">
      <c r="A77" s="3"/>
    </row>
    <row r="78" spans="1:1" x14ac:dyDescent="0.25">
      <c r="A78" s="3"/>
    </row>
    <row r="79" spans="1:1" x14ac:dyDescent="0.25">
      <c r="A79" s="3"/>
    </row>
    <row r="80" spans="1:1" x14ac:dyDescent="0.25">
      <c r="A80" s="3"/>
    </row>
    <row r="81" spans="1:1" x14ac:dyDescent="0.25">
      <c r="A81" s="3"/>
    </row>
    <row r="82" spans="1:1" x14ac:dyDescent="0.25">
      <c r="A82" s="3"/>
    </row>
    <row r="83" spans="1:1" x14ac:dyDescent="0.25">
      <c r="A83" s="3"/>
    </row>
    <row r="84" spans="1:1" x14ac:dyDescent="0.25">
      <c r="A84" s="3"/>
    </row>
    <row r="85" spans="1:1" x14ac:dyDescent="0.25">
      <c r="A85" s="3"/>
    </row>
    <row r="86" spans="1:1" x14ac:dyDescent="0.25">
      <c r="A86" s="3"/>
    </row>
    <row r="87" spans="1:1" x14ac:dyDescent="0.25">
      <c r="A87" s="3"/>
    </row>
    <row r="88" spans="1:1" x14ac:dyDescent="0.25">
      <c r="A88" s="3"/>
    </row>
    <row r="89" spans="1:1" x14ac:dyDescent="0.25">
      <c r="A89" s="3"/>
    </row>
    <row r="90" spans="1:1" x14ac:dyDescent="0.25">
      <c r="A90" s="3"/>
    </row>
    <row r="91" spans="1:1" x14ac:dyDescent="0.25">
      <c r="A91" s="3"/>
    </row>
    <row r="92" spans="1:1" x14ac:dyDescent="0.25">
      <c r="A92" s="3"/>
    </row>
    <row r="93" spans="1:1" x14ac:dyDescent="0.25">
      <c r="A93" s="3"/>
    </row>
    <row r="94" spans="1:1" x14ac:dyDescent="0.25">
      <c r="A94" s="3"/>
    </row>
    <row r="95" spans="1:1" x14ac:dyDescent="0.25">
      <c r="A95" s="3"/>
    </row>
    <row r="96" spans="1:1" x14ac:dyDescent="0.25">
      <c r="A96" s="3"/>
    </row>
    <row r="97" spans="1:2" x14ac:dyDescent="0.25">
      <c r="A97" s="3"/>
    </row>
    <row r="98" spans="1:2" x14ac:dyDescent="0.25">
      <c r="A98" s="3"/>
    </row>
    <row r="99" spans="1:2" x14ac:dyDescent="0.25">
      <c r="A99" s="3"/>
    </row>
    <row r="100" spans="1:2" x14ac:dyDescent="0.25">
      <c r="B100">
        <v>-0.20374704900000001</v>
      </c>
    </row>
    <row r="101" spans="1:2" x14ac:dyDescent="0.25">
      <c r="B101">
        <v>-7.0588238999999997E-2</v>
      </c>
    </row>
    <row r="102" spans="1:2" x14ac:dyDescent="0.25">
      <c r="B102">
        <v>-8.0696240000000002E-2</v>
      </c>
    </row>
    <row r="103" spans="1:2" x14ac:dyDescent="0.25">
      <c r="B103">
        <v>-9.7676441000000003E-2</v>
      </c>
    </row>
    <row r="104" spans="1:2" x14ac:dyDescent="0.25">
      <c r="B104">
        <v>-0.12970908</v>
      </c>
    </row>
    <row r="105" spans="1:2" x14ac:dyDescent="0.25">
      <c r="B105">
        <v>0.13315069700000001</v>
      </c>
    </row>
    <row r="106" spans="1:2" x14ac:dyDescent="0.25">
      <c r="B106">
        <v>-0.102514543</v>
      </c>
    </row>
    <row r="107" spans="1:2" x14ac:dyDescent="0.25">
      <c r="B107">
        <v>-6.2499992999999997E-2</v>
      </c>
    </row>
    <row r="108" spans="1:2" x14ac:dyDescent="0.25">
      <c r="B108">
        <v>-0.21724136199999999</v>
      </c>
    </row>
    <row r="109" spans="1:2" x14ac:dyDescent="0.25">
      <c r="B109">
        <v>-1.248165E-2</v>
      </c>
    </row>
    <row r="110" spans="1:2" x14ac:dyDescent="0.25">
      <c r="B110">
        <v>-8.9219317000000006E-2</v>
      </c>
    </row>
    <row r="111" spans="1:2" x14ac:dyDescent="0.25">
      <c r="B111">
        <v>-0.14775513100000001</v>
      </c>
    </row>
    <row r="112" spans="1:2" x14ac:dyDescent="0.25">
      <c r="B112">
        <v>0.24137936500000001</v>
      </c>
    </row>
    <row r="113" spans="2:2" x14ac:dyDescent="0.25">
      <c r="B113">
        <v>-0.124999993</v>
      </c>
    </row>
    <row r="114" spans="2:2" x14ac:dyDescent="0.25">
      <c r="B114">
        <v>-1.763709E-3</v>
      </c>
    </row>
    <row r="115" spans="2:2" x14ac:dyDescent="0.25">
      <c r="B115">
        <v>-0.154593647</v>
      </c>
    </row>
    <row r="116" spans="2:2" x14ac:dyDescent="0.25">
      <c r="B116">
        <v>-0.143155694</v>
      </c>
    </row>
    <row r="117" spans="2:2" x14ac:dyDescent="0.25">
      <c r="B117">
        <v>0.139024436</v>
      </c>
    </row>
    <row r="118" spans="2:2" x14ac:dyDescent="0.25">
      <c r="B118">
        <v>0.11670237</v>
      </c>
    </row>
    <row r="119" spans="2:2" x14ac:dyDescent="0.25">
      <c r="B119">
        <v>0.41994246800000001</v>
      </c>
    </row>
    <row r="120" spans="2:2" x14ac:dyDescent="0.25">
      <c r="B120">
        <v>-0.23295074700000001</v>
      </c>
    </row>
    <row r="121" spans="2:2" x14ac:dyDescent="0.25">
      <c r="B121">
        <v>-8.0105625E-2</v>
      </c>
    </row>
    <row r="122" spans="2:2" x14ac:dyDescent="0.25">
      <c r="B122">
        <v>0.34832540200000001</v>
      </c>
    </row>
    <row r="123" spans="2:2" x14ac:dyDescent="0.25">
      <c r="B123">
        <v>5.5358391E-2</v>
      </c>
    </row>
    <row r="124" spans="2:2" x14ac:dyDescent="0.25">
      <c r="B124">
        <v>5.2284732E-2</v>
      </c>
    </row>
    <row r="125" spans="2:2" x14ac:dyDescent="0.25">
      <c r="B125">
        <v>-4.5407640000000001E-3</v>
      </c>
    </row>
    <row r="126" spans="2:2" x14ac:dyDescent="0.25">
      <c r="B126">
        <v>6.5098990000000004E-3</v>
      </c>
    </row>
    <row r="127" spans="2:2" x14ac:dyDescent="0.25">
      <c r="B127">
        <v>7.0102244999999994E-2</v>
      </c>
    </row>
    <row r="128" spans="2:2" x14ac:dyDescent="0.25">
      <c r="B128">
        <v>2.583344E-3</v>
      </c>
    </row>
    <row r="129" spans="2:2" x14ac:dyDescent="0.25">
      <c r="B129">
        <v>6.4446992999999994E-2</v>
      </c>
    </row>
    <row r="130" spans="2:2" x14ac:dyDescent="0.25">
      <c r="B130">
        <v>-2.0669421E-2</v>
      </c>
    </row>
    <row r="131" spans="2:2" x14ac:dyDescent="0.25">
      <c r="B131">
        <v>-0.100999273</v>
      </c>
    </row>
    <row r="132" spans="2:2" x14ac:dyDescent="0.25">
      <c r="B132">
        <v>7.0938214999999999E-2</v>
      </c>
    </row>
    <row r="133" spans="2:2" x14ac:dyDescent="0.25">
      <c r="B133">
        <v>-4.8174039000000002E-2</v>
      </c>
    </row>
    <row r="134" spans="2:2" x14ac:dyDescent="0.25">
      <c r="B134">
        <v>4.0051049999999998E-2</v>
      </c>
    </row>
    <row r="135" spans="2:2" x14ac:dyDescent="0.25">
      <c r="B135">
        <v>3.1237722999999998E-2</v>
      </c>
    </row>
    <row r="136" spans="2:2" x14ac:dyDescent="0.25">
      <c r="B136">
        <v>-1.9813313999999999E-2</v>
      </c>
    </row>
    <row r="137" spans="2:2" x14ac:dyDescent="0.25">
      <c r="B137">
        <v>-0.11190475499999999</v>
      </c>
    </row>
    <row r="138" spans="2:2" x14ac:dyDescent="0.25">
      <c r="B138">
        <v>-0.23668636400000001</v>
      </c>
    </row>
    <row r="139" spans="2:2" x14ac:dyDescent="0.25">
      <c r="B139">
        <v>-4.8809070000000003E-3</v>
      </c>
    </row>
    <row r="140" spans="2:2" x14ac:dyDescent="0.25">
      <c r="B140">
        <v>-3.9166133999999998E-2</v>
      </c>
    </row>
    <row r="141" spans="2:2" x14ac:dyDescent="0.25">
      <c r="B141">
        <v>3.1588423999999997E-2</v>
      </c>
    </row>
    <row r="142" spans="2:2" x14ac:dyDescent="0.25">
      <c r="B142">
        <v>6.1825573000000002E-2</v>
      </c>
    </row>
    <row r="143" spans="2:2" x14ac:dyDescent="0.25">
      <c r="B143">
        <v>-1.3389158E-2</v>
      </c>
    </row>
    <row r="144" spans="2:2" x14ac:dyDescent="0.25">
      <c r="B144">
        <v>-3.0953726000000001E-2</v>
      </c>
    </row>
    <row r="145" spans="2:2" x14ac:dyDescent="0.25">
      <c r="B145">
        <v>-2.0143800000000001E-3</v>
      </c>
    </row>
    <row r="146" spans="2:2" x14ac:dyDescent="0.25">
      <c r="B146">
        <v>0.21027968799999999</v>
      </c>
    </row>
    <row r="147" spans="2:2" x14ac:dyDescent="0.25">
      <c r="B147">
        <v>7.4206649999999999E-2</v>
      </c>
    </row>
    <row r="148" spans="2:2" x14ac:dyDescent="0.25">
      <c r="B148">
        <v>5.9973450000000003E-3</v>
      </c>
    </row>
    <row r="149" spans="2:2" x14ac:dyDescent="0.25">
      <c r="B149">
        <v>5.7021427999999999E-2</v>
      </c>
    </row>
    <row r="150" spans="2:2" x14ac:dyDescent="0.25">
      <c r="B150">
        <v>7.2578900000000002E-2</v>
      </c>
    </row>
    <row r="151" spans="2:2" x14ac:dyDescent="0.25">
      <c r="B151">
        <v>8.7168515000000002E-2</v>
      </c>
    </row>
    <row r="152" spans="2:2" x14ac:dyDescent="0.25">
      <c r="B152">
        <v>4.8295982000000001E-2</v>
      </c>
    </row>
    <row r="153" spans="2:2" x14ac:dyDescent="0.25">
      <c r="B153">
        <v>-6.3891730999999993E-2</v>
      </c>
    </row>
    <row r="154" spans="2:2" x14ac:dyDescent="0.25">
      <c r="B154">
        <v>-1.8664235000000001E-2</v>
      </c>
    </row>
    <row r="155" spans="2:2" x14ac:dyDescent="0.25">
      <c r="B155">
        <v>4.2933021000000002E-2</v>
      </c>
    </row>
    <row r="156" spans="2:2" x14ac:dyDescent="0.25">
      <c r="B156">
        <v>-3.4723442E-2</v>
      </c>
    </row>
    <row r="157" spans="2:2" x14ac:dyDescent="0.25">
      <c r="B157">
        <v>3.9681055E-2</v>
      </c>
    </row>
    <row r="158" spans="2:2" x14ac:dyDescent="0.25">
      <c r="B158">
        <v>-4.5434289000000003E-2</v>
      </c>
    </row>
    <row r="159" spans="2:2" x14ac:dyDescent="0.25">
      <c r="B159">
        <v>8.0433957E-2</v>
      </c>
    </row>
    <row r="2943" spans="532:532" x14ac:dyDescent="0.25">
      <c r="TL2943">
        <v>80679969</v>
      </c>
    </row>
  </sheetData>
  <mergeCells count="1">
    <mergeCell ref="B1:K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48DA7-131F-44BB-87C6-6BF3E14AB781}">
  <sheetPr codeName="Sheet4"/>
  <dimension ref="A1:E601"/>
  <sheetViews>
    <sheetView workbookViewId="0"/>
  </sheetViews>
  <sheetFormatPr defaultRowHeight="15" x14ac:dyDescent="0.25"/>
  <cols>
    <col min="1" max="1" width="13" customWidth="1"/>
    <col min="2" max="2" width="11" customWidth="1"/>
    <col min="3" max="3" width="40" customWidth="1"/>
    <col min="4" max="4" width="14" customWidth="1"/>
  </cols>
  <sheetData>
    <row r="1" spans="1:5" x14ac:dyDescent="0.25">
      <c r="A1" t="s">
        <v>38</v>
      </c>
      <c r="B1" t="s">
        <v>39</v>
      </c>
      <c r="C1" t="s">
        <v>40</v>
      </c>
      <c r="D1" t="s">
        <v>41</v>
      </c>
      <c r="E1" t="s">
        <v>42</v>
      </c>
    </row>
    <row r="2" spans="1:5" x14ac:dyDescent="0.25">
      <c r="A2">
        <v>15539</v>
      </c>
      <c r="B2" s="3">
        <v>43496</v>
      </c>
      <c r="C2">
        <v>9999</v>
      </c>
      <c r="D2" t="s">
        <v>36</v>
      </c>
      <c r="E2">
        <v>4.2896692E-2</v>
      </c>
    </row>
    <row r="3" spans="1:5" x14ac:dyDescent="0.25">
      <c r="A3">
        <v>15539</v>
      </c>
      <c r="B3" s="3">
        <v>43524</v>
      </c>
      <c r="C3">
        <v>9999</v>
      </c>
      <c r="D3" t="s">
        <v>36</v>
      </c>
      <c r="E3">
        <v>1.8575854999999999E-2</v>
      </c>
    </row>
    <row r="4" spans="1:5" x14ac:dyDescent="0.25">
      <c r="A4">
        <v>15539</v>
      </c>
      <c r="B4" s="3">
        <v>43553</v>
      </c>
      <c r="C4">
        <v>9999</v>
      </c>
      <c r="D4" t="s">
        <v>36</v>
      </c>
      <c r="E4">
        <v>-1.6500263000000001E-2</v>
      </c>
    </row>
    <row r="5" spans="1:5" x14ac:dyDescent="0.25">
      <c r="A5">
        <v>15539</v>
      </c>
      <c r="B5" s="3">
        <v>43585</v>
      </c>
      <c r="C5">
        <v>9999</v>
      </c>
      <c r="D5" t="s">
        <v>36</v>
      </c>
      <c r="E5">
        <v>8.1677719999999995E-2</v>
      </c>
    </row>
    <row r="6" spans="1:5" x14ac:dyDescent="0.25">
      <c r="A6">
        <v>15539</v>
      </c>
      <c r="B6" s="3">
        <v>43616</v>
      </c>
      <c r="C6">
        <v>9999</v>
      </c>
      <c r="D6" t="s">
        <v>36</v>
      </c>
      <c r="E6">
        <v>-3.8775540999999997E-2</v>
      </c>
    </row>
    <row r="7" spans="1:5" x14ac:dyDescent="0.25">
      <c r="A7">
        <v>15539</v>
      </c>
      <c r="B7" s="3">
        <v>43644</v>
      </c>
      <c r="C7">
        <v>9999</v>
      </c>
      <c r="D7" t="s">
        <v>36</v>
      </c>
      <c r="E7">
        <v>0.188535064</v>
      </c>
    </row>
    <row r="8" spans="1:5" x14ac:dyDescent="0.25">
      <c r="A8">
        <v>15539</v>
      </c>
      <c r="B8" s="3">
        <v>43677</v>
      </c>
      <c r="C8">
        <v>9999</v>
      </c>
      <c r="D8" t="s">
        <v>36</v>
      </c>
      <c r="E8">
        <v>-1.2147201E-2</v>
      </c>
    </row>
    <row r="9" spans="1:5" x14ac:dyDescent="0.25">
      <c r="A9">
        <v>15539</v>
      </c>
      <c r="B9" s="3">
        <v>43707</v>
      </c>
      <c r="C9">
        <v>9999</v>
      </c>
      <c r="D9" t="s">
        <v>36</v>
      </c>
      <c r="E9">
        <v>-8.4267630999999996E-2</v>
      </c>
    </row>
    <row r="10" spans="1:5" x14ac:dyDescent="0.25">
      <c r="A10">
        <v>15539</v>
      </c>
      <c r="B10" s="3">
        <v>43738</v>
      </c>
      <c r="C10">
        <v>9999</v>
      </c>
      <c r="D10" t="s">
        <v>36</v>
      </c>
      <c r="E10">
        <v>-5.094783E-2</v>
      </c>
    </row>
    <row r="11" spans="1:5" x14ac:dyDescent="0.25">
      <c r="A11">
        <v>15539</v>
      </c>
      <c r="B11" s="3">
        <v>43769</v>
      </c>
      <c r="C11">
        <v>9999</v>
      </c>
      <c r="D11" t="s">
        <v>36</v>
      </c>
      <c r="E11">
        <v>-4.1128676000000003E-2</v>
      </c>
    </row>
    <row r="12" spans="1:5" x14ac:dyDescent="0.25">
      <c r="A12">
        <v>15539</v>
      </c>
      <c r="B12" s="3">
        <v>43798</v>
      </c>
      <c r="C12">
        <v>9999</v>
      </c>
      <c r="D12" t="s">
        <v>36</v>
      </c>
      <c r="E12">
        <v>3.5087772000000003E-2</v>
      </c>
    </row>
    <row r="13" spans="1:5" x14ac:dyDescent="0.25">
      <c r="A13">
        <v>15539</v>
      </c>
      <c r="B13" s="3">
        <v>43830</v>
      </c>
      <c r="C13">
        <v>9999</v>
      </c>
      <c r="D13" t="s">
        <v>36</v>
      </c>
      <c r="E13">
        <v>5.5084713E-2</v>
      </c>
    </row>
    <row r="14" spans="1:5" x14ac:dyDescent="0.25">
      <c r="A14">
        <v>15539</v>
      </c>
      <c r="B14" s="3">
        <v>43861</v>
      </c>
      <c r="C14">
        <v>9999</v>
      </c>
      <c r="D14" t="s">
        <v>36</v>
      </c>
      <c r="E14">
        <v>-5.1405575000000002E-2</v>
      </c>
    </row>
    <row r="15" spans="1:5" x14ac:dyDescent="0.25">
      <c r="A15">
        <v>15539</v>
      </c>
      <c r="B15" s="3">
        <v>43889</v>
      </c>
      <c r="C15">
        <v>9999</v>
      </c>
      <c r="D15" t="s">
        <v>36</v>
      </c>
      <c r="E15">
        <v>-6.9432734999999995E-2</v>
      </c>
    </row>
    <row r="16" spans="1:5" x14ac:dyDescent="0.25">
      <c r="A16">
        <v>15539</v>
      </c>
      <c r="B16" s="3">
        <v>43921</v>
      </c>
      <c r="C16">
        <v>9999</v>
      </c>
      <c r="D16" t="s">
        <v>36</v>
      </c>
      <c r="E16">
        <v>-0.215650588</v>
      </c>
    </row>
    <row r="17" spans="1:5" x14ac:dyDescent="0.25">
      <c r="A17">
        <v>15539</v>
      </c>
      <c r="B17" s="3">
        <v>43951</v>
      </c>
      <c r="C17">
        <v>9999</v>
      </c>
      <c r="D17" t="s">
        <v>36</v>
      </c>
      <c r="E17">
        <v>0.110208824</v>
      </c>
    </row>
    <row r="18" spans="1:5" x14ac:dyDescent="0.25">
      <c r="A18">
        <v>15539</v>
      </c>
      <c r="B18" s="3">
        <v>43980</v>
      </c>
      <c r="C18">
        <v>9999</v>
      </c>
      <c r="D18" t="s">
        <v>36</v>
      </c>
      <c r="E18">
        <v>-0.106918186</v>
      </c>
    </row>
    <row r="19" spans="1:5" x14ac:dyDescent="0.25">
      <c r="A19">
        <v>15539</v>
      </c>
      <c r="B19" s="3">
        <v>44012</v>
      </c>
      <c r="C19">
        <v>9999</v>
      </c>
      <c r="D19" t="s">
        <v>36</v>
      </c>
      <c r="E19">
        <v>-7.7464819000000004E-2</v>
      </c>
    </row>
    <row r="20" spans="1:5" x14ac:dyDescent="0.25">
      <c r="A20">
        <v>15539</v>
      </c>
      <c r="B20" s="3">
        <v>44043</v>
      </c>
      <c r="C20">
        <v>9999</v>
      </c>
      <c r="D20" t="s">
        <v>36</v>
      </c>
      <c r="E20">
        <v>2.5444999999999999E-3</v>
      </c>
    </row>
    <row r="21" spans="1:5" x14ac:dyDescent="0.25">
      <c r="A21">
        <v>15539</v>
      </c>
      <c r="B21" s="3">
        <v>44074</v>
      </c>
      <c r="C21">
        <v>9999</v>
      </c>
      <c r="D21" t="s">
        <v>36</v>
      </c>
      <c r="E21">
        <v>-8.9171579999999997E-3</v>
      </c>
    </row>
    <row r="22" spans="1:5" x14ac:dyDescent="0.25">
      <c r="A22">
        <v>15539</v>
      </c>
      <c r="B22" s="3">
        <v>44104</v>
      </c>
      <c r="C22">
        <v>9999</v>
      </c>
      <c r="D22" t="s">
        <v>36</v>
      </c>
      <c r="E22">
        <v>1.285315E-3</v>
      </c>
    </row>
    <row r="23" spans="1:5" x14ac:dyDescent="0.25">
      <c r="A23">
        <v>15539</v>
      </c>
      <c r="B23" s="3">
        <v>44134</v>
      </c>
      <c r="C23">
        <v>9999</v>
      </c>
      <c r="D23" t="s">
        <v>36</v>
      </c>
      <c r="E23">
        <v>0.106546849</v>
      </c>
    </row>
    <row r="24" spans="1:5" x14ac:dyDescent="0.25">
      <c r="A24">
        <v>15539</v>
      </c>
      <c r="B24" s="3">
        <v>44165</v>
      </c>
      <c r="C24">
        <v>9999</v>
      </c>
      <c r="D24" t="s">
        <v>36</v>
      </c>
      <c r="E24">
        <v>0.17517407199999999</v>
      </c>
    </row>
    <row r="25" spans="1:5" x14ac:dyDescent="0.25">
      <c r="A25">
        <v>15539</v>
      </c>
      <c r="B25" s="3">
        <v>44196</v>
      </c>
      <c r="C25">
        <v>9999</v>
      </c>
      <c r="D25" t="s">
        <v>36</v>
      </c>
      <c r="E25">
        <v>0.18811877099999999</v>
      </c>
    </row>
    <row r="26" spans="1:5" x14ac:dyDescent="0.25">
      <c r="A26">
        <v>15539</v>
      </c>
      <c r="B26" s="3">
        <v>44225</v>
      </c>
      <c r="C26">
        <v>9999</v>
      </c>
      <c r="D26" t="s">
        <v>36</v>
      </c>
      <c r="E26">
        <v>-3.9166688999999998E-2</v>
      </c>
    </row>
    <row r="27" spans="1:5" x14ac:dyDescent="0.25">
      <c r="A27">
        <v>15539</v>
      </c>
      <c r="B27" s="3">
        <v>44253</v>
      </c>
      <c r="C27">
        <v>9999</v>
      </c>
      <c r="D27" t="s">
        <v>36</v>
      </c>
      <c r="E27">
        <v>6.5047726E-2</v>
      </c>
    </row>
    <row r="28" spans="1:5" x14ac:dyDescent="0.25">
      <c r="A28">
        <v>15539</v>
      </c>
      <c r="B28" s="3">
        <v>44286</v>
      </c>
      <c r="C28">
        <v>9999</v>
      </c>
      <c r="D28" t="s">
        <v>36</v>
      </c>
      <c r="E28">
        <v>0.17551016799999999</v>
      </c>
    </row>
    <row r="29" spans="1:5" x14ac:dyDescent="0.25">
      <c r="A29">
        <v>15539</v>
      </c>
      <c r="B29" s="3">
        <v>44316</v>
      </c>
      <c r="C29">
        <v>9999</v>
      </c>
      <c r="D29" t="s">
        <v>36</v>
      </c>
      <c r="E29">
        <v>0.13680563900000001</v>
      </c>
    </row>
    <row r="30" spans="1:5" x14ac:dyDescent="0.25">
      <c r="A30">
        <v>15539</v>
      </c>
      <c r="B30" s="3">
        <v>44344</v>
      </c>
      <c r="C30">
        <v>9999</v>
      </c>
      <c r="D30" t="s">
        <v>36</v>
      </c>
      <c r="E30">
        <v>3.3597941999999999E-2</v>
      </c>
    </row>
    <row r="31" spans="1:5" x14ac:dyDescent="0.25">
      <c r="A31">
        <v>15539</v>
      </c>
      <c r="B31" s="3">
        <v>44377</v>
      </c>
      <c r="C31">
        <v>9999</v>
      </c>
      <c r="D31" t="s">
        <v>36</v>
      </c>
      <c r="E31">
        <v>-3.3767756000000003E-2</v>
      </c>
    </row>
    <row r="32" spans="1:5" x14ac:dyDescent="0.25">
      <c r="A32">
        <v>15539</v>
      </c>
      <c r="B32" s="3">
        <v>44407</v>
      </c>
      <c r="C32">
        <v>9999</v>
      </c>
      <c r="D32" t="s">
        <v>36</v>
      </c>
      <c r="E32">
        <v>-3.2495387000000001E-2</v>
      </c>
    </row>
    <row r="33" spans="1:5" x14ac:dyDescent="0.25">
      <c r="A33">
        <v>15539</v>
      </c>
      <c r="B33" s="3">
        <v>44439</v>
      </c>
      <c r="C33">
        <v>9999</v>
      </c>
      <c r="D33" t="s">
        <v>36</v>
      </c>
      <c r="E33">
        <v>3.1051952000000001E-2</v>
      </c>
    </row>
    <row r="34" spans="1:5" x14ac:dyDescent="0.25">
      <c r="A34">
        <v>15539</v>
      </c>
      <c r="B34" s="3">
        <v>44469</v>
      </c>
      <c r="C34">
        <v>9999</v>
      </c>
      <c r="D34" t="s">
        <v>36</v>
      </c>
      <c r="E34">
        <v>-1.2938946E-2</v>
      </c>
    </row>
    <row r="35" spans="1:5" x14ac:dyDescent="0.25">
      <c r="A35">
        <v>15539</v>
      </c>
      <c r="B35" s="3">
        <v>44498</v>
      </c>
      <c r="C35">
        <v>9999</v>
      </c>
      <c r="D35" t="s">
        <v>36</v>
      </c>
      <c r="E35">
        <v>0.12484394</v>
      </c>
    </row>
    <row r="36" spans="1:5" x14ac:dyDescent="0.25">
      <c r="A36">
        <v>15539</v>
      </c>
      <c r="B36" s="3">
        <v>44530</v>
      </c>
      <c r="C36">
        <v>9999</v>
      </c>
      <c r="D36" t="s">
        <v>36</v>
      </c>
      <c r="E36">
        <v>7.2142150000000004E-3</v>
      </c>
    </row>
    <row r="37" spans="1:5" x14ac:dyDescent="0.25">
      <c r="A37">
        <v>15539</v>
      </c>
      <c r="B37" s="3">
        <v>44561</v>
      </c>
      <c r="C37">
        <v>9999</v>
      </c>
      <c r="D37" t="s">
        <v>36</v>
      </c>
      <c r="E37">
        <v>2.7056862000000001E-2</v>
      </c>
    </row>
    <row r="38" spans="1:5" x14ac:dyDescent="0.25">
      <c r="A38">
        <v>15539</v>
      </c>
      <c r="B38" s="3">
        <v>44592</v>
      </c>
      <c r="C38">
        <v>9999</v>
      </c>
      <c r="D38" t="s">
        <v>36</v>
      </c>
      <c r="E38">
        <v>-2.7957012999999999E-2</v>
      </c>
    </row>
    <row r="39" spans="1:5" x14ac:dyDescent="0.25">
      <c r="A39">
        <v>15539</v>
      </c>
      <c r="B39" s="3">
        <v>44620</v>
      </c>
      <c r="C39">
        <v>9999</v>
      </c>
      <c r="D39" t="s">
        <v>36</v>
      </c>
      <c r="E39">
        <v>-9.2920318000000002E-2</v>
      </c>
    </row>
    <row r="40" spans="1:5" x14ac:dyDescent="0.25">
      <c r="A40">
        <v>15539</v>
      </c>
      <c r="B40" s="3">
        <v>44651</v>
      </c>
      <c r="C40">
        <v>9999</v>
      </c>
      <c r="D40" t="s">
        <v>36</v>
      </c>
      <c r="E40">
        <v>-8.5575359999999993E-3</v>
      </c>
    </row>
    <row r="41" spans="1:5" x14ac:dyDescent="0.25">
      <c r="A41">
        <v>15539</v>
      </c>
      <c r="B41" s="3">
        <v>44680</v>
      </c>
      <c r="C41">
        <v>9999</v>
      </c>
      <c r="D41" t="s">
        <v>36</v>
      </c>
      <c r="E41">
        <v>-1.8495637999999998E-2</v>
      </c>
    </row>
    <row r="42" spans="1:5" x14ac:dyDescent="0.25">
      <c r="A42">
        <v>15539</v>
      </c>
      <c r="B42" s="3">
        <v>44712</v>
      </c>
      <c r="C42">
        <v>9999</v>
      </c>
      <c r="D42" t="s">
        <v>36</v>
      </c>
      <c r="E42">
        <v>-5.4020077E-2</v>
      </c>
    </row>
    <row r="43" spans="1:5" x14ac:dyDescent="0.25">
      <c r="A43">
        <v>15539</v>
      </c>
      <c r="B43" s="3">
        <v>44742</v>
      </c>
      <c r="C43">
        <v>9999</v>
      </c>
      <c r="D43" t="s">
        <v>36</v>
      </c>
      <c r="E43">
        <v>4.5272923999999999E-2</v>
      </c>
    </row>
    <row r="44" spans="1:5" x14ac:dyDescent="0.25">
      <c r="A44">
        <v>15539</v>
      </c>
      <c r="B44" s="3">
        <v>44771</v>
      </c>
      <c r="C44">
        <v>9999</v>
      </c>
      <c r="D44" t="s">
        <v>36</v>
      </c>
      <c r="E44">
        <v>-3.5668757000000002E-2</v>
      </c>
    </row>
    <row r="45" spans="1:5" x14ac:dyDescent="0.25">
      <c r="A45">
        <v>15539</v>
      </c>
      <c r="B45" s="3">
        <v>44804</v>
      </c>
      <c r="C45">
        <v>9999</v>
      </c>
      <c r="D45" t="s">
        <v>36</v>
      </c>
      <c r="E45">
        <v>-4.0290657000000001E-2</v>
      </c>
    </row>
    <row r="46" spans="1:5" x14ac:dyDescent="0.25">
      <c r="A46">
        <v>15539</v>
      </c>
      <c r="B46" s="3">
        <v>44834</v>
      </c>
      <c r="C46">
        <v>9999</v>
      </c>
      <c r="D46" t="s">
        <v>36</v>
      </c>
      <c r="E46">
        <v>-1.2422315999999999E-2</v>
      </c>
    </row>
    <row r="47" spans="1:5" x14ac:dyDescent="0.25">
      <c r="A47">
        <v>15539</v>
      </c>
      <c r="B47" s="3">
        <v>44865</v>
      </c>
      <c r="C47">
        <v>9999</v>
      </c>
      <c r="D47" t="s">
        <v>36</v>
      </c>
      <c r="E47">
        <v>-0.13626839199999999</v>
      </c>
    </row>
    <row r="48" spans="1:5" x14ac:dyDescent="0.25">
      <c r="A48">
        <v>15539</v>
      </c>
      <c r="B48" s="3">
        <v>44895</v>
      </c>
      <c r="C48">
        <v>9999</v>
      </c>
      <c r="D48" t="s">
        <v>36</v>
      </c>
      <c r="E48">
        <v>-0.43851131199999999</v>
      </c>
    </row>
    <row r="49" spans="1:5" x14ac:dyDescent="0.25">
      <c r="A49">
        <v>15539</v>
      </c>
      <c r="B49" s="3">
        <v>44925</v>
      </c>
      <c r="C49">
        <v>9999</v>
      </c>
      <c r="D49" t="s">
        <v>36</v>
      </c>
      <c r="E49">
        <v>4.8991374999999997E-2</v>
      </c>
    </row>
    <row r="50" spans="1:5" x14ac:dyDescent="0.25">
      <c r="A50">
        <v>15539</v>
      </c>
      <c r="B50" s="3">
        <v>44957</v>
      </c>
      <c r="C50">
        <v>9999</v>
      </c>
      <c r="D50" t="s">
        <v>36</v>
      </c>
      <c r="E50">
        <v>0.23901101899999999</v>
      </c>
    </row>
    <row r="51" spans="1:5" x14ac:dyDescent="0.25">
      <c r="A51">
        <v>15539</v>
      </c>
      <c r="B51" s="3">
        <v>44985</v>
      </c>
      <c r="C51">
        <v>9999</v>
      </c>
      <c r="D51" t="s">
        <v>36</v>
      </c>
      <c r="E51">
        <v>1.6629668E-2</v>
      </c>
    </row>
    <row r="52" spans="1:5" x14ac:dyDescent="0.25">
      <c r="A52">
        <v>15539</v>
      </c>
      <c r="B52" s="3">
        <v>45016</v>
      </c>
      <c r="C52">
        <v>9999</v>
      </c>
      <c r="D52" t="s">
        <v>36</v>
      </c>
      <c r="E52">
        <v>-0.25408941499999999</v>
      </c>
    </row>
    <row r="53" spans="1:5" x14ac:dyDescent="0.25">
      <c r="A53">
        <v>15539</v>
      </c>
      <c r="B53" s="3">
        <v>45044</v>
      </c>
      <c r="C53">
        <v>9999</v>
      </c>
      <c r="D53" t="s">
        <v>36</v>
      </c>
      <c r="E53">
        <v>-1.4620220000000001E-3</v>
      </c>
    </row>
    <row r="54" spans="1:5" x14ac:dyDescent="0.25">
      <c r="A54">
        <v>15539</v>
      </c>
      <c r="B54" s="3">
        <v>45077</v>
      </c>
      <c r="C54">
        <v>9999</v>
      </c>
      <c r="D54" t="s">
        <v>36</v>
      </c>
      <c r="E54">
        <v>0.114202082</v>
      </c>
    </row>
    <row r="55" spans="1:5" x14ac:dyDescent="0.25">
      <c r="A55">
        <v>15539</v>
      </c>
      <c r="B55" s="3">
        <v>45107</v>
      </c>
      <c r="C55">
        <v>9999</v>
      </c>
      <c r="D55" t="s">
        <v>36</v>
      </c>
      <c r="E55">
        <v>8.8041997999999996E-2</v>
      </c>
    </row>
    <row r="56" spans="1:5" x14ac:dyDescent="0.25">
      <c r="A56">
        <v>15539</v>
      </c>
      <c r="B56" s="3">
        <v>45138</v>
      </c>
      <c r="C56">
        <v>9999</v>
      </c>
      <c r="D56" t="s">
        <v>36</v>
      </c>
      <c r="E56">
        <v>0.16666668700000001</v>
      </c>
    </row>
    <row r="57" spans="1:5" x14ac:dyDescent="0.25">
      <c r="A57">
        <v>15539</v>
      </c>
      <c r="B57" s="3">
        <v>45169</v>
      </c>
      <c r="C57">
        <v>9999</v>
      </c>
      <c r="D57" t="s">
        <v>36</v>
      </c>
      <c r="E57">
        <v>1.6563130999999998E-2</v>
      </c>
    </row>
    <row r="58" spans="1:5" x14ac:dyDescent="0.25">
      <c r="A58">
        <v>15539</v>
      </c>
      <c r="B58" s="3">
        <v>45198</v>
      </c>
      <c r="C58">
        <v>9999</v>
      </c>
      <c r="D58" t="s">
        <v>36</v>
      </c>
      <c r="E58">
        <v>-1.3238302E-2</v>
      </c>
    </row>
    <row r="59" spans="1:5" x14ac:dyDescent="0.25">
      <c r="A59">
        <v>15539</v>
      </c>
      <c r="B59" s="3">
        <v>45230</v>
      </c>
      <c r="C59">
        <v>9999</v>
      </c>
      <c r="D59" t="s">
        <v>36</v>
      </c>
      <c r="E59">
        <v>1.0320150000000001E-3</v>
      </c>
    </row>
    <row r="60" spans="1:5" x14ac:dyDescent="0.25">
      <c r="A60">
        <v>15539</v>
      </c>
      <c r="B60" s="3">
        <v>45260</v>
      </c>
      <c r="C60">
        <v>9999</v>
      </c>
      <c r="D60" t="s">
        <v>36</v>
      </c>
      <c r="E60">
        <v>6.1856100000000002E-3</v>
      </c>
    </row>
    <row r="61" spans="1:5" x14ac:dyDescent="0.25">
      <c r="A61">
        <v>15539</v>
      </c>
      <c r="B61" s="3">
        <v>45289</v>
      </c>
      <c r="C61">
        <v>9999</v>
      </c>
      <c r="D61" t="s">
        <v>36</v>
      </c>
      <c r="E61">
        <v>3.1762238999999998E-2</v>
      </c>
    </row>
    <row r="62" spans="1:5" x14ac:dyDescent="0.25">
      <c r="A62">
        <v>18134</v>
      </c>
      <c r="B62" s="3">
        <v>43496</v>
      </c>
      <c r="C62">
        <v>9999</v>
      </c>
      <c r="D62" t="s">
        <v>35</v>
      </c>
      <c r="E62">
        <v>6.6261670999999994E-2</v>
      </c>
    </row>
    <row r="63" spans="1:5" x14ac:dyDescent="0.25">
      <c r="A63">
        <v>18134</v>
      </c>
      <c r="B63" s="3">
        <v>43524</v>
      </c>
      <c r="C63">
        <v>9999</v>
      </c>
      <c r="D63" t="s">
        <v>35</v>
      </c>
      <c r="E63">
        <v>0.22682553499999999</v>
      </c>
    </row>
    <row r="64" spans="1:5" x14ac:dyDescent="0.25">
      <c r="A64">
        <v>18134</v>
      </c>
      <c r="B64" s="3">
        <v>43553</v>
      </c>
      <c r="C64">
        <v>9999</v>
      </c>
      <c r="D64" t="s">
        <v>35</v>
      </c>
      <c r="E64">
        <v>-0.19206421100000001</v>
      </c>
    </row>
    <row r="65" spans="1:5" x14ac:dyDescent="0.25">
      <c r="A65">
        <v>18134</v>
      </c>
      <c r="B65" s="3">
        <v>43585</v>
      </c>
      <c r="C65">
        <v>9999</v>
      </c>
      <c r="D65" t="s">
        <v>35</v>
      </c>
      <c r="E65">
        <v>4.4409636000000002E-2</v>
      </c>
    </row>
    <row r="66" spans="1:5" x14ac:dyDescent="0.25">
      <c r="A66">
        <v>18134</v>
      </c>
      <c r="B66" s="3">
        <v>43616</v>
      </c>
      <c r="C66">
        <v>9999</v>
      </c>
      <c r="D66" t="s">
        <v>35</v>
      </c>
      <c r="E66">
        <v>-0.25062531199999999</v>
      </c>
    </row>
    <row r="67" spans="1:5" x14ac:dyDescent="0.25">
      <c r="A67">
        <v>18134</v>
      </c>
      <c r="B67" s="3">
        <v>43644</v>
      </c>
      <c r="C67">
        <v>9999</v>
      </c>
      <c r="D67" t="s">
        <v>35</v>
      </c>
      <c r="E67">
        <v>7.3431267999999994E-2</v>
      </c>
    </row>
    <row r="68" spans="1:5" x14ac:dyDescent="0.25">
      <c r="A68">
        <v>18134</v>
      </c>
      <c r="B68" s="3">
        <v>43677</v>
      </c>
      <c r="C68">
        <v>9999</v>
      </c>
      <c r="D68" t="s">
        <v>35</v>
      </c>
      <c r="E68">
        <v>2.2388096999999999E-2</v>
      </c>
    </row>
    <row r="69" spans="1:5" x14ac:dyDescent="0.25">
      <c r="A69">
        <v>18134</v>
      </c>
      <c r="B69" s="3">
        <v>43707</v>
      </c>
      <c r="C69">
        <v>9999</v>
      </c>
      <c r="D69" t="s">
        <v>35</v>
      </c>
      <c r="E69">
        <v>-0.12043798</v>
      </c>
    </row>
    <row r="70" spans="1:5" x14ac:dyDescent="0.25">
      <c r="A70">
        <v>18134</v>
      </c>
      <c r="B70" s="3">
        <v>43738</v>
      </c>
      <c r="C70">
        <v>9999</v>
      </c>
      <c r="D70" t="s">
        <v>35</v>
      </c>
      <c r="E70">
        <v>-7.9875499000000003E-2</v>
      </c>
    </row>
    <row r="71" spans="1:5" x14ac:dyDescent="0.25">
      <c r="A71">
        <v>18134</v>
      </c>
      <c r="B71" s="3">
        <v>43769</v>
      </c>
      <c r="C71">
        <v>9999</v>
      </c>
      <c r="D71" t="s">
        <v>35</v>
      </c>
      <c r="E71">
        <v>0.13040207300000001</v>
      </c>
    </row>
    <row r="72" spans="1:5" x14ac:dyDescent="0.25">
      <c r="A72">
        <v>18134</v>
      </c>
      <c r="B72" s="3">
        <v>43798</v>
      </c>
      <c r="C72">
        <v>9999</v>
      </c>
      <c r="D72" t="s">
        <v>35</v>
      </c>
      <c r="E72">
        <v>-0.22539895800000001</v>
      </c>
    </row>
    <row r="73" spans="1:5" x14ac:dyDescent="0.25">
      <c r="A73">
        <v>18134</v>
      </c>
      <c r="B73" s="3">
        <v>43830</v>
      </c>
      <c r="C73">
        <v>9999</v>
      </c>
      <c r="D73" t="s">
        <v>35</v>
      </c>
      <c r="E73">
        <v>-8.4120132E-2</v>
      </c>
    </row>
    <row r="74" spans="1:5" x14ac:dyDescent="0.25">
      <c r="A74">
        <v>18134</v>
      </c>
      <c r="B74" s="3">
        <v>43861</v>
      </c>
      <c r="C74">
        <v>9999</v>
      </c>
      <c r="D74" t="s">
        <v>35</v>
      </c>
      <c r="E74">
        <v>-0.13964383299999999</v>
      </c>
    </row>
    <row r="75" spans="1:5" x14ac:dyDescent="0.25">
      <c r="A75">
        <v>18134</v>
      </c>
      <c r="B75" s="3">
        <v>43889</v>
      </c>
      <c r="C75">
        <v>9999</v>
      </c>
      <c r="D75" t="s">
        <v>35</v>
      </c>
      <c r="E75">
        <v>-5.6100253000000003E-2</v>
      </c>
    </row>
    <row r="76" spans="1:5" x14ac:dyDescent="0.25">
      <c r="A76">
        <v>18134</v>
      </c>
      <c r="B76" s="3">
        <v>43921</v>
      </c>
      <c r="C76">
        <v>9999</v>
      </c>
      <c r="D76" t="s">
        <v>35</v>
      </c>
      <c r="E76">
        <v>-0.25562611200000002</v>
      </c>
    </row>
    <row r="77" spans="1:5" x14ac:dyDescent="0.25">
      <c r="A77">
        <v>18134</v>
      </c>
      <c r="B77" s="3">
        <v>43951</v>
      </c>
      <c r="C77">
        <v>9999</v>
      </c>
      <c r="D77" t="s">
        <v>35</v>
      </c>
      <c r="E77">
        <v>0.29147288199999999</v>
      </c>
    </row>
    <row r="78" spans="1:5" x14ac:dyDescent="0.25">
      <c r="A78">
        <v>18134</v>
      </c>
      <c r="B78" s="3">
        <v>43980</v>
      </c>
      <c r="C78">
        <v>9999</v>
      </c>
      <c r="D78" t="s">
        <v>35</v>
      </c>
      <c r="E78">
        <v>0.493397325</v>
      </c>
    </row>
    <row r="79" spans="1:5" x14ac:dyDescent="0.25">
      <c r="A79">
        <v>18134</v>
      </c>
      <c r="B79" s="3">
        <v>44012</v>
      </c>
      <c r="C79">
        <v>9999</v>
      </c>
      <c r="D79" t="s">
        <v>35</v>
      </c>
      <c r="E79">
        <v>0.16077171300000001</v>
      </c>
    </row>
    <row r="80" spans="1:5" x14ac:dyDescent="0.25">
      <c r="A80">
        <v>18134</v>
      </c>
      <c r="B80" s="3">
        <v>44043</v>
      </c>
      <c r="C80">
        <v>9999</v>
      </c>
      <c r="D80" t="s">
        <v>35</v>
      </c>
      <c r="E80">
        <v>4.0166265999999999E-2</v>
      </c>
    </row>
    <row r="81" spans="1:5" x14ac:dyDescent="0.25">
      <c r="A81">
        <v>18134</v>
      </c>
      <c r="B81" s="3">
        <v>44074</v>
      </c>
      <c r="C81">
        <v>9999</v>
      </c>
      <c r="D81" t="s">
        <v>35</v>
      </c>
      <c r="E81">
        <v>1.3981297E-2</v>
      </c>
    </row>
    <row r="82" spans="1:5" x14ac:dyDescent="0.25">
      <c r="A82">
        <v>18134</v>
      </c>
      <c r="B82" s="3">
        <v>44104</v>
      </c>
      <c r="C82">
        <v>9999</v>
      </c>
      <c r="D82" t="s">
        <v>35</v>
      </c>
      <c r="E82">
        <v>0.145108402</v>
      </c>
    </row>
    <row r="83" spans="1:5" x14ac:dyDescent="0.25">
      <c r="A83">
        <v>18134</v>
      </c>
      <c r="B83" s="3">
        <v>44134</v>
      </c>
      <c r="C83">
        <v>9999</v>
      </c>
      <c r="D83" t="s">
        <v>35</v>
      </c>
      <c r="E83">
        <v>5.7912855999999999E-2</v>
      </c>
    </row>
    <row r="84" spans="1:5" x14ac:dyDescent="0.25">
      <c r="A84">
        <v>18134</v>
      </c>
      <c r="B84" s="3">
        <v>44165</v>
      </c>
      <c r="C84">
        <v>9999</v>
      </c>
      <c r="D84" t="s">
        <v>35</v>
      </c>
      <c r="E84">
        <v>0.77344173199999999</v>
      </c>
    </row>
    <row r="85" spans="1:5" x14ac:dyDescent="0.25">
      <c r="A85">
        <v>18134</v>
      </c>
      <c r="B85" s="3">
        <v>44196</v>
      </c>
      <c r="C85">
        <v>9999</v>
      </c>
      <c r="D85" t="s">
        <v>35</v>
      </c>
      <c r="E85">
        <v>5.5012199999999997E-2</v>
      </c>
    </row>
    <row r="86" spans="1:5" x14ac:dyDescent="0.25">
      <c r="A86">
        <v>18134</v>
      </c>
      <c r="B86" s="3">
        <v>44225</v>
      </c>
      <c r="C86">
        <v>9999</v>
      </c>
      <c r="D86" t="s">
        <v>35</v>
      </c>
      <c r="E86">
        <v>0.20075319699999999</v>
      </c>
    </row>
    <row r="87" spans="1:5" x14ac:dyDescent="0.25">
      <c r="A87">
        <v>18134</v>
      </c>
      <c r="B87" s="3">
        <v>44253</v>
      </c>
      <c r="C87">
        <v>9999</v>
      </c>
      <c r="D87" t="s">
        <v>35</v>
      </c>
      <c r="E87">
        <v>0.29987937199999998</v>
      </c>
    </row>
    <row r="88" spans="1:5" x14ac:dyDescent="0.25">
      <c r="A88">
        <v>18134</v>
      </c>
      <c r="B88" s="3">
        <v>44286</v>
      </c>
      <c r="C88">
        <v>9999</v>
      </c>
      <c r="D88" t="s">
        <v>35</v>
      </c>
      <c r="E88">
        <v>-0.169079438</v>
      </c>
    </row>
    <row r="89" spans="1:5" x14ac:dyDescent="0.25">
      <c r="A89">
        <v>18134</v>
      </c>
      <c r="B89" s="3">
        <v>44316</v>
      </c>
      <c r="C89">
        <v>9999</v>
      </c>
      <c r="D89" t="s">
        <v>35</v>
      </c>
      <c r="E89">
        <v>2.8813958000000001E-2</v>
      </c>
    </row>
    <row r="90" spans="1:5" x14ac:dyDescent="0.25">
      <c r="A90">
        <v>18134</v>
      </c>
      <c r="B90" s="3">
        <v>44344</v>
      </c>
      <c r="C90">
        <v>9999</v>
      </c>
      <c r="D90" t="s">
        <v>35</v>
      </c>
      <c r="E90">
        <v>2.1927884000000002E-2</v>
      </c>
    </row>
    <row r="91" spans="1:5" x14ac:dyDescent="0.25">
      <c r="A91">
        <v>18134</v>
      </c>
      <c r="B91" s="3">
        <v>44377</v>
      </c>
      <c r="C91">
        <v>9999</v>
      </c>
      <c r="D91" t="s">
        <v>35</v>
      </c>
      <c r="E91">
        <v>0.238368422</v>
      </c>
    </row>
    <row r="92" spans="1:5" x14ac:dyDescent="0.25">
      <c r="A92">
        <v>18134</v>
      </c>
      <c r="B92" s="3">
        <v>44407</v>
      </c>
      <c r="C92">
        <v>9999</v>
      </c>
      <c r="D92" t="s">
        <v>35</v>
      </c>
      <c r="E92">
        <v>-0.11151140900000001</v>
      </c>
    </row>
    <row r="93" spans="1:5" x14ac:dyDescent="0.25">
      <c r="A93">
        <v>18134</v>
      </c>
      <c r="B93" s="3">
        <v>44439</v>
      </c>
      <c r="C93">
        <v>9999</v>
      </c>
      <c r="D93" t="s">
        <v>35</v>
      </c>
      <c r="E93">
        <v>-0.13670596500000001</v>
      </c>
    </row>
    <row r="94" spans="1:5" x14ac:dyDescent="0.25">
      <c r="A94">
        <v>18134</v>
      </c>
      <c r="B94" s="3">
        <v>44469</v>
      </c>
      <c r="C94">
        <v>9999</v>
      </c>
      <c r="D94" t="s">
        <v>35</v>
      </c>
      <c r="E94">
        <v>7.1572290000000002E-3</v>
      </c>
    </row>
    <row r="95" spans="1:5" x14ac:dyDescent="0.25">
      <c r="A95">
        <v>18134</v>
      </c>
      <c r="B95" s="3">
        <v>44498</v>
      </c>
      <c r="C95">
        <v>9999</v>
      </c>
      <c r="D95" t="s">
        <v>35</v>
      </c>
      <c r="E95">
        <v>4.6413507E-2</v>
      </c>
    </row>
    <row r="96" spans="1:5" x14ac:dyDescent="0.25">
      <c r="A96">
        <v>18134</v>
      </c>
      <c r="B96" s="3">
        <v>44530</v>
      </c>
      <c r="C96">
        <v>9999</v>
      </c>
      <c r="D96" t="s">
        <v>35</v>
      </c>
      <c r="E96">
        <v>-0.209252983</v>
      </c>
    </row>
    <row r="97" spans="1:5" x14ac:dyDescent="0.25">
      <c r="A97">
        <v>18134</v>
      </c>
      <c r="B97" s="3">
        <v>44561</v>
      </c>
      <c r="C97">
        <v>9999</v>
      </c>
      <c r="D97" t="s">
        <v>35</v>
      </c>
      <c r="E97">
        <v>-8.3199105999999995E-2</v>
      </c>
    </row>
    <row r="98" spans="1:5" x14ac:dyDescent="0.25">
      <c r="A98">
        <v>18134</v>
      </c>
      <c r="B98" s="3">
        <v>44592</v>
      </c>
      <c r="C98">
        <v>9999</v>
      </c>
      <c r="D98" t="s">
        <v>35</v>
      </c>
      <c r="E98">
        <v>-0.20374704900000001</v>
      </c>
    </row>
    <row r="99" spans="1:5" x14ac:dyDescent="0.25">
      <c r="A99">
        <v>18134</v>
      </c>
      <c r="B99" s="3">
        <v>44620</v>
      </c>
      <c r="C99">
        <v>9999</v>
      </c>
      <c r="D99" t="s">
        <v>35</v>
      </c>
      <c r="E99">
        <v>-7.0588238999999997E-2</v>
      </c>
    </row>
    <row r="100" spans="1:5" x14ac:dyDescent="0.25">
      <c r="A100">
        <v>18134</v>
      </c>
      <c r="B100" s="3">
        <v>44651</v>
      </c>
      <c r="C100">
        <v>9999</v>
      </c>
      <c r="D100" t="s">
        <v>35</v>
      </c>
      <c r="E100">
        <v>-8.0696240000000002E-2</v>
      </c>
    </row>
    <row r="101" spans="1:5" x14ac:dyDescent="0.25">
      <c r="A101">
        <v>18134</v>
      </c>
      <c r="B101" s="3">
        <v>44680</v>
      </c>
      <c r="C101">
        <v>9999</v>
      </c>
      <c r="D101" t="s">
        <v>35</v>
      </c>
      <c r="E101">
        <v>-9.7676441000000003E-2</v>
      </c>
    </row>
    <row r="102" spans="1:5" x14ac:dyDescent="0.25">
      <c r="A102">
        <v>18134</v>
      </c>
      <c r="B102" s="3">
        <v>44712</v>
      </c>
      <c r="C102">
        <v>9999</v>
      </c>
      <c r="D102" t="s">
        <v>35</v>
      </c>
      <c r="E102">
        <v>-0.12970908</v>
      </c>
    </row>
    <row r="103" spans="1:5" x14ac:dyDescent="0.25">
      <c r="A103">
        <v>18134</v>
      </c>
      <c r="B103" s="3">
        <v>44742</v>
      </c>
      <c r="C103">
        <v>9999</v>
      </c>
      <c r="D103" t="s">
        <v>35</v>
      </c>
      <c r="E103">
        <v>0.13315069700000001</v>
      </c>
    </row>
    <row r="104" spans="1:5" x14ac:dyDescent="0.25">
      <c r="A104">
        <v>18134</v>
      </c>
      <c r="B104" s="3">
        <v>44771</v>
      </c>
      <c r="C104">
        <v>9999</v>
      </c>
      <c r="D104" t="s">
        <v>35</v>
      </c>
      <c r="E104">
        <v>-0.102514543</v>
      </c>
    </row>
    <row r="105" spans="1:5" x14ac:dyDescent="0.25">
      <c r="A105">
        <v>18134</v>
      </c>
      <c r="B105" s="3">
        <v>44804</v>
      </c>
      <c r="C105">
        <v>9999</v>
      </c>
      <c r="D105" t="s">
        <v>35</v>
      </c>
      <c r="E105">
        <v>-6.2499992999999997E-2</v>
      </c>
    </row>
    <row r="106" spans="1:5" x14ac:dyDescent="0.25">
      <c r="A106">
        <v>18134</v>
      </c>
      <c r="B106" s="3">
        <v>44834</v>
      </c>
      <c r="C106">
        <v>9999</v>
      </c>
      <c r="D106" t="s">
        <v>35</v>
      </c>
      <c r="E106">
        <v>-0.21724136199999999</v>
      </c>
    </row>
    <row r="107" spans="1:5" x14ac:dyDescent="0.25">
      <c r="A107">
        <v>18134</v>
      </c>
      <c r="B107" s="3">
        <v>44865</v>
      </c>
      <c r="C107">
        <v>9999</v>
      </c>
      <c r="D107" t="s">
        <v>35</v>
      </c>
      <c r="E107">
        <v>-1.248165E-2</v>
      </c>
    </row>
    <row r="108" spans="1:5" x14ac:dyDescent="0.25">
      <c r="A108">
        <v>18134</v>
      </c>
      <c r="B108" s="3">
        <v>44895</v>
      </c>
      <c r="C108">
        <v>9999</v>
      </c>
      <c r="D108" t="s">
        <v>35</v>
      </c>
      <c r="E108">
        <v>-8.9219317000000006E-2</v>
      </c>
    </row>
    <row r="109" spans="1:5" x14ac:dyDescent="0.25">
      <c r="A109">
        <v>18134</v>
      </c>
      <c r="B109" s="3">
        <v>44925</v>
      </c>
      <c r="C109">
        <v>9999</v>
      </c>
      <c r="D109" t="s">
        <v>35</v>
      </c>
      <c r="E109">
        <v>-0.14775513100000001</v>
      </c>
    </row>
    <row r="110" spans="1:5" x14ac:dyDescent="0.25">
      <c r="A110">
        <v>18134</v>
      </c>
      <c r="B110" s="3">
        <v>44957</v>
      </c>
      <c r="C110">
        <v>9999</v>
      </c>
      <c r="D110" t="s">
        <v>35</v>
      </c>
      <c r="E110">
        <v>0.24137936500000001</v>
      </c>
    </row>
    <row r="111" spans="1:5" x14ac:dyDescent="0.25">
      <c r="A111">
        <v>18134</v>
      </c>
      <c r="B111" s="3">
        <v>44985</v>
      </c>
      <c r="C111">
        <v>9999</v>
      </c>
      <c r="D111" t="s">
        <v>35</v>
      </c>
      <c r="E111">
        <v>-0.124999993</v>
      </c>
    </row>
    <row r="112" spans="1:5" x14ac:dyDescent="0.25">
      <c r="A112">
        <v>18134</v>
      </c>
      <c r="B112" s="3">
        <v>45016</v>
      </c>
      <c r="C112">
        <v>9999</v>
      </c>
      <c r="D112" t="s">
        <v>35</v>
      </c>
      <c r="E112">
        <v>-1.763709E-3</v>
      </c>
    </row>
    <row r="113" spans="1:5" x14ac:dyDescent="0.25">
      <c r="A113">
        <v>18134</v>
      </c>
      <c r="B113" s="3">
        <v>45044</v>
      </c>
      <c r="C113">
        <v>9999</v>
      </c>
      <c r="D113" t="s">
        <v>35</v>
      </c>
      <c r="E113">
        <v>-0.154593647</v>
      </c>
    </row>
    <row r="114" spans="1:5" x14ac:dyDescent="0.25">
      <c r="A114">
        <v>18134</v>
      </c>
      <c r="B114" s="3">
        <v>45077</v>
      </c>
      <c r="C114">
        <v>9999</v>
      </c>
      <c r="D114" t="s">
        <v>35</v>
      </c>
      <c r="E114">
        <v>-0.143155694</v>
      </c>
    </row>
    <row r="115" spans="1:5" x14ac:dyDescent="0.25">
      <c r="A115">
        <v>18134</v>
      </c>
      <c r="B115" s="3">
        <v>45107</v>
      </c>
      <c r="C115">
        <v>9999</v>
      </c>
      <c r="D115" t="s">
        <v>35</v>
      </c>
      <c r="E115">
        <v>0.139024436</v>
      </c>
    </row>
    <row r="116" spans="1:5" x14ac:dyDescent="0.25">
      <c r="A116">
        <v>18134</v>
      </c>
      <c r="B116" s="3">
        <v>45138</v>
      </c>
      <c r="C116">
        <v>9999</v>
      </c>
      <c r="D116" t="s">
        <v>35</v>
      </c>
      <c r="E116">
        <v>0.11670237</v>
      </c>
    </row>
    <row r="117" spans="1:5" x14ac:dyDescent="0.25">
      <c r="A117">
        <v>18134</v>
      </c>
      <c r="B117" s="3">
        <v>45169</v>
      </c>
      <c r="C117">
        <v>9999</v>
      </c>
      <c r="D117" t="s">
        <v>35</v>
      </c>
      <c r="E117">
        <v>0.41994246800000001</v>
      </c>
    </row>
    <row r="118" spans="1:5" x14ac:dyDescent="0.25">
      <c r="A118">
        <v>18134</v>
      </c>
      <c r="B118" s="3">
        <v>45198</v>
      </c>
      <c r="C118">
        <v>9999</v>
      </c>
      <c r="D118" t="s">
        <v>35</v>
      </c>
      <c r="E118">
        <v>-0.23295074700000001</v>
      </c>
    </row>
    <row r="119" spans="1:5" x14ac:dyDescent="0.25">
      <c r="A119">
        <v>18134</v>
      </c>
      <c r="B119" s="3">
        <v>45230</v>
      </c>
      <c r="C119">
        <v>9999</v>
      </c>
      <c r="D119" t="s">
        <v>35</v>
      </c>
      <c r="E119">
        <v>-8.0105625E-2</v>
      </c>
    </row>
    <row r="120" spans="1:5" x14ac:dyDescent="0.25">
      <c r="A120">
        <v>18134</v>
      </c>
      <c r="B120" s="3">
        <v>45260</v>
      </c>
      <c r="C120">
        <v>9999</v>
      </c>
      <c r="D120" t="s">
        <v>35</v>
      </c>
      <c r="E120">
        <v>0.34832540200000001</v>
      </c>
    </row>
    <row r="121" spans="1:5" x14ac:dyDescent="0.25">
      <c r="A121">
        <v>18134</v>
      </c>
      <c r="B121" s="3">
        <v>45289</v>
      </c>
      <c r="C121">
        <v>9999</v>
      </c>
      <c r="D121" t="s">
        <v>35</v>
      </c>
      <c r="E121">
        <v>5.5358391E-2</v>
      </c>
    </row>
    <row r="122" spans="1:5" x14ac:dyDescent="0.25">
      <c r="A122">
        <v>26710</v>
      </c>
      <c r="B122" s="3">
        <v>43496</v>
      </c>
      <c r="C122">
        <v>6331</v>
      </c>
      <c r="D122" t="s">
        <v>32</v>
      </c>
      <c r="E122">
        <v>5.2284732E-2</v>
      </c>
    </row>
    <row r="123" spans="1:5" x14ac:dyDescent="0.25">
      <c r="A123">
        <v>26710</v>
      </c>
      <c r="B123" s="3">
        <v>43524</v>
      </c>
      <c r="C123">
        <v>6331</v>
      </c>
      <c r="D123" t="s">
        <v>32</v>
      </c>
      <c r="E123">
        <v>-4.5407640000000001E-3</v>
      </c>
    </row>
    <row r="124" spans="1:5" x14ac:dyDescent="0.25">
      <c r="A124">
        <v>26710</v>
      </c>
      <c r="B124" s="3">
        <v>43553</v>
      </c>
      <c r="C124">
        <v>6331</v>
      </c>
      <c r="D124" t="s">
        <v>32</v>
      </c>
      <c r="E124">
        <v>6.5098990000000004E-3</v>
      </c>
    </row>
    <row r="125" spans="1:5" x14ac:dyDescent="0.25">
      <c r="A125">
        <v>26710</v>
      </c>
      <c r="B125" s="3">
        <v>43585</v>
      </c>
      <c r="C125">
        <v>6331</v>
      </c>
      <c r="D125" t="s">
        <v>32</v>
      </c>
      <c r="E125">
        <v>7.0102244999999994E-2</v>
      </c>
    </row>
    <row r="126" spans="1:5" x14ac:dyDescent="0.25">
      <c r="A126">
        <v>26710</v>
      </c>
      <c r="B126" s="3">
        <v>43616</v>
      </c>
      <c r="C126">
        <v>6331</v>
      </c>
      <c r="D126" t="s">
        <v>32</v>
      </c>
      <c r="E126">
        <v>2.583344E-3</v>
      </c>
    </row>
    <row r="127" spans="1:5" x14ac:dyDescent="0.25">
      <c r="A127">
        <v>26710</v>
      </c>
      <c r="B127" s="3">
        <v>43644</v>
      </c>
      <c r="C127">
        <v>6331</v>
      </c>
      <c r="D127" t="s">
        <v>32</v>
      </c>
      <c r="E127">
        <v>6.4446992999999994E-2</v>
      </c>
    </row>
    <row r="128" spans="1:5" x14ac:dyDescent="0.25">
      <c r="A128">
        <v>26710</v>
      </c>
      <c r="B128" s="3">
        <v>43677</v>
      </c>
      <c r="C128">
        <v>6331</v>
      </c>
      <c r="D128" t="s">
        <v>32</v>
      </c>
      <c r="E128">
        <v>-2.0669421E-2</v>
      </c>
    </row>
    <row r="129" spans="1:5" x14ac:dyDescent="0.25">
      <c r="A129">
        <v>26710</v>
      </c>
      <c r="B129" s="3">
        <v>43707</v>
      </c>
      <c r="C129">
        <v>6331</v>
      </c>
      <c r="D129" t="s">
        <v>32</v>
      </c>
      <c r="E129">
        <v>-0.100999273</v>
      </c>
    </row>
    <row r="130" spans="1:5" x14ac:dyDescent="0.25">
      <c r="A130">
        <v>26710</v>
      </c>
      <c r="B130" s="3">
        <v>43738</v>
      </c>
      <c r="C130">
        <v>6331</v>
      </c>
      <c r="D130" t="s">
        <v>32</v>
      </c>
      <c r="E130">
        <v>7.0938214999999999E-2</v>
      </c>
    </row>
    <row r="131" spans="1:5" x14ac:dyDescent="0.25">
      <c r="A131">
        <v>26710</v>
      </c>
      <c r="B131" s="3">
        <v>43769</v>
      </c>
      <c r="C131">
        <v>6331</v>
      </c>
      <c r="D131" t="s">
        <v>32</v>
      </c>
      <c r="E131">
        <v>-4.8174039000000002E-2</v>
      </c>
    </row>
    <row r="132" spans="1:5" x14ac:dyDescent="0.25">
      <c r="A132">
        <v>26710</v>
      </c>
      <c r="B132" s="3">
        <v>43798</v>
      </c>
      <c r="C132">
        <v>6331</v>
      </c>
      <c r="D132" t="s">
        <v>32</v>
      </c>
      <c r="E132">
        <v>4.0051049999999998E-2</v>
      </c>
    </row>
    <row r="133" spans="1:5" x14ac:dyDescent="0.25">
      <c r="A133">
        <v>26710</v>
      </c>
      <c r="B133" s="3">
        <v>43830</v>
      </c>
      <c r="C133">
        <v>6331</v>
      </c>
      <c r="D133" t="s">
        <v>32</v>
      </c>
      <c r="E133">
        <v>3.1237722999999998E-2</v>
      </c>
    </row>
    <row r="134" spans="1:5" x14ac:dyDescent="0.25">
      <c r="A134">
        <v>26710</v>
      </c>
      <c r="B134" s="3">
        <v>43861</v>
      </c>
      <c r="C134">
        <v>6331</v>
      </c>
      <c r="D134" t="s">
        <v>32</v>
      </c>
      <c r="E134">
        <v>-1.9813313999999999E-2</v>
      </c>
    </row>
    <row r="135" spans="1:5" x14ac:dyDescent="0.25">
      <c r="A135">
        <v>26710</v>
      </c>
      <c r="B135" s="3">
        <v>43889</v>
      </c>
      <c r="C135">
        <v>6331</v>
      </c>
      <c r="D135" t="s">
        <v>32</v>
      </c>
      <c r="E135">
        <v>-0.11190475499999999</v>
      </c>
    </row>
    <row r="136" spans="1:5" x14ac:dyDescent="0.25">
      <c r="A136">
        <v>26710</v>
      </c>
      <c r="B136" s="3">
        <v>43921</v>
      </c>
      <c r="C136">
        <v>6331</v>
      </c>
      <c r="D136" t="s">
        <v>32</v>
      </c>
      <c r="E136">
        <v>-0.23668636400000001</v>
      </c>
    </row>
    <row r="137" spans="1:5" x14ac:dyDescent="0.25">
      <c r="A137">
        <v>26710</v>
      </c>
      <c r="B137" s="3">
        <v>43951</v>
      </c>
      <c r="C137">
        <v>6331</v>
      </c>
      <c r="D137" t="s">
        <v>32</v>
      </c>
      <c r="E137">
        <v>-4.8809070000000003E-3</v>
      </c>
    </row>
    <row r="138" spans="1:5" x14ac:dyDescent="0.25">
      <c r="A138">
        <v>26710</v>
      </c>
      <c r="B138" s="3">
        <v>43980</v>
      </c>
      <c r="C138">
        <v>6331</v>
      </c>
      <c r="D138" t="s">
        <v>32</v>
      </c>
      <c r="E138">
        <v>-3.9166133999999998E-2</v>
      </c>
    </row>
    <row r="139" spans="1:5" x14ac:dyDescent="0.25">
      <c r="A139">
        <v>26710</v>
      </c>
      <c r="B139" s="3">
        <v>44012</v>
      </c>
      <c r="C139">
        <v>6331</v>
      </c>
      <c r="D139" t="s">
        <v>32</v>
      </c>
      <c r="E139">
        <v>3.1588423999999997E-2</v>
      </c>
    </row>
    <row r="140" spans="1:5" x14ac:dyDescent="0.25">
      <c r="A140">
        <v>26710</v>
      </c>
      <c r="B140" s="3">
        <v>44043</v>
      </c>
      <c r="C140">
        <v>6331</v>
      </c>
      <c r="D140" t="s">
        <v>32</v>
      </c>
      <c r="E140">
        <v>6.1825573000000002E-2</v>
      </c>
    </row>
    <row r="141" spans="1:5" x14ac:dyDescent="0.25">
      <c r="A141">
        <v>26710</v>
      </c>
      <c r="B141" s="3">
        <v>44074</v>
      </c>
      <c r="C141">
        <v>6331</v>
      </c>
      <c r="D141" t="s">
        <v>32</v>
      </c>
      <c r="E141">
        <v>-1.3389158E-2</v>
      </c>
    </row>
    <row r="142" spans="1:5" x14ac:dyDescent="0.25">
      <c r="A142">
        <v>26710</v>
      </c>
      <c r="B142" s="3">
        <v>44104</v>
      </c>
      <c r="C142">
        <v>6331</v>
      </c>
      <c r="D142" t="s">
        <v>32</v>
      </c>
      <c r="E142">
        <v>-3.0953726000000001E-2</v>
      </c>
    </row>
    <row r="143" spans="1:5" x14ac:dyDescent="0.25">
      <c r="A143">
        <v>26710</v>
      </c>
      <c r="B143" s="3">
        <v>44134</v>
      </c>
      <c r="C143">
        <v>6331</v>
      </c>
      <c r="D143" t="s">
        <v>32</v>
      </c>
      <c r="E143">
        <v>-2.0143800000000001E-3</v>
      </c>
    </row>
    <row r="144" spans="1:5" x14ac:dyDescent="0.25">
      <c r="A144">
        <v>26710</v>
      </c>
      <c r="B144" s="3">
        <v>44165</v>
      </c>
      <c r="C144">
        <v>6331</v>
      </c>
      <c r="D144" t="s">
        <v>32</v>
      </c>
      <c r="E144">
        <v>0.21027968799999999</v>
      </c>
    </row>
    <row r="145" spans="1:5" x14ac:dyDescent="0.25">
      <c r="A145">
        <v>26710</v>
      </c>
      <c r="B145" s="3">
        <v>44196</v>
      </c>
      <c r="C145">
        <v>6331</v>
      </c>
      <c r="D145" t="s">
        <v>32</v>
      </c>
      <c r="E145">
        <v>7.4206649999999999E-2</v>
      </c>
    </row>
    <row r="146" spans="1:5" x14ac:dyDescent="0.25">
      <c r="A146">
        <v>26710</v>
      </c>
      <c r="B146" s="3">
        <v>44225</v>
      </c>
      <c r="C146">
        <v>6331</v>
      </c>
      <c r="D146" t="s">
        <v>32</v>
      </c>
      <c r="E146">
        <v>5.9973450000000003E-3</v>
      </c>
    </row>
    <row r="147" spans="1:5" x14ac:dyDescent="0.25">
      <c r="A147">
        <v>26710</v>
      </c>
      <c r="B147" s="3">
        <v>44253</v>
      </c>
      <c r="C147">
        <v>6331</v>
      </c>
      <c r="D147" t="s">
        <v>32</v>
      </c>
      <c r="E147">
        <v>5.7021427999999999E-2</v>
      </c>
    </row>
    <row r="148" spans="1:5" x14ac:dyDescent="0.25">
      <c r="A148">
        <v>26710</v>
      </c>
      <c r="B148" s="3">
        <v>44286</v>
      </c>
      <c r="C148">
        <v>6331</v>
      </c>
      <c r="D148" t="s">
        <v>32</v>
      </c>
      <c r="E148">
        <v>7.2578900000000002E-2</v>
      </c>
    </row>
    <row r="149" spans="1:5" x14ac:dyDescent="0.25">
      <c r="A149">
        <v>26710</v>
      </c>
      <c r="B149" s="3">
        <v>44316</v>
      </c>
      <c r="C149">
        <v>6331</v>
      </c>
      <c r="D149" t="s">
        <v>32</v>
      </c>
      <c r="E149">
        <v>8.7168515000000002E-2</v>
      </c>
    </row>
    <row r="150" spans="1:5" x14ac:dyDescent="0.25">
      <c r="A150">
        <v>26710</v>
      </c>
      <c r="B150" s="3">
        <v>44344</v>
      </c>
      <c r="C150">
        <v>6331</v>
      </c>
      <c r="D150" t="s">
        <v>32</v>
      </c>
      <c r="E150">
        <v>4.8295982000000001E-2</v>
      </c>
    </row>
    <row r="151" spans="1:5" x14ac:dyDescent="0.25">
      <c r="A151">
        <v>26710</v>
      </c>
      <c r="B151" s="3">
        <v>44377</v>
      </c>
      <c r="C151">
        <v>6331</v>
      </c>
      <c r="D151" t="s">
        <v>32</v>
      </c>
      <c r="E151">
        <v>-6.3891730999999993E-2</v>
      </c>
    </row>
    <row r="152" spans="1:5" x14ac:dyDescent="0.25">
      <c r="A152">
        <v>26710</v>
      </c>
      <c r="B152" s="3">
        <v>44407</v>
      </c>
      <c r="C152">
        <v>6331</v>
      </c>
      <c r="D152" t="s">
        <v>32</v>
      </c>
      <c r="E152">
        <v>-1.8664235000000001E-2</v>
      </c>
    </row>
    <row r="153" spans="1:5" x14ac:dyDescent="0.25">
      <c r="A153">
        <v>26710</v>
      </c>
      <c r="B153" s="3">
        <v>44439</v>
      </c>
      <c r="C153">
        <v>6331</v>
      </c>
      <c r="D153" t="s">
        <v>32</v>
      </c>
      <c r="E153">
        <v>4.2933021000000002E-2</v>
      </c>
    </row>
    <row r="154" spans="1:5" x14ac:dyDescent="0.25">
      <c r="A154">
        <v>26710</v>
      </c>
      <c r="B154" s="3">
        <v>44469</v>
      </c>
      <c r="C154">
        <v>6331</v>
      </c>
      <c r="D154" t="s">
        <v>32</v>
      </c>
      <c r="E154">
        <v>-3.4723442E-2</v>
      </c>
    </row>
    <row r="155" spans="1:5" x14ac:dyDescent="0.25">
      <c r="A155">
        <v>26710</v>
      </c>
      <c r="B155" s="3">
        <v>44498</v>
      </c>
      <c r="C155">
        <v>6331</v>
      </c>
      <c r="D155" t="s">
        <v>32</v>
      </c>
      <c r="E155">
        <v>3.9681055E-2</v>
      </c>
    </row>
    <row r="156" spans="1:5" x14ac:dyDescent="0.25">
      <c r="A156">
        <v>26710</v>
      </c>
      <c r="B156" s="3">
        <v>44530</v>
      </c>
      <c r="C156">
        <v>6331</v>
      </c>
      <c r="D156" t="s">
        <v>32</v>
      </c>
      <c r="E156">
        <v>-4.5434289000000003E-2</v>
      </c>
    </row>
    <row r="157" spans="1:5" x14ac:dyDescent="0.25">
      <c r="A157">
        <v>26710</v>
      </c>
      <c r="B157" s="3">
        <v>44561</v>
      </c>
      <c r="C157">
        <v>6331</v>
      </c>
      <c r="D157" t="s">
        <v>32</v>
      </c>
      <c r="E157">
        <v>8.0433957E-2</v>
      </c>
    </row>
    <row r="158" spans="1:5" x14ac:dyDescent="0.25">
      <c r="A158">
        <v>26710</v>
      </c>
      <c r="B158" s="3">
        <v>44592</v>
      </c>
      <c r="C158">
        <v>6331</v>
      </c>
      <c r="D158" t="s">
        <v>32</v>
      </c>
      <c r="E158">
        <v>3.2894764E-2</v>
      </c>
    </row>
    <row r="159" spans="1:5" x14ac:dyDescent="0.25">
      <c r="A159">
        <v>26710</v>
      </c>
      <c r="B159" s="3">
        <v>44620</v>
      </c>
      <c r="C159">
        <v>6331</v>
      </c>
      <c r="D159" t="s">
        <v>32</v>
      </c>
      <c r="E159">
        <v>2.9207179E-2</v>
      </c>
    </row>
    <row r="160" spans="1:5" x14ac:dyDescent="0.25">
      <c r="A160">
        <v>26710</v>
      </c>
      <c r="B160" s="3">
        <v>44651</v>
      </c>
      <c r="C160">
        <v>6331</v>
      </c>
      <c r="D160" t="s">
        <v>32</v>
      </c>
      <c r="E160">
        <v>5.6732956000000001E-2</v>
      </c>
    </row>
    <row r="161" spans="1:5" x14ac:dyDescent="0.25">
      <c r="A161">
        <v>26710</v>
      </c>
      <c r="B161" s="3">
        <v>44680</v>
      </c>
      <c r="C161">
        <v>6331</v>
      </c>
      <c r="D161" t="s">
        <v>32</v>
      </c>
      <c r="E161">
        <v>-3.0546120999999999E-2</v>
      </c>
    </row>
    <row r="162" spans="1:5" x14ac:dyDescent="0.25">
      <c r="A162">
        <v>26710</v>
      </c>
      <c r="B162" s="3">
        <v>44712</v>
      </c>
      <c r="C162">
        <v>6331</v>
      </c>
      <c r="D162" t="s">
        <v>32</v>
      </c>
      <c r="E162">
        <v>4.3165144000000003E-2</v>
      </c>
    </row>
    <row r="163" spans="1:5" x14ac:dyDescent="0.25">
      <c r="A163">
        <v>26710</v>
      </c>
      <c r="B163" s="3">
        <v>44742</v>
      </c>
      <c r="C163">
        <v>6331</v>
      </c>
      <c r="D163" t="s">
        <v>32</v>
      </c>
      <c r="E163">
        <v>-9.5129020999999994E-2</v>
      </c>
    </row>
    <row r="164" spans="1:5" x14ac:dyDescent="0.25">
      <c r="A164">
        <v>26710</v>
      </c>
      <c r="B164" s="3">
        <v>44771</v>
      </c>
      <c r="C164">
        <v>6331</v>
      </c>
      <c r="D164" t="s">
        <v>32</v>
      </c>
      <c r="E164">
        <v>-1.7043508999999998E-2</v>
      </c>
    </row>
    <row r="165" spans="1:5" x14ac:dyDescent="0.25">
      <c r="A165">
        <v>26710</v>
      </c>
      <c r="B165" s="3">
        <v>44804</v>
      </c>
      <c r="C165">
        <v>6331</v>
      </c>
      <c r="D165" t="s">
        <v>32</v>
      </c>
      <c r="E165">
        <v>-4.9399118999999998E-2</v>
      </c>
    </row>
    <row r="166" spans="1:5" x14ac:dyDescent="0.25">
      <c r="A166">
        <v>26710</v>
      </c>
      <c r="B166" s="3">
        <v>44834</v>
      </c>
      <c r="C166">
        <v>6331</v>
      </c>
      <c r="D166" t="s">
        <v>32</v>
      </c>
      <c r="E166">
        <v>-9.8897144000000006E-2</v>
      </c>
    </row>
    <row r="167" spans="1:5" x14ac:dyDescent="0.25">
      <c r="A167">
        <v>26710</v>
      </c>
      <c r="B167" s="3">
        <v>44865</v>
      </c>
      <c r="C167">
        <v>6331</v>
      </c>
      <c r="D167" t="s">
        <v>32</v>
      </c>
      <c r="E167">
        <v>0.144060999</v>
      </c>
    </row>
    <row r="168" spans="1:5" x14ac:dyDescent="0.25">
      <c r="A168">
        <v>26710</v>
      </c>
      <c r="B168" s="3">
        <v>44895</v>
      </c>
      <c r="C168">
        <v>6331</v>
      </c>
      <c r="D168" t="s">
        <v>32</v>
      </c>
      <c r="E168">
        <v>2.0913733E-2</v>
      </c>
    </row>
    <row r="169" spans="1:5" x14ac:dyDescent="0.25">
      <c r="A169">
        <v>26710</v>
      </c>
      <c r="B169" s="3">
        <v>44925</v>
      </c>
      <c r="C169">
        <v>6331</v>
      </c>
      <c r="D169" t="s">
        <v>32</v>
      </c>
      <c r="E169">
        <v>3.0954480000000002E-3</v>
      </c>
    </row>
    <row r="170" spans="1:5" x14ac:dyDescent="0.25">
      <c r="A170">
        <v>26710</v>
      </c>
      <c r="B170" s="3">
        <v>44957</v>
      </c>
      <c r="C170">
        <v>6331</v>
      </c>
      <c r="D170" t="s">
        <v>32</v>
      </c>
      <c r="E170">
        <v>5.4003045E-2</v>
      </c>
    </row>
    <row r="171" spans="1:5" x14ac:dyDescent="0.25">
      <c r="A171">
        <v>26710</v>
      </c>
      <c r="B171" s="3">
        <v>44985</v>
      </c>
      <c r="C171">
        <v>6331</v>
      </c>
      <c r="D171" t="s">
        <v>32</v>
      </c>
      <c r="E171">
        <v>-5.3269260000000001E-3</v>
      </c>
    </row>
    <row r="172" spans="1:5" x14ac:dyDescent="0.25">
      <c r="A172">
        <v>26710</v>
      </c>
      <c r="B172" s="3">
        <v>45016</v>
      </c>
      <c r="C172">
        <v>6331</v>
      </c>
      <c r="D172" t="s">
        <v>32</v>
      </c>
      <c r="E172">
        <v>-5.0253719000000002E-2</v>
      </c>
    </row>
    <row r="173" spans="1:5" x14ac:dyDescent="0.25">
      <c r="A173">
        <v>26710</v>
      </c>
      <c r="B173" s="3">
        <v>45044</v>
      </c>
      <c r="C173">
        <v>6331</v>
      </c>
      <c r="D173" t="s">
        <v>32</v>
      </c>
      <c r="E173">
        <v>-7.7559589999999998E-3</v>
      </c>
    </row>
    <row r="174" spans="1:5" x14ac:dyDescent="0.25">
      <c r="A174">
        <v>26710</v>
      </c>
      <c r="B174" s="3">
        <v>45077</v>
      </c>
      <c r="C174">
        <v>6331</v>
      </c>
      <c r="D174" t="s">
        <v>32</v>
      </c>
      <c r="E174">
        <v>-2.6185508999999999E-2</v>
      </c>
    </row>
    <row r="175" spans="1:5" x14ac:dyDescent="0.25">
      <c r="A175">
        <v>26710</v>
      </c>
      <c r="B175" s="3">
        <v>45107</v>
      </c>
      <c r="C175">
        <v>6331</v>
      </c>
      <c r="D175" t="s">
        <v>32</v>
      </c>
      <c r="E175">
        <v>6.0357160999999999E-2</v>
      </c>
    </row>
    <row r="176" spans="1:5" x14ac:dyDescent="0.25">
      <c r="A176">
        <v>26710</v>
      </c>
      <c r="B176" s="3">
        <v>45138</v>
      </c>
      <c r="C176">
        <v>6331</v>
      </c>
      <c r="D176" t="s">
        <v>32</v>
      </c>
      <c r="E176">
        <v>5.5069052E-2</v>
      </c>
    </row>
    <row r="177" spans="1:5" x14ac:dyDescent="0.25">
      <c r="A177">
        <v>26710</v>
      </c>
      <c r="B177" s="3">
        <v>45169</v>
      </c>
      <c r="C177">
        <v>6331</v>
      </c>
      <c r="D177" t="s">
        <v>32</v>
      </c>
      <c r="E177">
        <v>-7.940964E-3</v>
      </c>
    </row>
    <row r="178" spans="1:5" x14ac:dyDescent="0.25">
      <c r="A178">
        <v>26710</v>
      </c>
      <c r="B178" s="3">
        <v>45198</v>
      </c>
      <c r="C178">
        <v>6331</v>
      </c>
      <c r="D178" t="s">
        <v>32</v>
      </c>
      <c r="E178">
        <v>1.9648916999999998E-2</v>
      </c>
    </row>
    <row r="179" spans="1:5" x14ac:dyDescent="0.25">
      <c r="A179">
        <v>26710</v>
      </c>
      <c r="B179" s="3">
        <v>45230</v>
      </c>
      <c r="C179">
        <v>6331</v>
      </c>
      <c r="D179" t="s">
        <v>32</v>
      </c>
      <c r="E179">
        <v>1.1056717000000001E-2</v>
      </c>
    </row>
    <row r="180" spans="1:5" x14ac:dyDescent="0.25">
      <c r="A180">
        <v>26710</v>
      </c>
      <c r="B180" s="3">
        <v>45260</v>
      </c>
      <c r="C180">
        <v>6331</v>
      </c>
      <c r="D180" t="s">
        <v>32</v>
      </c>
      <c r="E180">
        <v>9.9086061000000003E-2</v>
      </c>
    </row>
    <row r="181" spans="1:5" x14ac:dyDescent="0.25">
      <c r="A181">
        <v>26710</v>
      </c>
      <c r="B181" s="3">
        <v>45289</v>
      </c>
      <c r="C181">
        <v>6331</v>
      </c>
      <c r="D181" t="s">
        <v>32</v>
      </c>
      <c r="E181">
        <v>-9.9588070000000001E-3</v>
      </c>
    </row>
    <row r="182" spans="1:5" x14ac:dyDescent="0.25">
      <c r="A182">
        <v>31480</v>
      </c>
      <c r="B182" s="3">
        <v>43496</v>
      </c>
      <c r="C182">
        <v>3420</v>
      </c>
      <c r="D182" t="s">
        <v>37</v>
      </c>
      <c r="E182">
        <v>0.124069475</v>
      </c>
    </row>
    <row r="183" spans="1:5" x14ac:dyDescent="0.25">
      <c r="A183">
        <v>31480</v>
      </c>
      <c r="B183" s="3">
        <v>43524</v>
      </c>
      <c r="C183">
        <v>3420</v>
      </c>
      <c r="D183" t="s">
        <v>37</v>
      </c>
      <c r="E183">
        <v>7.4687271999999999E-2</v>
      </c>
    </row>
    <row r="184" spans="1:5" x14ac:dyDescent="0.25">
      <c r="A184">
        <v>31480</v>
      </c>
      <c r="B184" s="3">
        <v>43553</v>
      </c>
      <c r="C184">
        <v>3420</v>
      </c>
      <c r="D184" t="s">
        <v>37</v>
      </c>
      <c r="E184">
        <v>-5.4295529000000002E-2</v>
      </c>
    </row>
    <row r="185" spans="1:5" x14ac:dyDescent="0.25">
      <c r="A185">
        <v>31480</v>
      </c>
      <c r="B185" s="3">
        <v>43585</v>
      </c>
      <c r="C185">
        <v>3420</v>
      </c>
      <c r="D185" t="s">
        <v>37</v>
      </c>
      <c r="E185">
        <v>4.1424397000000002E-2</v>
      </c>
    </row>
    <row r="186" spans="1:5" x14ac:dyDescent="0.25">
      <c r="A186">
        <v>31480</v>
      </c>
      <c r="B186" s="3">
        <v>43616</v>
      </c>
      <c r="C186">
        <v>3420</v>
      </c>
      <c r="D186" t="s">
        <v>37</v>
      </c>
      <c r="E186">
        <v>-0.14759247</v>
      </c>
    </row>
    <row r="187" spans="1:5" x14ac:dyDescent="0.25">
      <c r="A187">
        <v>31480</v>
      </c>
      <c r="B187" s="3">
        <v>43644</v>
      </c>
      <c r="C187">
        <v>3420</v>
      </c>
      <c r="D187" t="s">
        <v>37</v>
      </c>
      <c r="E187">
        <v>0.15213818800000001</v>
      </c>
    </row>
    <row r="188" spans="1:5" x14ac:dyDescent="0.25">
      <c r="A188">
        <v>31480</v>
      </c>
      <c r="B188" s="3">
        <v>43677</v>
      </c>
      <c r="C188">
        <v>3420</v>
      </c>
      <c r="D188" t="s">
        <v>37</v>
      </c>
      <c r="E188">
        <v>-9.8501079000000005E-2</v>
      </c>
    </row>
    <row r="189" spans="1:5" x14ac:dyDescent="0.25">
      <c r="A189">
        <v>31480</v>
      </c>
      <c r="B189" s="3">
        <v>43707</v>
      </c>
      <c r="C189">
        <v>3420</v>
      </c>
      <c r="D189" t="s">
        <v>37</v>
      </c>
      <c r="E189">
        <v>-0.122327819</v>
      </c>
    </row>
    <row r="190" spans="1:5" x14ac:dyDescent="0.25">
      <c r="A190">
        <v>31480</v>
      </c>
      <c r="B190" s="3">
        <v>43738</v>
      </c>
      <c r="C190">
        <v>3420</v>
      </c>
      <c r="D190" t="s">
        <v>37</v>
      </c>
      <c r="E190">
        <v>0.12511333799999999</v>
      </c>
    </row>
    <row r="191" spans="1:5" x14ac:dyDescent="0.25">
      <c r="A191">
        <v>31480</v>
      </c>
      <c r="B191" s="3">
        <v>43769</v>
      </c>
      <c r="C191">
        <v>3420</v>
      </c>
      <c r="D191" t="s">
        <v>37</v>
      </c>
      <c r="E191">
        <v>0.111603566</v>
      </c>
    </row>
    <row r="192" spans="1:5" x14ac:dyDescent="0.25">
      <c r="A192">
        <v>31480</v>
      </c>
      <c r="B192" s="3">
        <v>43798</v>
      </c>
      <c r="C192">
        <v>3420</v>
      </c>
      <c r="D192" t="s">
        <v>37</v>
      </c>
      <c r="E192" s="4">
        <v>-2.2143799999999999E-8</v>
      </c>
    </row>
    <row r="193" spans="1:5" x14ac:dyDescent="0.25">
      <c r="A193">
        <v>31480</v>
      </c>
      <c r="B193" s="3">
        <v>43830</v>
      </c>
      <c r="C193">
        <v>3420</v>
      </c>
      <c r="D193" t="s">
        <v>37</v>
      </c>
      <c r="E193">
        <v>0.110989854</v>
      </c>
    </row>
    <row r="194" spans="1:5" x14ac:dyDescent="0.25">
      <c r="A194">
        <v>31480</v>
      </c>
      <c r="B194" s="3">
        <v>43861</v>
      </c>
      <c r="C194">
        <v>3420</v>
      </c>
      <c r="D194" t="s">
        <v>37</v>
      </c>
      <c r="E194">
        <v>-9.2695706000000003E-2</v>
      </c>
    </row>
    <row r="195" spans="1:5" x14ac:dyDescent="0.25">
      <c r="A195">
        <v>31480</v>
      </c>
      <c r="B195" s="3">
        <v>43889</v>
      </c>
      <c r="C195">
        <v>3420</v>
      </c>
      <c r="D195" t="s">
        <v>37</v>
      </c>
      <c r="E195">
        <v>-7.6534346000000003E-2</v>
      </c>
    </row>
    <row r="196" spans="1:5" x14ac:dyDescent="0.25">
      <c r="A196">
        <v>31480</v>
      </c>
      <c r="B196" s="3">
        <v>43921</v>
      </c>
      <c r="C196">
        <v>3420</v>
      </c>
      <c r="D196" t="s">
        <v>37</v>
      </c>
      <c r="E196">
        <v>-0.23439338800000001</v>
      </c>
    </row>
    <row r="197" spans="1:5" x14ac:dyDescent="0.25">
      <c r="A197">
        <v>31480</v>
      </c>
      <c r="B197" s="3">
        <v>43951</v>
      </c>
      <c r="C197">
        <v>3420</v>
      </c>
      <c r="D197" t="s">
        <v>37</v>
      </c>
      <c r="E197">
        <v>-7.6923080000000005E-2</v>
      </c>
    </row>
    <row r="198" spans="1:5" x14ac:dyDescent="0.25">
      <c r="A198">
        <v>31480</v>
      </c>
      <c r="B198" s="3">
        <v>43980</v>
      </c>
      <c r="C198">
        <v>3420</v>
      </c>
      <c r="D198" t="s">
        <v>37</v>
      </c>
      <c r="E198">
        <v>4.5555506000000003E-2</v>
      </c>
    </row>
    <row r="199" spans="1:5" x14ac:dyDescent="0.25">
      <c r="A199">
        <v>31480</v>
      </c>
      <c r="B199" s="3">
        <v>44012</v>
      </c>
      <c r="C199">
        <v>3420</v>
      </c>
      <c r="D199" t="s">
        <v>37</v>
      </c>
      <c r="E199">
        <v>-4.4895685999999997E-2</v>
      </c>
    </row>
    <row r="200" spans="1:5" x14ac:dyDescent="0.25">
      <c r="A200">
        <v>31480</v>
      </c>
      <c r="B200" s="3">
        <v>44043</v>
      </c>
      <c r="C200">
        <v>3420</v>
      </c>
      <c r="D200" t="s">
        <v>37</v>
      </c>
      <c r="E200">
        <v>-8.7297215999999997E-2</v>
      </c>
    </row>
    <row r="201" spans="1:5" x14ac:dyDescent="0.25">
      <c r="A201">
        <v>31480</v>
      </c>
      <c r="B201" s="3">
        <v>44074</v>
      </c>
      <c r="C201">
        <v>3420</v>
      </c>
      <c r="D201" t="s">
        <v>37</v>
      </c>
      <c r="E201">
        <v>0.34947887100000002</v>
      </c>
    </row>
    <row r="202" spans="1:5" x14ac:dyDescent="0.25">
      <c r="A202">
        <v>31480</v>
      </c>
      <c r="B202" s="3">
        <v>44104</v>
      </c>
      <c r="C202">
        <v>3420</v>
      </c>
      <c r="D202" t="s">
        <v>37</v>
      </c>
      <c r="E202">
        <v>-0.10867576299999999</v>
      </c>
    </row>
    <row r="203" spans="1:5" x14ac:dyDescent="0.25">
      <c r="A203">
        <v>31480</v>
      </c>
      <c r="B203" s="3">
        <v>44134</v>
      </c>
      <c r="C203">
        <v>3420</v>
      </c>
      <c r="D203" t="s">
        <v>37</v>
      </c>
      <c r="E203">
        <v>4.8667975000000002E-2</v>
      </c>
    </row>
    <row r="204" spans="1:5" x14ac:dyDescent="0.25">
      <c r="A204">
        <v>31480</v>
      </c>
      <c r="B204" s="3">
        <v>44165</v>
      </c>
      <c r="C204">
        <v>3420</v>
      </c>
      <c r="D204" t="s">
        <v>37</v>
      </c>
      <c r="E204">
        <v>8.5002496999999996E-2</v>
      </c>
    </row>
    <row r="205" spans="1:5" x14ac:dyDescent="0.25">
      <c r="A205">
        <v>31480</v>
      </c>
      <c r="B205" s="3">
        <v>44196</v>
      </c>
      <c r="C205">
        <v>3420</v>
      </c>
      <c r="D205" t="s">
        <v>37</v>
      </c>
      <c r="E205">
        <v>9.0497739999999993E-2</v>
      </c>
    </row>
    <row r="206" spans="1:5" x14ac:dyDescent="0.25">
      <c r="A206">
        <v>31480</v>
      </c>
      <c r="B206" s="3">
        <v>44225</v>
      </c>
      <c r="C206">
        <v>3420</v>
      </c>
      <c r="D206" t="s">
        <v>37</v>
      </c>
      <c r="E206">
        <v>-2.3236493E-2</v>
      </c>
    </row>
    <row r="207" spans="1:5" x14ac:dyDescent="0.25">
      <c r="A207">
        <v>31480</v>
      </c>
      <c r="B207" s="3">
        <v>44253</v>
      </c>
      <c r="C207">
        <v>3420</v>
      </c>
      <c r="D207" t="s">
        <v>37</v>
      </c>
      <c r="E207">
        <v>8.7935388000000003E-2</v>
      </c>
    </row>
    <row r="208" spans="1:5" x14ac:dyDescent="0.25">
      <c r="A208">
        <v>31480</v>
      </c>
      <c r="B208" s="3">
        <v>44286</v>
      </c>
      <c r="C208">
        <v>3420</v>
      </c>
      <c r="D208" t="s">
        <v>37</v>
      </c>
      <c r="E208">
        <v>5.0980363000000001E-2</v>
      </c>
    </row>
    <row r="209" spans="1:5" x14ac:dyDescent="0.25">
      <c r="A209">
        <v>31480</v>
      </c>
      <c r="B209" s="3">
        <v>44316</v>
      </c>
      <c r="C209">
        <v>3420</v>
      </c>
      <c r="D209" t="s">
        <v>37</v>
      </c>
      <c r="E209">
        <v>5.4850794000000001E-2</v>
      </c>
    </row>
    <row r="210" spans="1:5" x14ac:dyDescent="0.25">
      <c r="A210">
        <v>31480</v>
      </c>
      <c r="B210" s="3">
        <v>44344</v>
      </c>
      <c r="C210">
        <v>3420</v>
      </c>
      <c r="D210" t="s">
        <v>37</v>
      </c>
      <c r="E210">
        <v>0.13158820600000001</v>
      </c>
    </row>
    <row r="211" spans="1:5" x14ac:dyDescent="0.25">
      <c r="A211">
        <v>31480</v>
      </c>
      <c r="B211" s="3">
        <v>44377</v>
      </c>
      <c r="C211">
        <v>3420</v>
      </c>
      <c r="D211" t="s">
        <v>37</v>
      </c>
      <c r="E211">
        <v>-4.8619803000000003E-2</v>
      </c>
    </row>
    <row r="212" spans="1:5" x14ac:dyDescent="0.25">
      <c r="A212">
        <v>31480</v>
      </c>
      <c r="B212" s="3">
        <v>44407</v>
      </c>
      <c r="C212">
        <v>3420</v>
      </c>
      <c r="D212" t="s">
        <v>37</v>
      </c>
      <c r="E212">
        <v>-3.1981513000000003E-2</v>
      </c>
    </row>
    <row r="213" spans="1:5" x14ac:dyDescent="0.25">
      <c r="A213">
        <v>31480</v>
      </c>
      <c r="B213" s="3">
        <v>44439</v>
      </c>
      <c r="C213">
        <v>3420</v>
      </c>
      <c r="D213" t="s">
        <v>37</v>
      </c>
      <c r="E213">
        <v>-6.9482341000000003E-2</v>
      </c>
    </row>
    <row r="214" spans="1:5" x14ac:dyDescent="0.25">
      <c r="A214">
        <v>31480</v>
      </c>
      <c r="B214" s="3">
        <v>44469</v>
      </c>
      <c r="C214">
        <v>3420</v>
      </c>
      <c r="D214" t="s">
        <v>37</v>
      </c>
      <c r="E214">
        <v>-7.5339921000000004E-2</v>
      </c>
    </row>
    <row r="215" spans="1:5" x14ac:dyDescent="0.25">
      <c r="A215">
        <v>31480</v>
      </c>
      <c r="B215" s="3">
        <v>44498</v>
      </c>
      <c r="C215">
        <v>3420</v>
      </c>
      <c r="D215" t="s">
        <v>37</v>
      </c>
      <c r="E215">
        <v>-4.4912528E-2</v>
      </c>
    </row>
    <row r="216" spans="1:5" x14ac:dyDescent="0.25">
      <c r="A216">
        <v>31480</v>
      </c>
      <c r="B216" s="3">
        <v>44530</v>
      </c>
      <c r="C216">
        <v>3420</v>
      </c>
      <c r="D216" t="s">
        <v>37</v>
      </c>
      <c r="E216">
        <v>4.9313310999999999E-2</v>
      </c>
    </row>
    <row r="217" spans="1:5" x14ac:dyDescent="0.25">
      <c r="A217">
        <v>31480</v>
      </c>
      <c r="B217" s="3">
        <v>44561</v>
      </c>
      <c r="C217">
        <v>3420</v>
      </c>
      <c r="D217" t="s">
        <v>37</v>
      </c>
      <c r="E217">
        <v>-1.394139E-3</v>
      </c>
    </row>
    <row r="218" spans="1:5" x14ac:dyDescent="0.25">
      <c r="A218">
        <v>31480</v>
      </c>
      <c r="B218" s="3">
        <v>44592</v>
      </c>
      <c r="C218">
        <v>3420</v>
      </c>
      <c r="D218" t="s">
        <v>37</v>
      </c>
      <c r="E218">
        <v>-4.5472652000000002E-2</v>
      </c>
    </row>
    <row r="219" spans="1:5" x14ac:dyDescent="0.25">
      <c r="A219">
        <v>31480</v>
      </c>
      <c r="B219" s="3">
        <v>44620</v>
      </c>
      <c r="C219">
        <v>3420</v>
      </c>
      <c r="D219" t="s">
        <v>37</v>
      </c>
      <c r="E219">
        <v>6.2682409999999999E-3</v>
      </c>
    </row>
    <row r="220" spans="1:5" x14ac:dyDescent="0.25">
      <c r="A220">
        <v>31480</v>
      </c>
      <c r="B220" s="3">
        <v>44651</v>
      </c>
      <c r="C220">
        <v>3420</v>
      </c>
      <c r="D220" t="s">
        <v>37</v>
      </c>
      <c r="E220">
        <v>-2.8368727999999999E-2</v>
      </c>
    </row>
    <row r="221" spans="1:5" x14ac:dyDescent="0.25">
      <c r="A221">
        <v>31480</v>
      </c>
      <c r="B221" s="3">
        <v>44680</v>
      </c>
      <c r="C221">
        <v>3420</v>
      </c>
      <c r="D221" t="s">
        <v>37</v>
      </c>
      <c r="E221">
        <v>-8.1580300000000001E-3</v>
      </c>
    </row>
    <row r="222" spans="1:5" x14ac:dyDescent="0.25">
      <c r="A222">
        <v>31480</v>
      </c>
      <c r="B222" s="3">
        <v>44712</v>
      </c>
      <c r="C222">
        <v>3420</v>
      </c>
      <c r="D222" t="s">
        <v>37</v>
      </c>
      <c r="E222">
        <v>-6.1038978000000001E-2</v>
      </c>
    </row>
    <row r="223" spans="1:5" x14ac:dyDescent="0.25">
      <c r="A223">
        <v>31480</v>
      </c>
      <c r="B223" s="3">
        <v>44742</v>
      </c>
      <c r="C223">
        <v>3420</v>
      </c>
      <c r="D223" t="s">
        <v>37</v>
      </c>
      <c r="E223">
        <v>-5.7460602E-2</v>
      </c>
    </row>
    <row r="224" spans="1:5" x14ac:dyDescent="0.25">
      <c r="A224">
        <v>31480</v>
      </c>
      <c r="B224" s="3">
        <v>44771</v>
      </c>
      <c r="C224">
        <v>3420</v>
      </c>
      <c r="D224" t="s">
        <v>37</v>
      </c>
      <c r="E224">
        <v>3.4414799999999998E-3</v>
      </c>
    </row>
    <row r="225" spans="1:5" x14ac:dyDescent="0.25">
      <c r="A225">
        <v>31480</v>
      </c>
      <c r="B225" s="3">
        <v>44804</v>
      </c>
      <c r="C225">
        <v>3420</v>
      </c>
      <c r="D225" t="s">
        <v>37</v>
      </c>
      <c r="E225">
        <v>-1.3228768E-2</v>
      </c>
    </row>
    <row r="226" spans="1:5" x14ac:dyDescent="0.25">
      <c r="A226">
        <v>31480</v>
      </c>
      <c r="B226" s="3">
        <v>44834</v>
      </c>
      <c r="C226">
        <v>3420</v>
      </c>
      <c r="D226" t="s">
        <v>37</v>
      </c>
      <c r="E226">
        <v>-0.133799314</v>
      </c>
    </row>
    <row r="227" spans="1:5" x14ac:dyDescent="0.25">
      <c r="A227">
        <v>31480</v>
      </c>
      <c r="B227" s="3">
        <v>44865</v>
      </c>
      <c r="C227">
        <v>3420</v>
      </c>
      <c r="D227" t="s">
        <v>37</v>
      </c>
      <c r="E227">
        <v>0.20518729099999999</v>
      </c>
    </row>
    <row r="228" spans="1:5" x14ac:dyDescent="0.25">
      <c r="A228">
        <v>31480</v>
      </c>
      <c r="B228" s="3">
        <v>44895</v>
      </c>
      <c r="C228">
        <v>3420</v>
      </c>
      <c r="D228" t="s">
        <v>37</v>
      </c>
      <c r="E228">
        <v>0.105212823</v>
      </c>
    </row>
    <row r="229" spans="1:5" x14ac:dyDescent="0.25">
      <c r="A229">
        <v>31480</v>
      </c>
      <c r="B229" s="3">
        <v>44925</v>
      </c>
      <c r="C229">
        <v>3420</v>
      </c>
      <c r="D229" t="s">
        <v>37</v>
      </c>
      <c r="E229">
        <v>-0.161739096</v>
      </c>
    </row>
    <row r="230" spans="1:5" x14ac:dyDescent="0.25">
      <c r="A230">
        <v>31480</v>
      </c>
      <c r="B230" s="3">
        <v>44957</v>
      </c>
      <c r="C230">
        <v>3420</v>
      </c>
      <c r="D230" t="s">
        <v>37</v>
      </c>
      <c r="E230">
        <v>0.125518665</v>
      </c>
    </row>
    <row r="231" spans="1:5" x14ac:dyDescent="0.25">
      <c r="A231">
        <v>31480</v>
      </c>
      <c r="B231" s="3">
        <v>44985</v>
      </c>
      <c r="C231">
        <v>3420</v>
      </c>
      <c r="D231" t="s">
        <v>37</v>
      </c>
      <c r="E231">
        <v>-3.6405601000000003E-2</v>
      </c>
    </row>
    <row r="232" spans="1:5" x14ac:dyDescent="0.25">
      <c r="A232">
        <v>31480</v>
      </c>
      <c r="B232" s="3">
        <v>45016</v>
      </c>
      <c r="C232">
        <v>3420</v>
      </c>
      <c r="D232" t="s">
        <v>37</v>
      </c>
      <c r="E232">
        <v>-6.3461527000000004E-2</v>
      </c>
    </row>
    <row r="233" spans="1:5" x14ac:dyDescent="0.25">
      <c r="A233">
        <v>31480</v>
      </c>
      <c r="B233" s="3">
        <v>45044</v>
      </c>
      <c r="C233">
        <v>3420</v>
      </c>
      <c r="D233" t="s">
        <v>37</v>
      </c>
      <c r="E233">
        <v>-9.3429148000000004E-2</v>
      </c>
    </row>
    <row r="234" spans="1:5" x14ac:dyDescent="0.25">
      <c r="A234">
        <v>31480</v>
      </c>
      <c r="B234" s="3">
        <v>45077</v>
      </c>
      <c r="C234">
        <v>3420</v>
      </c>
      <c r="D234" t="s">
        <v>37</v>
      </c>
      <c r="E234">
        <v>-7.1347617000000002E-2</v>
      </c>
    </row>
    <row r="235" spans="1:5" x14ac:dyDescent="0.25">
      <c r="A235">
        <v>31480</v>
      </c>
      <c r="B235" s="3">
        <v>45107</v>
      </c>
      <c r="C235">
        <v>3420</v>
      </c>
      <c r="D235" t="s">
        <v>37</v>
      </c>
      <c r="E235">
        <v>0.110497184</v>
      </c>
    </row>
    <row r="236" spans="1:5" x14ac:dyDescent="0.25">
      <c r="A236">
        <v>31480</v>
      </c>
      <c r="B236" s="3">
        <v>45138</v>
      </c>
      <c r="C236">
        <v>3420</v>
      </c>
      <c r="D236" t="s">
        <v>37</v>
      </c>
      <c r="E236">
        <v>1.8794921999999999E-2</v>
      </c>
    </row>
    <row r="237" spans="1:5" x14ac:dyDescent="0.25">
      <c r="A237">
        <v>31480</v>
      </c>
      <c r="B237" s="3">
        <v>45169</v>
      </c>
      <c r="C237">
        <v>3420</v>
      </c>
      <c r="D237" t="s">
        <v>37</v>
      </c>
      <c r="E237">
        <v>-1.2479661E-2</v>
      </c>
    </row>
    <row r="238" spans="1:5" x14ac:dyDescent="0.25">
      <c r="A238">
        <v>31480</v>
      </c>
      <c r="B238" s="3">
        <v>45198</v>
      </c>
      <c r="C238">
        <v>3420</v>
      </c>
      <c r="D238" t="s">
        <v>37</v>
      </c>
      <c r="E238">
        <v>3.31672E-3</v>
      </c>
    </row>
    <row r="239" spans="1:5" x14ac:dyDescent="0.25">
      <c r="A239">
        <v>31480</v>
      </c>
      <c r="B239" s="3">
        <v>45230</v>
      </c>
      <c r="C239">
        <v>3420</v>
      </c>
      <c r="D239" t="s">
        <v>37</v>
      </c>
      <c r="E239">
        <v>-0.104132198</v>
      </c>
    </row>
    <row r="240" spans="1:5" x14ac:dyDescent="0.25">
      <c r="A240">
        <v>31480</v>
      </c>
      <c r="B240" s="3">
        <v>45260</v>
      </c>
      <c r="C240">
        <v>3420</v>
      </c>
      <c r="D240" t="s">
        <v>37</v>
      </c>
      <c r="E240">
        <v>0.123001188</v>
      </c>
    </row>
    <row r="241" spans="1:5" x14ac:dyDescent="0.25">
      <c r="A241">
        <v>31480</v>
      </c>
      <c r="B241" s="3">
        <v>45289</v>
      </c>
      <c r="C241">
        <v>3420</v>
      </c>
      <c r="D241" t="s">
        <v>37</v>
      </c>
      <c r="E241">
        <v>0.21212123299999999</v>
      </c>
    </row>
    <row r="242" spans="1:5" x14ac:dyDescent="0.25">
      <c r="A242">
        <v>42877</v>
      </c>
      <c r="B242" s="3">
        <v>43496</v>
      </c>
      <c r="C242">
        <v>4213</v>
      </c>
      <c r="D242" t="s">
        <v>28</v>
      </c>
      <c r="E242">
        <v>0.15047290899999999</v>
      </c>
    </row>
    <row r="243" spans="1:5" x14ac:dyDescent="0.25">
      <c r="A243">
        <v>42877</v>
      </c>
      <c r="B243" s="3">
        <v>43524</v>
      </c>
      <c r="C243">
        <v>4213</v>
      </c>
      <c r="D243" t="s">
        <v>28</v>
      </c>
      <c r="E243">
        <v>8.3146230000000002E-3</v>
      </c>
    </row>
    <row r="244" spans="1:5" x14ac:dyDescent="0.25">
      <c r="A244">
        <v>42877</v>
      </c>
      <c r="B244" s="3">
        <v>43553</v>
      </c>
      <c r="C244">
        <v>4213</v>
      </c>
      <c r="D244" t="s">
        <v>28</v>
      </c>
      <c r="E244">
        <v>-5.9255108000000001E-2</v>
      </c>
    </row>
    <row r="245" spans="1:5" x14ac:dyDescent="0.25">
      <c r="A245">
        <v>42877</v>
      </c>
      <c r="B245" s="3">
        <v>43585</v>
      </c>
      <c r="C245">
        <v>4213</v>
      </c>
      <c r="D245" t="s">
        <v>28</v>
      </c>
      <c r="E245">
        <v>-6.7232676000000005E-2</v>
      </c>
    </row>
    <row r="246" spans="1:5" x14ac:dyDescent="0.25">
      <c r="A246">
        <v>42877</v>
      </c>
      <c r="B246" s="3">
        <v>43616</v>
      </c>
      <c r="C246">
        <v>4213</v>
      </c>
      <c r="D246" t="s">
        <v>28</v>
      </c>
      <c r="E246">
        <v>-9.6105032000000007E-2</v>
      </c>
    </row>
    <row r="247" spans="1:5" x14ac:dyDescent="0.25">
      <c r="A247">
        <v>42877</v>
      </c>
      <c r="B247" s="3">
        <v>43644</v>
      </c>
      <c r="C247">
        <v>4213</v>
      </c>
      <c r="D247" t="s">
        <v>28</v>
      </c>
      <c r="E247">
        <v>7.3643460999999993E-2</v>
      </c>
    </row>
    <row r="248" spans="1:5" x14ac:dyDescent="0.25">
      <c r="A248">
        <v>42877</v>
      </c>
      <c r="B248" s="3">
        <v>43677</v>
      </c>
      <c r="C248">
        <v>4213</v>
      </c>
      <c r="D248" t="s">
        <v>28</v>
      </c>
      <c r="E248">
        <v>0.11989933999999999</v>
      </c>
    </row>
    <row r="249" spans="1:5" x14ac:dyDescent="0.25">
      <c r="A249">
        <v>42877</v>
      </c>
      <c r="B249" s="3">
        <v>43707</v>
      </c>
      <c r="C249">
        <v>4213</v>
      </c>
      <c r="D249" t="s">
        <v>28</v>
      </c>
      <c r="E249">
        <v>5.7927108999999997E-2</v>
      </c>
    </row>
    <row r="250" spans="1:5" x14ac:dyDescent="0.25">
      <c r="A250">
        <v>42877</v>
      </c>
      <c r="B250" s="3">
        <v>43738</v>
      </c>
      <c r="C250">
        <v>4213</v>
      </c>
      <c r="D250" t="s">
        <v>28</v>
      </c>
      <c r="E250">
        <v>2.4157725000000001E-2</v>
      </c>
    </row>
    <row r="251" spans="1:5" x14ac:dyDescent="0.25">
      <c r="A251">
        <v>42877</v>
      </c>
      <c r="B251" s="3">
        <v>43769</v>
      </c>
      <c r="C251">
        <v>4213</v>
      </c>
      <c r="D251" t="s">
        <v>28</v>
      </c>
      <c r="E251">
        <v>6.2449127E-2</v>
      </c>
    </row>
    <row r="252" spans="1:5" x14ac:dyDescent="0.25">
      <c r="A252">
        <v>42877</v>
      </c>
      <c r="B252" s="3">
        <v>43798</v>
      </c>
      <c r="C252">
        <v>4213</v>
      </c>
      <c r="D252" t="s">
        <v>28</v>
      </c>
      <c r="E252">
        <v>-1.4290531E-2</v>
      </c>
    </row>
    <row r="253" spans="1:5" x14ac:dyDescent="0.25">
      <c r="A253">
        <v>42877</v>
      </c>
      <c r="B253" s="3">
        <v>43830</v>
      </c>
      <c r="C253">
        <v>4213</v>
      </c>
      <c r="D253" t="s">
        <v>28</v>
      </c>
      <c r="E253">
        <v>1.0032832E-2</v>
      </c>
    </row>
    <row r="254" spans="1:5" x14ac:dyDescent="0.25">
      <c r="A254">
        <v>42877</v>
      </c>
      <c r="B254" s="3">
        <v>43861</v>
      </c>
      <c r="C254">
        <v>4213</v>
      </c>
      <c r="D254" t="s">
        <v>28</v>
      </c>
      <c r="E254">
        <v>-7.5783512999999997E-2</v>
      </c>
    </row>
    <row r="255" spans="1:5" x14ac:dyDescent="0.25">
      <c r="A255">
        <v>42877</v>
      </c>
      <c r="B255" s="3">
        <v>43889</v>
      </c>
      <c r="C255">
        <v>4213</v>
      </c>
      <c r="D255" t="s">
        <v>28</v>
      </c>
      <c r="E255">
        <v>-0.103956245</v>
      </c>
    </row>
    <row r="256" spans="1:5" x14ac:dyDescent="0.25">
      <c r="A256">
        <v>42877</v>
      </c>
      <c r="B256" s="3">
        <v>43921</v>
      </c>
      <c r="C256">
        <v>4213</v>
      </c>
      <c r="D256" t="s">
        <v>28</v>
      </c>
      <c r="E256">
        <v>-4.3654073000000002E-2</v>
      </c>
    </row>
    <row r="257" spans="1:5" x14ac:dyDescent="0.25">
      <c r="A257">
        <v>42877</v>
      </c>
      <c r="B257" s="3">
        <v>43951</v>
      </c>
      <c r="C257">
        <v>4213</v>
      </c>
      <c r="D257" t="s">
        <v>28</v>
      </c>
      <c r="E257">
        <v>9.6389450000000002E-2</v>
      </c>
    </row>
    <row r="258" spans="1:5" x14ac:dyDescent="0.25">
      <c r="A258">
        <v>42877</v>
      </c>
      <c r="B258" s="3">
        <v>43980</v>
      </c>
      <c r="C258">
        <v>4213</v>
      </c>
      <c r="D258" t="s">
        <v>28</v>
      </c>
      <c r="E258">
        <v>0.18611545900000001</v>
      </c>
    </row>
    <row r="259" spans="1:5" x14ac:dyDescent="0.25">
      <c r="A259">
        <v>42877</v>
      </c>
      <c r="B259" s="3">
        <v>44012</v>
      </c>
      <c r="C259">
        <v>4213</v>
      </c>
      <c r="D259" t="s">
        <v>28</v>
      </c>
      <c r="E259">
        <v>5.5987149999999998E-3</v>
      </c>
    </row>
    <row r="260" spans="1:5" x14ac:dyDescent="0.25">
      <c r="A260">
        <v>42877</v>
      </c>
      <c r="B260" s="3">
        <v>44043</v>
      </c>
      <c r="C260">
        <v>4213</v>
      </c>
      <c r="D260" t="s">
        <v>28</v>
      </c>
      <c r="E260">
        <v>7.5286671999999999E-2</v>
      </c>
    </row>
    <row r="261" spans="1:5" x14ac:dyDescent="0.25">
      <c r="A261">
        <v>42877</v>
      </c>
      <c r="B261" s="3">
        <v>44074</v>
      </c>
      <c r="C261">
        <v>4213</v>
      </c>
      <c r="D261" t="s">
        <v>28</v>
      </c>
      <c r="E261">
        <v>8.8176197999999997E-2</v>
      </c>
    </row>
    <row r="262" spans="1:5" x14ac:dyDescent="0.25">
      <c r="A262">
        <v>42877</v>
      </c>
      <c r="B262" s="3">
        <v>44104</v>
      </c>
      <c r="C262">
        <v>4213</v>
      </c>
      <c r="D262" t="s">
        <v>28</v>
      </c>
      <c r="E262">
        <v>-0.100754209</v>
      </c>
    </row>
    <row r="263" spans="1:5" x14ac:dyDescent="0.25">
      <c r="A263">
        <v>42877</v>
      </c>
      <c r="B263" s="3">
        <v>44134</v>
      </c>
      <c r="C263">
        <v>4213</v>
      </c>
      <c r="D263" t="s">
        <v>28</v>
      </c>
      <c r="E263">
        <v>-3.6714666E-2</v>
      </c>
    </row>
    <row r="264" spans="1:5" x14ac:dyDescent="0.25">
      <c r="A264">
        <v>42877</v>
      </c>
      <c r="B264" s="3">
        <v>44165</v>
      </c>
      <c r="C264">
        <v>4213</v>
      </c>
      <c r="D264" t="s">
        <v>28</v>
      </c>
      <c r="E264">
        <v>0.113438487</v>
      </c>
    </row>
    <row r="265" spans="1:5" x14ac:dyDescent="0.25">
      <c r="A265">
        <v>42877</v>
      </c>
      <c r="B265" s="3">
        <v>44196</v>
      </c>
      <c r="C265">
        <v>4213</v>
      </c>
      <c r="D265" t="s">
        <v>28</v>
      </c>
      <c r="E265">
        <v>1.0127107999999999E-2</v>
      </c>
    </row>
    <row r="266" spans="1:5" x14ac:dyDescent="0.25">
      <c r="A266">
        <v>42877</v>
      </c>
      <c r="B266" s="3">
        <v>44225</v>
      </c>
      <c r="C266">
        <v>4213</v>
      </c>
      <c r="D266" t="s">
        <v>28</v>
      </c>
      <c r="E266">
        <v>-1.456268E-2</v>
      </c>
    </row>
    <row r="267" spans="1:5" x14ac:dyDescent="0.25">
      <c r="A267">
        <v>42877</v>
      </c>
      <c r="B267" s="3">
        <v>44253</v>
      </c>
      <c r="C267">
        <v>4213</v>
      </c>
      <c r="D267" t="s">
        <v>28</v>
      </c>
      <c r="E267">
        <v>9.2752047000000004E-2</v>
      </c>
    </row>
    <row r="268" spans="1:5" x14ac:dyDescent="0.25">
      <c r="A268">
        <v>42877</v>
      </c>
      <c r="B268" s="3">
        <v>44286</v>
      </c>
      <c r="C268">
        <v>4213</v>
      </c>
      <c r="D268" t="s">
        <v>28</v>
      </c>
      <c r="E268">
        <v>0.144345433</v>
      </c>
    </row>
    <row r="269" spans="1:5" x14ac:dyDescent="0.25">
      <c r="A269">
        <v>42877</v>
      </c>
      <c r="B269" s="3">
        <v>44316</v>
      </c>
      <c r="C269">
        <v>4213</v>
      </c>
      <c r="D269" t="s">
        <v>28</v>
      </c>
      <c r="E269">
        <v>1.5707736999999999E-2</v>
      </c>
    </row>
    <row r="270" spans="1:5" x14ac:dyDescent="0.25">
      <c r="A270">
        <v>42877</v>
      </c>
      <c r="B270" s="3">
        <v>44344</v>
      </c>
      <c r="C270">
        <v>4213</v>
      </c>
      <c r="D270" t="s">
        <v>28</v>
      </c>
      <c r="E270">
        <v>6.6193340000000002E-3</v>
      </c>
    </row>
    <row r="271" spans="1:5" x14ac:dyDescent="0.25">
      <c r="A271">
        <v>42877</v>
      </c>
      <c r="B271" s="3">
        <v>44377</v>
      </c>
      <c r="C271">
        <v>4213</v>
      </c>
      <c r="D271" t="s">
        <v>28</v>
      </c>
      <c r="E271">
        <v>-5.0075766000000001E-2</v>
      </c>
    </row>
    <row r="272" spans="1:5" x14ac:dyDescent="0.25">
      <c r="A272">
        <v>42877</v>
      </c>
      <c r="B272" s="3">
        <v>44407</v>
      </c>
      <c r="C272">
        <v>4213</v>
      </c>
      <c r="D272" t="s">
        <v>28</v>
      </c>
      <c r="E272">
        <v>3.3752687000000003E-2</v>
      </c>
    </row>
    <row r="273" spans="1:5" x14ac:dyDescent="0.25">
      <c r="A273">
        <v>42877</v>
      </c>
      <c r="B273" s="3">
        <v>44439</v>
      </c>
      <c r="C273">
        <v>4213</v>
      </c>
      <c r="D273" t="s">
        <v>28</v>
      </c>
      <c r="E273">
        <v>5.4912417999999998E-2</v>
      </c>
    </row>
    <row r="274" spans="1:5" x14ac:dyDescent="0.25">
      <c r="A274">
        <v>42877</v>
      </c>
      <c r="B274" s="3">
        <v>44469</v>
      </c>
      <c r="C274">
        <v>4213</v>
      </c>
      <c r="D274" t="s">
        <v>28</v>
      </c>
      <c r="E274">
        <v>-5.7384402000000001E-2</v>
      </c>
    </row>
    <row r="275" spans="1:5" x14ac:dyDescent="0.25">
      <c r="A275">
        <v>42877</v>
      </c>
      <c r="B275" s="3">
        <v>44498</v>
      </c>
      <c r="C275">
        <v>4213</v>
      </c>
      <c r="D275" t="s">
        <v>28</v>
      </c>
      <c r="E275">
        <v>0.179224983</v>
      </c>
    </row>
    <row r="276" spans="1:5" x14ac:dyDescent="0.25">
      <c r="A276">
        <v>42877</v>
      </c>
      <c r="B276" s="3">
        <v>44530</v>
      </c>
      <c r="C276">
        <v>4213</v>
      </c>
      <c r="D276" t="s">
        <v>28</v>
      </c>
      <c r="E276">
        <v>-2.9058263000000001E-2</v>
      </c>
    </row>
    <row r="277" spans="1:5" x14ac:dyDescent="0.25">
      <c r="A277">
        <v>42877</v>
      </c>
      <c r="B277" s="3">
        <v>44561</v>
      </c>
      <c r="C277">
        <v>4213</v>
      </c>
      <c r="D277" t="s">
        <v>28</v>
      </c>
      <c r="E277">
        <v>6.9261297999999999E-2</v>
      </c>
    </row>
    <row r="278" spans="1:5" x14ac:dyDescent="0.25">
      <c r="A278">
        <v>42877</v>
      </c>
      <c r="B278" s="3">
        <v>44592</v>
      </c>
      <c r="C278">
        <v>4213</v>
      </c>
      <c r="D278" t="s">
        <v>28</v>
      </c>
      <c r="E278">
        <v>-5.8023485999999999E-2</v>
      </c>
    </row>
    <row r="279" spans="1:5" x14ac:dyDescent="0.25">
      <c r="A279">
        <v>42877</v>
      </c>
      <c r="B279" s="3">
        <v>44620</v>
      </c>
      <c r="C279">
        <v>4213</v>
      </c>
      <c r="D279" t="s">
        <v>28</v>
      </c>
      <c r="E279">
        <v>5.6040302E-2</v>
      </c>
    </row>
    <row r="280" spans="1:5" x14ac:dyDescent="0.25">
      <c r="A280">
        <v>42877</v>
      </c>
      <c r="B280" s="3">
        <v>44651</v>
      </c>
      <c r="C280">
        <v>4213</v>
      </c>
      <c r="D280" t="s">
        <v>28</v>
      </c>
      <c r="E280">
        <v>-1.0545505E-2</v>
      </c>
    </row>
    <row r="281" spans="1:5" x14ac:dyDescent="0.25">
      <c r="A281">
        <v>42877</v>
      </c>
      <c r="B281" s="3">
        <v>44680</v>
      </c>
      <c r="C281">
        <v>4213</v>
      </c>
      <c r="D281" t="s">
        <v>28</v>
      </c>
      <c r="E281">
        <v>-0.14911095799999999</v>
      </c>
    </row>
    <row r="282" spans="1:5" x14ac:dyDescent="0.25">
      <c r="A282">
        <v>42877</v>
      </c>
      <c r="B282" s="3">
        <v>44712</v>
      </c>
      <c r="C282">
        <v>4213</v>
      </c>
      <c r="D282" t="s">
        <v>28</v>
      </c>
      <c r="E282">
        <v>1.2467051E-2</v>
      </c>
    </row>
    <row r="283" spans="1:5" x14ac:dyDescent="0.25">
      <c r="A283">
        <v>42877</v>
      </c>
      <c r="B283" s="3">
        <v>44742</v>
      </c>
      <c r="C283">
        <v>4213</v>
      </c>
      <c r="D283" t="s">
        <v>28</v>
      </c>
      <c r="E283">
        <v>-8.7553597999999996E-2</v>
      </c>
    </row>
    <row r="284" spans="1:5" x14ac:dyDescent="0.25">
      <c r="A284">
        <v>42877</v>
      </c>
      <c r="B284" s="3">
        <v>44771</v>
      </c>
      <c r="C284">
        <v>4213</v>
      </c>
      <c r="D284" t="s">
        <v>28</v>
      </c>
      <c r="E284">
        <v>0.163840756</v>
      </c>
    </row>
    <row r="285" spans="1:5" x14ac:dyDescent="0.25">
      <c r="A285">
        <v>42877</v>
      </c>
      <c r="B285" s="3">
        <v>44804</v>
      </c>
      <c r="C285">
        <v>4213</v>
      </c>
      <c r="D285" t="s">
        <v>28</v>
      </c>
      <c r="E285">
        <v>-4.8289406999999999E-2</v>
      </c>
    </row>
    <row r="286" spans="1:5" x14ac:dyDescent="0.25">
      <c r="A286">
        <v>42877</v>
      </c>
      <c r="B286" s="3">
        <v>44834</v>
      </c>
      <c r="C286">
        <v>4213</v>
      </c>
      <c r="D286" t="s">
        <v>28</v>
      </c>
      <c r="E286">
        <v>-0.101137832</v>
      </c>
    </row>
    <row r="287" spans="1:5" x14ac:dyDescent="0.25">
      <c r="A287">
        <v>42877</v>
      </c>
      <c r="B287" s="3">
        <v>44865</v>
      </c>
      <c r="C287">
        <v>4213</v>
      </c>
      <c r="D287" t="s">
        <v>28</v>
      </c>
      <c r="E287">
        <v>9.3658157000000006E-2</v>
      </c>
    </row>
    <row r="288" spans="1:5" x14ac:dyDescent="0.25">
      <c r="A288">
        <v>42877</v>
      </c>
      <c r="B288" s="3">
        <v>44895</v>
      </c>
      <c r="C288">
        <v>4213</v>
      </c>
      <c r="D288" t="s">
        <v>28</v>
      </c>
      <c r="E288">
        <v>7.7278256000000004E-2</v>
      </c>
    </row>
    <row r="289" spans="1:5" x14ac:dyDescent="0.25">
      <c r="A289">
        <v>42877</v>
      </c>
      <c r="B289" s="3">
        <v>44925</v>
      </c>
      <c r="C289">
        <v>4213</v>
      </c>
      <c r="D289" t="s">
        <v>28</v>
      </c>
      <c r="E289">
        <v>-5.1824453999999999E-2</v>
      </c>
    </row>
    <row r="290" spans="1:5" x14ac:dyDescent="0.25">
      <c r="A290">
        <v>42877</v>
      </c>
      <c r="B290" s="3">
        <v>44957</v>
      </c>
      <c r="C290">
        <v>4213</v>
      </c>
      <c r="D290" t="s">
        <v>28</v>
      </c>
      <c r="E290">
        <v>8.4250986999999999E-2</v>
      </c>
    </row>
    <row r="291" spans="1:5" x14ac:dyDescent="0.25">
      <c r="A291">
        <v>42877</v>
      </c>
      <c r="B291" s="3">
        <v>44985</v>
      </c>
      <c r="C291">
        <v>4213</v>
      </c>
      <c r="D291" t="s">
        <v>28</v>
      </c>
      <c r="E291">
        <v>-4.1470561000000003E-2</v>
      </c>
    </row>
    <row r="292" spans="1:5" x14ac:dyDescent="0.25">
      <c r="A292">
        <v>42877</v>
      </c>
      <c r="B292" s="3">
        <v>45016</v>
      </c>
      <c r="C292">
        <v>4213</v>
      </c>
      <c r="D292" t="s">
        <v>28</v>
      </c>
      <c r="E292">
        <v>-2.9481646E-2</v>
      </c>
    </row>
    <row r="293" spans="1:5" x14ac:dyDescent="0.25">
      <c r="A293">
        <v>42877</v>
      </c>
      <c r="B293" s="3">
        <v>45044</v>
      </c>
      <c r="C293">
        <v>4213</v>
      </c>
      <c r="D293" t="s">
        <v>28</v>
      </c>
      <c r="E293">
        <v>-9.6895800000000002E-4</v>
      </c>
    </row>
    <row r="294" spans="1:5" x14ac:dyDescent="0.25">
      <c r="A294">
        <v>42877</v>
      </c>
      <c r="B294" s="3">
        <v>45077</v>
      </c>
      <c r="C294">
        <v>4213</v>
      </c>
      <c r="D294" t="s">
        <v>28</v>
      </c>
      <c r="E294">
        <v>-4.5068129999999998E-2</v>
      </c>
    </row>
    <row r="295" spans="1:5" x14ac:dyDescent="0.25">
      <c r="A295">
        <v>42877</v>
      </c>
      <c r="B295" s="3">
        <v>45107</v>
      </c>
      <c r="C295">
        <v>4213</v>
      </c>
      <c r="D295" t="s">
        <v>28</v>
      </c>
      <c r="E295">
        <v>8.4206729999999994E-2</v>
      </c>
    </row>
    <row r="296" spans="1:5" x14ac:dyDescent="0.25">
      <c r="A296">
        <v>42877</v>
      </c>
      <c r="B296" s="3">
        <v>45138</v>
      </c>
      <c r="C296">
        <v>4213</v>
      </c>
      <c r="D296" t="s">
        <v>28</v>
      </c>
      <c r="E296">
        <v>0.126553625</v>
      </c>
    </row>
    <row r="297" spans="1:5" x14ac:dyDescent="0.25">
      <c r="A297">
        <v>42877</v>
      </c>
      <c r="B297" s="3">
        <v>45169</v>
      </c>
      <c r="C297">
        <v>4213</v>
      </c>
      <c r="D297" t="s">
        <v>28</v>
      </c>
      <c r="E297">
        <v>-7.6689205999999996E-2</v>
      </c>
    </row>
    <row r="298" spans="1:5" x14ac:dyDescent="0.25">
      <c r="A298">
        <v>42877</v>
      </c>
      <c r="B298" s="3">
        <v>45198</v>
      </c>
      <c r="C298">
        <v>4213</v>
      </c>
      <c r="D298" t="s">
        <v>28</v>
      </c>
      <c r="E298">
        <v>3.4064260000000002E-3</v>
      </c>
    </row>
    <row r="299" spans="1:5" x14ac:dyDescent="0.25">
      <c r="A299">
        <v>42877</v>
      </c>
      <c r="B299" s="3">
        <v>45230</v>
      </c>
      <c r="C299">
        <v>4213</v>
      </c>
      <c r="D299" t="s">
        <v>28</v>
      </c>
      <c r="E299">
        <v>-8.8319585000000006E-2</v>
      </c>
    </row>
    <row r="300" spans="1:5" x14ac:dyDescent="0.25">
      <c r="A300">
        <v>42877</v>
      </c>
      <c r="B300" s="3">
        <v>45260</v>
      </c>
      <c r="C300">
        <v>4213</v>
      </c>
      <c r="D300" t="s">
        <v>28</v>
      </c>
      <c r="E300">
        <v>8.0409668000000004E-2</v>
      </c>
    </row>
    <row r="301" spans="1:5" x14ac:dyDescent="0.25">
      <c r="A301">
        <v>42877</v>
      </c>
      <c r="B301" s="3">
        <v>45289</v>
      </c>
      <c r="C301">
        <v>4213</v>
      </c>
      <c r="D301" t="s">
        <v>28</v>
      </c>
      <c r="E301">
        <v>7.8102230999999994E-2</v>
      </c>
    </row>
    <row r="302" spans="1:5" x14ac:dyDescent="0.25">
      <c r="A302">
        <v>52936</v>
      </c>
      <c r="B302" s="3">
        <v>43496</v>
      </c>
      <c r="C302">
        <v>6311</v>
      </c>
      <c r="D302" t="s">
        <v>34</v>
      </c>
      <c r="E302">
        <v>-1.9335399999999999E-4</v>
      </c>
    </row>
    <row r="303" spans="1:5" x14ac:dyDescent="0.25">
      <c r="A303">
        <v>52936</v>
      </c>
      <c r="B303" s="3">
        <v>43524</v>
      </c>
      <c r="C303">
        <v>6311</v>
      </c>
      <c r="D303" t="s">
        <v>34</v>
      </c>
      <c r="E303">
        <v>2.4564804999999999E-2</v>
      </c>
    </row>
    <row r="304" spans="1:5" x14ac:dyDescent="0.25">
      <c r="A304">
        <v>52936</v>
      </c>
      <c r="B304" s="3">
        <v>43553</v>
      </c>
      <c r="C304">
        <v>6311</v>
      </c>
      <c r="D304" t="s">
        <v>34</v>
      </c>
      <c r="E304">
        <v>-4.2901669000000003E-2</v>
      </c>
    </row>
    <row r="305" spans="1:5" x14ac:dyDescent="0.25">
      <c r="A305">
        <v>52936</v>
      </c>
      <c r="B305" s="3">
        <v>43585</v>
      </c>
      <c r="C305">
        <v>6311</v>
      </c>
      <c r="D305" t="s">
        <v>34</v>
      </c>
      <c r="E305">
        <v>7.4096248000000003E-2</v>
      </c>
    </row>
    <row r="306" spans="1:5" x14ac:dyDescent="0.25">
      <c r="A306">
        <v>52936</v>
      </c>
      <c r="B306" s="3">
        <v>43616</v>
      </c>
      <c r="C306">
        <v>6311</v>
      </c>
      <c r="D306" t="s">
        <v>34</v>
      </c>
      <c r="E306">
        <v>7.1959889999999999E-2</v>
      </c>
    </row>
    <row r="307" spans="1:5" x14ac:dyDescent="0.25">
      <c r="A307">
        <v>52936</v>
      </c>
      <c r="B307" s="3">
        <v>43644</v>
      </c>
      <c r="C307">
        <v>6311</v>
      </c>
      <c r="D307" t="s">
        <v>34</v>
      </c>
      <c r="E307">
        <v>9.5012977999999998E-2</v>
      </c>
    </row>
    <row r="308" spans="1:5" x14ac:dyDescent="0.25">
      <c r="A308">
        <v>52936</v>
      </c>
      <c r="B308" s="3">
        <v>43677</v>
      </c>
      <c r="C308">
        <v>6311</v>
      </c>
      <c r="D308" t="s">
        <v>34</v>
      </c>
      <c r="E308">
        <v>-9.2640012999999993E-2</v>
      </c>
    </row>
    <row r="309" spans="1:5" x14ac:dyDescent="0.25">
      <c r="A309">
        <v>52936</v>
      </c>
      <c r="B309" s="3">
        <v>43707</v>
      </c>
      <c r="C309">
        <v>6311</v>
      </c>
      <c r="D309" t="s">
        <v>34</v>
      </c>
      <c r="E309">
        <v>-5.6603760000000003E-2</v>
      </c>
    </row>
    <row r="310" spans="1:5" x14ac:dyDescent="0.25">
      <c r="A310">
        <v>52936</v>
      </c>
      <c r="B310" s="3">
        <v>43738</v>
      </c>
      <c r="C310">
        <v>6311</v>
      </c>
      <c r="D310" t="s">
        <v>34</v>
      </c>
      <c r="E310">
        <v>5.6214973000000001E-2</v>
      </c>
    </row>
    <row r="311" spans="1:5" x14ac:dyDescent="0.25">
      <c r="A311">
        <v>52936</v>
      </c>
      <c r="B311" s="3">
        <v>43769</v>
      </c>
      <c r="C311">
        <v>6311</v>
      </c>
      <c r="D311" t="s">
        <v>34</v>
      </c>
      <c r="E311">
        <v>-0.13994272099999999</v>
      </c>
    </row>
    <row r="312" spans="1:5" x14ac:dyDescent="0.25">
      <c r="A312">
        <v>52936</v>
      </c>
      <c r="B312" s="3">
        <v>43798</v>
      </c>
      <c r="C312">
        <v>6311</v>
      </c>
      <c r="D312" t="s">
        <v>34</v>
      </c>
      <c r="E312">
        <v>1.9142699999999999E-2</v>
      </c>
    </row>
    <row r="313" spans="1:5" x14ac:dyDescent="0.25">
      <c r="A313">
        <v>52936</v>
      </c>
      <c r="B313" s="3">
        <v>43830</v>
      </c>
      <c r="C313">
        <v>6311</v>
      </c>
      <c r="D313" t="s">
        <v>34</v>
      </c>
      <c r="E313">
        <v>7.7582689999999999E-3</v>
      </c>
    </row>
    <row r="314" spans="1:5" x14ac:dyDescent="0.25">
      <c r="A314">
        <v>52936</v>
      </c>
      <c r="B314" s="3">
        <v>43861</v>
      </c>
      <c r="C314">
        <v>6311</v>
      </c>
      <c r="D314" t="s">
        <v>34</v>
      </c>
      <c r="E314">
        <v>7.3876590000000004E-3</v>
      </c>
    </row>
    <row r="315" spans="1:5" x14ac:dyDescent="0.25">
      <c r="A315">
        <v>52936</v>
      </c>
      <c r="B315" s="3">
        <v>43889</v>
      </c>
      <c r="C315">
        <v>6311</v>
      </c>
      <c r="D315" t="s">
        <v>34</v>
      </c>
      <c r="E315">
        <v>-0.117742896</v>
      </c>
    </row>
    <row r="316" spans="1:5" x14ac:dyDescent="0.25">
      <c r="A316">
        <v>52936</v>
      </c>
      <c r="B316" s="3">
        <v>43921</v>
      </c>
      <c r="C316">
        <v>6311</v>
      </c>
      <c r="D316" t="s">
        <v>34</v>
      </c>
      <c r="E316">
        <v>-4.5255139E-2</v>
      </c>
    </row>
    <row r="317" spans="1:5" x14ac:dyDescent="0.25">
      <c r="A317">
        <v>52936</v>
      </c>
      <c r="B317" s="3">
        <v>43951</v>
      </c>
      <c r="C317">
        <v>6311</v>
      </c>
      <c r="D317" t="s">
        <v>34</v>
      </c>
      <c r="E317">
        <v>5.8938569999999997E-3</v>
      </c>
    </row>
    <row r="318" spans="1:5" x14ac:dyDescent="0.25">
      <c r="A318">
        <v>52936</v>
      </c>
      <c r="B318" s="3">
        <v>43980</v>
      </c>
      <c r="C318">
        <v>6311</v>
      </c>
      <c r="D318" t="s">
        <v>34</v>
      </c>
      <c r="E318">
        <v>-1.7822253999999999E-2</v>
      </c>
    </row>
    <row r="319" spans="1:5" x14ac:dyDescent="0.25">
      <c r="A319">
        <v>52936</v>
      </c>
      <c r="B319" s="3">
        <v>44012</v>
      </c>
      <c r="C319">
        <v>6311</v>
      </c>
      <c r="D319" t="s">
        <v>34</v>
      </c>
      <c r="E319">
        <v>2.8585644E-2</v>
      </c>
    </row>
    <row r="320" spans="1:5" x14ac:dyDescent="0.25">
      <c r="A320">
        <v>52936</v>
      </c>
      <c r="B320" s="3">
        <v>44043</v>
      </c>
      <c r="C320">
        <v>6311</v>
      </c>
      <c r="D320" t="s">
        <v>34</v>
      </c>
      <c r="E320">
        <v>5.3006130999999998E-2</v>
      </c>
    </row>
    <row r="321" spans="1:5" x14ac:dyDescent="0.25">
      <c r="A321">
        <v>52936</v>
      </c>
      <c r="B321" s="3">
        <v>44074</v>
      </c>
      <c r="C321">
        <v>6311</v>
      </c>
      <c r="D321" t="s">
        <v>34</v>
      </c>
      <c r="E321">
        <v>4.2414348999999997E-2</v>
      </c>
    </row>
    <row r="322" spans="1:5" x14ac:dyDescent="0.25">
      <c r="A322">
        <v>52936</v>
      </c>
      <c r="B322" s="3">
        <v>44104</v>
      </c>
      <c r="C322">
        <v>6311</v>
      </c>
      <c r="D322" t="s">
        <v>34</v>
      </c>
      <c r="E322">
        <v>-6.1032876E-2</v>
      </c>
    </row>
    <row r="323" spans="1:5" x14ac:dyDescent="0.25">
      <c r="A323">
        <v>52936</v>
      </c>
      <c r="B323" s="3">
        <v>44134</v>
      </c>
      <c r="C323">
        <v>6311</v>
      </c>
      <c r="D323" t="s">
        <v>34</v>
      </c>
      <c r="E323">
        <v>-1.5953585999999999E-2</v>
      </c>
    </row>
    <row r="324" spans="1:5" x14ac:dyDescent="0.25">
      <c r="A324">
        <v>52936</v>
      </c>
      <c r="B324" s="3">
        <v>44165</v>
      </c>
      <c r="C324">
        <v>6311</v>
      </c>
      <c r="D324" t="s">
        <v>34</v>
      </c>
      <c r="E324">
        <v>9.2360653000000001E-2</v>
      </c>
    </row>
    <row r="325" spans="1:5" x14ac:dyDescent="0.25">
      <c r="A325">
        <v>52936</v>
      </c>
      <c r="B325" s="3">
        <v>44196</v>
      </c>
      <c r="C325">
        <v>6311</v>
      </c>
      <c r="D325" t="s">
        <v>34</v>
      </c>
      <c r="E325">
        <v>0.188272938</v>
      </c>
    </row>
    <row r="326" spans="1:5" x14ac:dyDescent="0.25">
      <c r="A326">
        <v>52936</v>
      </c>
      <c r="B326" s="3">
        <v>44225</v>
      </c>
      <c r="C326">
        <v>6311</v>
      </c>
      <c r="D326" t="s">
        <v>34</v>
      </c>
      <c r="E326">
        <v>1.5322720999999999E-2</v>
      </c>
    </row>
    <row r="327" spans="1:5" x14ac:dyDescent="0.25">
      <c r="A327">
        <v>52936</v>
      </c>
      <c r="B327" s="3">
        <v>44253</v>
      </c>
      <c r="C327">
        <v>6311</v>
      </c>
      <c r="D327" t="s">
        <v>34</v>
      </c>
      <c r="E327">
        <v>0.10167899</v>
      </c>
    </row>
    <row r="328" spans="1:5" x14ac:dyDescent="0.25">
      <c r="A328">
        <v>52936</v>
      </c>
      <c r="B328" s="3">
        <v>44286</v>
      </c>
      <c r="C328">
        <v>6331</v>
      </c>
      <c r="D328" t="s">
        <v>34</v>
      </c>
      <c r="E328">
        <v>5.2097600000000001E-2</v>
      </c>
    </row>
    <row r="329" spans="1:5" x14ac:dyDescent="0.25">
      <c r="A329">
        <v>52936</v>
      </c>
      <c r="B329" s="3">
        <v>44316</v>
      </c>
      <c r="C329">
        <v>6331</v>
      </c>
      <c r="D329" t="s">
        <v>34</v>
      </c>
      <c r="E329">
        <v>2.4009194000000001E-2</v>
      </c>
    </row>
    <row r="330" spans="1:5" x14ac:dyDescent="0.25">
      <c r="A330">
        <v>52936</v>
      </c>
      <c r="B330" s="3">
        <v>44344</v>
      </c>
      <c r="C330">
        <v>6331</v>
      </c>
      <c r="D330" t="s">
        <v>34</v>
      </c>
      <c r="E330">
        <v>2.1358568000000001E-2</v>
      </c>
    </row>
    <row r="331" spans="1:5" x14ac:dyDescent="0.25">
      <c r="A331">
        <v>52936</v>
      </c>
      <c r="B331" s="3">
        <v>44377</v>
      </c>
      <c r="C331">
        <v>6331</v>
      </c>
      <c r="D331" t="s">
        <v>34</v>
      </c>
      <c r="E331">
        <v>3.1171361000000002E-2</v>
      </c>
    </row>
    <row r="332" spans="1:5" x14ac:dyDescent="0.25">
      <c r="A332">
        <v>52936</v>
      </c>
      <c r="B332" s="3">
        <v>44407</v>
      </c>
      <c r="C332">
        <v>6331</v>
      </c>
      <c r="D332" t="s">
        <v>34</v>
      </c>
      <c r="E332">
        <v>-6.3433342000000004E-2</v>
      </c>
    </row>
    <row r="333" spans="1:5" x14ac:dyDescent="0.25">
      <c r="A333">
        <v>52936</v>
      </c>
      <c r="B333" s="3">
        <v>44439</v>
      </c>
      <c r="C333">
        <v>6331</v>
      </c>
      <c r="D333" t="s">
        <v>34</v>
      </c>
      <c r="E333">
        <v>-1.8412013000000001E-2</v>
      </c>
    </row>
    <row r="334" spans="1:5" x14ac:dyDescent="0.25">
      <c r="A334">
        <v>52936</v>
      </c>
      <c r="B334" s="3">
        <v>44469</v>
      </c>
      <c r="C334">
        <v>6331</v>
      </c>
      <c r="D334" t="s">
        <v>34</v>
      </c>
      <c r="E334">
        <v>-5.7067510000000002E-2</v>
      </c>
    </row>
    <row r="335" spans="1:5" x14ac:dyDescent="0.25">
      <c r="A335">
        <v>52936</v>
      </c>
      <c r="B335" s="3">
        <v>44498</v>
      </c>
      <c r="C335">
        <v>6331</v>
      </c>
      <c r="D335" t="s">
        <v>34</v>
      </c>
      <c r="E335">
        <v>-2.1196274000000001E-2</v>
      </c>
    </row>
    <row r="336" spans="1:5" x14ac:dyDescent="0.25">
      <c r="A336">
        <v>52936</v>
      </c>
      <c r="B336" s="3">
        <v>44530</v>
      </c>
      <c r="C336">
        <v>6331</v>
      </c>
      <c r="D336" t="s">
        <v>34</v>
      </c>
      <c r="E336">
        <v>-6.3681430999999997E-2</v>
      </c>
    </row>
    <row r="337" spans="1:5" x14ac:dyDescent="0.25">
      <c r="A337">
        <v>52936</v>
      </c>
      <c r="B337" s="3">
        <v>44561</v>
      </c>
      <c r="C337">
        <v>6331</v>
      </c>
      <c r="D337" t="s">
        <v>34</v>
      </c>
      <c r="E337">
        <v>5.2430435999999997E-2</v>
      </c>
    </row>
    <row r="338" spans="1:5" x14ac:dyDescent="0.25">
      <c r="A338">
        <v>52936</v>
      </c>
      <c r="B338" s="3">
        <v>44592</v>
      </c>
      <c r="C338">
        <v>6331</v>
      </c>
      <c r="D338" t="s">
        <v>34</v>
      </c>
      <c r="E338">
        <v>3.0154513000000001E-2</v>
      </c>
    </row>
    <row r="339" spans="1:5" x14ac:dyDescent="0.25">
      <c r="A339">
        <v>52936</v>
      </c>
      <c r="B339" s="3">
        <v>44620</v>
      </c>
      <c r="C339">
        <v>6331</v>
      </c>
      <c r="D339" t="s">
        <v>34</v>
      </c>
      <c r="E339">
        <v>6.2202739999999996E-3</v>
      </c>
    </row>
    <row r="340" spans="1:5" x14ac:dyDescent="0.25">
      <c r="A340">
        <v>52936</v>
      </c>
      <c r="B340" s="3">
        <v>44651</v>
      </c>
      <c r="C340">
        <v>6331</v>
      </c>
      <c r="D340" t="s">
        <v>34</v>
      </c>
      <c r="E340">
        <v>1.1545454E-2</v>
      </c>
    </row>
    <row r="341" spans="1:5" x14ac:dyDescent="0.25">
      <c r="A341">
        <v>52936</v>
      </c>
      <c r="B341" s="3">
        <v>44680</v>
      </c>
      <c r="C341">
        <v>6331</v>
      </c>
      <c r="D341" t="s">
        <v>34</v>
      </c>
      <c r="E341">
        <v>-8.3090900999999995E-2</v>
      </c>
    </row>
    <row r="342" spans="1:5" x14ac:dyDescent="0.25">
      <c r="A342">
        <v>52936</v>
      </c>
      <c r="B342" s="3">
        <v>44712</v>
      </c>
      <c r="C342">
        <v>6331</v>
      </c>
      <c r="D342" t="s">
        <v>34</v>
      </c>
      <c r="E342">
        <v>-2.9347600000000001E-2</v>
      </c>
    </row>
    <row r="343" spans="1:5" x14ac:dyDescent="0.25">
      <c r="A343">
        <v>52936</v>
      </c>
      <c r="B343" s="3">
        <v>44742</v>
      </c>
      <c r="C343">
        <v>6331</v>
      </c>
      <c r="D343" t="s">
        <v>34</v>
      </c>
      <c r="E343">
        <v>-8.2022502999999997E-2</v>
      </c>
    </row>
    <row r="344" spans="1:5" x14ac:dyDescent="0.25">
      <c r="A344">
        <v>52936</v>
      </c>
      <c r="B344" s="3">
        <v>44771</v>
      </c>
      <c r="C344">
        <v>6331</v>
      </c>
      <c r="D344" t="s">
        <v>34</v>
      </c>
      <c r="E344">
        <v>-5.3498849000000001E-2</v>
      </c>
    </row>
    <row r="345" spans="1:5" x14ac:dyDescent="0.25">
      <c r="A345">
        <v>52936</v>
      </c>
      <c r="B345" s="3">
        <v>44804</v>
      </c>
      <c r="C345">
        <v>6331</v>
      </c>
      <c r="D345" t="s">
        <v>34</v>
      </c>
      <c r="E345">
        <v>-0.239208221</v>
      </c>
    </row>
    <row r="346" spans="1:5" x14ac:dyDescent="0.25">
      <c r="A346">
        <v>52936</v>
      </c>
      <c r="B346" s="3">
        <v>44834</v>
      </c>
      <c r="C346">
        <v>6331</v>
      </c>
      <c r="D346" t="s">
        <v>34</v>
      </c>
      <c r="E346">
        <v>-9.9137917000000006E-2</v>
      </c>
    </row>
    <row r="347" spans="1:5" x14ac:dyDescent="0.25">
      <c r="A347">
        <v>52936</v>
      </c>
      <c r="B347" s="3">
        <v>44865</v>
      </c>
      <c r="C347">
        <v>6331</v>
      </c>
      <c r="D347" t="s">
        <v>34</v>
      </c>
      <c r="E347">
        <v>2.0408161000000001E-2</v>
      </c>
    </row>
    <row r="348" spans="1:5" x14ac:dyDescent="0.25">
      <c r="A348">
        <v>52936</v>
      </c>
      <c r="B348" s="3">
        <v>44895</v>
      </c>
      <c r="C348">
        <v>6331</v>
      </c>
      <c r="D348" t="s">
        <v>34</v>
      </c>
      <c r="E348">
        <v>0.251034439</v>
      </c>
    </row>
    <row r="349" spans="1:5" x14ac:dyDescent="0.25">
      <c r="A349">
        <v>52936</v>
      </c>
      <c r="B349" s="3">
        <v>44925</v>
      </c>
      <c r="C349">
        <v>6331</v>
      </c>
      <c r="D349" t="s">
        <v>34</v>
      </c>
      <c r="E349">
        <v>-4.8580430000000001E-2</v>
      </c>
    </row>
    <row r="350" spans="1:5" x14ac:dyDescent="0.25">
      <c r="A350">
        <v>52936</v>
      </c>
      <c r="B350" s="3">
        <v>44957</v>
      </c>
      <c r="C350">
        <v>6331</v>
      </c>
      <c r="D350" t="s">
        <v>34</v>
      </c>
      <c r="E350">
        <v>4.4736805999999997E-2</v>
      </c>
    </row>
    <row r="351" spans="1:5" x14ac:dyDescent="0.25">
      <c r="A351">
        <v>52936</v>
      </c>
      <c r="B351" s="3">
        <v>44985</v>
      </c>
      <c r="C351">
        <v>6331</v>
      </c>
      <c r="D351" t="s">
        <v>34</v>
      </c>
      <c r="E351">
        <v>-4.7019321000000003E-2</v>
      </c>
    </row>
    <row r="352" spans="1:5" x14ac:dyDescent="0.25">
      <c r="A352">
        <v>52936</v>
      </c>
      <c r="B352" s="3">
        <v>45016</v>
      </c>
      <c r="C352">
        <v>6331</v>
      </c>
      <c r="D352" t="s">
        <v>34</v>
      </c>
      <c r="E352">
        <v>-5.8516870999999998E-2</v>
      </c>
    </row>
    <row r="353" spans="1:5" x14ac:dyDescent="0.25">
      <c r="A353">
        <v>52936</v>
      </c>
      <c r="B353" s="3">
        <v>45044</v>
      </c>
      <c r="C353">
        <v>6331</v>
      </c>
      <c r="D353" t="s">
        <v>34</v>
      </c>
      <c r="E353">
        <v>-4.1902958999999997E-2</v>
      </c>
    </row>
    <row r="354" spans="1:5" x14ac:dyDescent="0.25">
      <c r="A354">
        <v>52936</v>
      </c>
      <c r="B354" s="3">
        <v>45077</v>
      </c>
      <c r="C354">
        <v>6331</v>
      </c>
      <c r="D354" t="s">
        <v>34</v>
      </c>
      <c r="E354">
        <v>-1.3153556E-2</v>
      </c>
    </row>
    <row r="355" spans="1:5" x14ac:dyDescent="0.25">
      <c r="A355">
        <v>52936</v>
      </c>
      <c r="B355" s="3">
        <v>45107</v>
      </c>
      <c r="C355">
        <v>6331</v>
      </c>
      <c r="D355" t="s">
        <v>34</v>
      </c>
      <c r="E355">
        <v>1.9243592E-2</v>
      </c>
    </row>
    <row r="356" spans="1:5" x14ac:dyDescent="0.25">
      <c r="A356">
        <v>52936</v>
      </c>
      <c r="B356" s="3">
        <v>45138</v>
      </c>
      <c r="C356">
        <v>6331</v>
      </c>
      <c r="D356" t="s">
        <v>34</v>
      </c>
      <c r="E356">
        <v>6.3098772999999997E-2</v>
      </c>
    </row>
    <row r="357" spans="1:5" x14ac:dyDescent="0.25">
      <c r="A357">
        <v>52936</v>
      </c>
      <c r="B357" s="3">
        <v>45169</v>
      </c>
      <c r="C357">
        <v>6331</v>
      </c>
      <c r="D357" t="s">
        <v>34</v>
      </c>
      <c r="E357">
        <v>-0.11093846</v>
      </c>
    </row>
    <row r="358" spans="1:5" x14ac:dyDescent="0.25">
      <c r="A358">
        <v>52936</v>
      </c>
      <c r="B358" s="3">
        <v>45198</v>
      </c>
      <c r="C358">
        <v>6331</v>
      </c>
      <c r="D358" t="s">
        <v>34</v>
      </c>
      <c r="E358">
        <v>-9.1751109999999997E-3</v>
      </c>
    </row>
    <row r="359" spans="1:5" x14ac:dyDescent="0.25">
      <c r="A359">
        <v>52936</v>
      </c>
      <c r="B359" s="3">
        <v>45230</v>
      </c>
      <c r="C359">
        <v>6331</v>
      </c>
      <c r="D359" t="s">
        <v>34</v>
      </c>
      <c r="E359">
        <v>0.101676717</v>
      </c>
    </row>
    <row r="360" spans="1:5" x14ac:dyDescent="0.25">
      <c r="A360">
        <v>52936</v>
      </c>
      <c r="B360" s="3">
        <v>45260</v>
      </c>
      <c r="C360">
        <v>6331</v>
      </c>
      <c r="D360" t="s">
        <v>34</v>
      </c>
      <c r="E360">
        <v>0.20628242199999999</v>
      </c>
    </row>
    <row r="361" spans="1:5" x14ac:dyDescent="0.25">
      <c r="A361">
        <v>52936</v>
      </c>
      <c r="B361" s="3">
        <v>45289</v>
      </c>
      <c r="C361">
        <v>6331</v>
      </c>
      <c r="D361" t="s">
        <v>34</v>
      </c>
      <c r="E361">
        <v>1.0134265E-2</v>
      </c>
    </row>
    <row r="362" spans="1:5" x14ac:dyDescent="0.25">
      <c r="A362">
        <v>76721</v>
      </c>
      <c r="B362" s="3">
        <v>43496</v>
      </c>
      <c r="C362">
        <v>6324</v>
      </c>
      <c r="D362" t="s">
        <v>29</v>
      </c>
      <c r="E362">
        <v>1.2151652000000001E-2</v>
      </c>
    </row>
    <row r="363" spans="1:5" x14ac:dyDescent="0.25">
      <c r="A363">
        <v>76721</v>
      </c>
      <c r="B363" s="3">
        <v>43524</v>
      </c>
      <c r="C363">
        <v>6324</v>
      </c>
      <c r="D363" t="s">
        <v>29</v>
      </c>
      <c r="E363">
        <v>7.7317141000000006E-2</v>
      </c>
    </row>
    <row r="364" spans="1:5" x14ac:dyDescent="0.25">
      <c r="A364">
        <v>76721</v>
      </c>
      <c r="B364" s="3">
        <v>43553</v>
      </c>
      <c r="C364">
        <v>6324</v>
      </c>
      <c r="D364" t="s">
        <v>29</v>
      </c>
      <c r="E364">
        <v>-3.0609286999999999E-2</v>
      </c>
    </row>
    <row r="365" spans="1:5" x14ac:dyDescent="0.25">
      <c r="A365">
        <v>76721</v>
      </c>
      <c r="B365" s="3">
        <v>43585</v>
      </c>
      <c r="C365">
        <v>6324</v>
      </c>
      <c r="D365" t="s">
        <v>29</v>
      </c>
      <c r="E365">
        <v>0.10055188800000001</v>
      </c>
    </row>
    <row r="366" spans="1:5" x14ac:dyDescent="0.25">
      <c r="A366">
        <v>76721</v>
      </c>
      <c r="B366" s="3">
        <v>43616</v>
      </c>
      <c r="C366">
        <v>6324</v>
      </c>
      <c r="D366" t="s">
        <v>29</v>
      </c>
      <c r="E366">
        <v>3.0362119999999999E-2</v>
      </c>
    </row>
    <row r="367" spans="1:5" x14ac:dyDescent="0.25">
      <c r="A367">
        <v>76721</v>
      </c>
      <c r="B367" s="3">
        <v>43644</v>
      </c>
      <c r="C367">
        <v>6324</v>
      </c>
      <c r="D367" t="s">
        <v>29</v>
      </c>
      <c r="E367">
        <v>0.17612865599999999</v>
      </c>
    </row>
    <row r="368" spans="1:5" x14ac:dyDescent="0.25">
      <c r="A368">
        <v>76721</v>
      </c>
      <c r="B368" s="3">
        <v>43677</v>
      </c>
      <c r="C368">
        <v>6324</v>
      </c>
      <c r="D368" t="s">
        <v>29</v>
      </c>
      <c r="E368">
        <v>-2.0802265E-2</v>
      </c>
    </row>
    <row r="369" spans="1:5" x14ac:dyDescent="0.25">
      <c r="A369">
        <v>76721</v>
      </c>
      <c r="B369" s="3">
        <v>43707</v>
      </c>
      <c r="C369">
        <v>6324</v>
      </c>
      <c r="D369" t="s">
        <v>29</v>
      </c>
      <c r="E369">
        <v>-1.1384902000000001E-2</v>
      </c>
    </row>
    <row r="370" spans="1:5" x14ac:dyDescent="0.25">
      <c r="A370">
        <v>76721</v>
      </c>
      <c r="B370" s="3">
        <v>43738</v>
      </c>
      <c r="C370">
        <v>6324</v>
      </c>
      <c r="D370" t="s">
        <v>29</v>
      </c>
      <c r="E370">
        <v>-0.1012704</v>
      </c>
    </row>
    <row r="371" spans="1:5" x14ac:dyDescent="0.25">
      <c r="A371">
        <v>76721</v>
      </c>
      <c r="B371" s="3">
        <v>43769</v>
      </c>
      <c r="C371">
        <v>6324</v>
      </c>
      <c r="D371" t="s">
        <v>29</v>
      </c>
      <c r="E371">
        <v>4.5178413000000001E-2</v>
      </c>
    </row>
    <row r="372" spans="1:5" x14ac:dyDescent="0.25">
      <c r="A372">
        <v>76721</v>
      </c>
      <c r="B372" s="3">
        <v>43798</v>
      </c>
      <c r="C372">
        <v>6324</v>
      </c>
      <c r="D372" t="s">
        <v>29</v>
      </c>
      <c r="E372">
        <v>4.2846299999999997E-2</v>
      </c>
    </row>
    <row r="373" spans="1:5" x14ac:dyDescent="0.25">
      <c r="A373">
        <v>76721</v>
      </c>
      <c r="B373" s="3">
        <v>43830</v>
      </c>
      <c r="C373">
        <v>6324</v>
      </c>
      <c r="D373" t="s">
        <v>29</v>
      </c>
      <c r="E373">
        <v>5.8780733000000002E-2</v>
      </c>
    </row>
    <row r="374" spans="1:5" x14ac:dyDescent="0.25">
      <c r="A374">
        <v>76721</v>
      </c>
      <c r="B374" s="3">
        <v>43861</v>
      </c>
      <c r="C374">
        <v>6324</v>
      </c>
      <c r="D374" t="s">
        <v>29</v>
      </c>
      <c r="E374">
        <v>4.8191379999999999E-2</v>
      </c>
    </row>
    <row r="375" spans="1:5" x14ac:dyDescent="0.25">
      <c r="A375">
        <v>76721</v>
      </c>
      <c r="B375" s="3">
        <v>43889</v>
      </c>
      <c r="C375">
        <v>6324</v>
      </c>
      <c r="D375" t="s">
        <v>29</v>
      </c>
      <c r="E375">
        <v>-0.24713331499999999</v>
      </c>
    </row>
    <row r="376" spans="1:5" x14ac:dyDescent="0.25">
      <c r="A376">
        <v>76721</v>
      </c>
      <c r="B376" s="3">
        <v>43921</v>
      </c>
      <c r="C376">
        <v>6324</v>
      </c>
      <c r="D376" t="s">
        <v>29</v>
      </c>
      <c r="E376">
        <v>-0.20931249900000001</v>
      </c>
    </row>
    <row r="377" spans="1:5" x14ac:dyDescent="0.25">
      <c r="A377">
        <v>76721</v>
      </c>
      <c r="B377" s="3">
        <v>43951</v>
      </c>
      <c r="C377">
        <v>6324</v>
      </c>
      <c r="D377" t="s">
        <v>29</v>
      </c>
      <c r="E377">
        <v>-3.3388365000000003E-2</v>
      </c>
    </row>
    <row r="378" spans="1:5" x14ac:dyDescent="0.25">
      <c r="A378">
        <v>76721</v>
      </c>
      <c r="B378" s="3">
        <v>43980</v>
      </c>
      <c r="C378">
        <v>6324</v>
      </c>
      <c r="D378" t="s">
        <v>29</v>
      </c>
      <c r="E378">
        <v>0.28847980499999998</v>
      </c>
    </row>
    <row r="379" spans="1:5" x14ac:dyDescent="0.25">
      <c r="A379">
        <v>76721</v>
      </c>
      <c r="B379" s="3">
        <v>44012</v>
      </c>
      <c r="C379">
        <v>6324</v>
      </c>
      <c r="D379" t="s">
        <v>29</v>
      </c>
      <c r="E379">
        <v>4.4189129000000001E-2</v>
      </c>
    </row>
    <row r="380" spans="1:5" x14ac:dyDescent="0.25">
      <c r="A380">
        <v>76721</v>
      </c>
      <c r="B380" s="3">
        <v>44043</v>
      </c>
      <c r="C380">
        <v>6324</v>
      </c>
      <c r="D380" t="s">
        <v>29</v>
      </c>
      <c r="E380">
        <v>0.12131469</v>
      </c>
    </row>
    <row r="381" spans="1:5" x14ac:dyDescent="0.25">
      <c r="A381">
        <v>76721</v>
      </c>
      <c r="B381" s="3">
        <v>44074</v>
      </c>
      <c r="C381">
        <v>6324</v>
      </c>
      <c r="D381" t="s">
        <v>29</v>
      </c>
      <c r="E381">
        <v>4.4408086999999999E-2</v>
      </c>
    </row>
    <row r="382" spans="1:5" x14ac:dyDescent="0.25">
      <c r="A382">
        <v>76721</v>
      </c>
      <c r="B382" s="3">
        <v>44104</v>
      </c>
      <c r="C382">
        <v>6324</v>
      </c>
      <c r="D382" t="s">
        <v>29</v>
      </c>
      <c r="E382">
        <v>2.9029194000000001E-2</v>
      </c>
    </row>
    <row r="383" spans="1:5" x14ac:dyDescent="0.25">
      <c r="A383">
        <v>76721</v>
      </c>
      <c r="B383" s="3">
        <v>44134</v>
      </c>
      <c r="C383">
        <v>6324</v>
      </c>
      <c r="D383" t="s">
        <v>29</v>
      </c>
      <c r="E383">
        <v>6.7774794999999999E-2</v>
      </c>
    </row>
    <row r="384" spans="1:5" x14ac:dyDescent="0.25">
      <c r="A384">
        <v>76721</v>
      </c>
      <c r="B384" s="3">
        <v>44165</v>
      </c>
      <c r="C384">
        <v>6324</v>
      </c>
      <c r="D384" t="s">
        <v>29</v>
      </c>
      <c r="E384">
        <v>-1.8307369E-2</v>
      </c>
    </row>
    <row r="385" spans="1:5" x14ac:dyDescent="0.25">
      <c r="A385">
        <v>76721</v>
      </c>
      <c r="B385" s="3">
        <v>44196</v>
      </c>
      <c r="C385">
        <v>6324</v>
      </c>
      <c r="D385" t="s">
        <v>29</v>
      </c>
      <c r="E385">
        <v>0.18369622499999999</v>
      </c>
    </row>
    <row r="386" spans="1:5" x14ac:dyDescent="0.25">
      <c r="A386">
        <v>76721</v>
      </c>
      <c r="B386" s="3">
        <v>44225</v>
      </c>
      <c r="C386">
        <v>6324</v>
      </c>
      <c r="D386" t="s">
        <v>29</v>
      </c>
      <c r="E386">
        <v>-6.7735851E-2</v>
      </c>
    </row>
    <row r="387" spans="1:5" x14ac:dyDescent="0.25">
      <c r="A387">
        <v>76721</v>
      </c>
      <c r="B387" s="3">
        <v>44253</v>
      </c>
      <c r="C387">
        <v>6324</v>
      </c>
      <c r="D387" t="s">
        <v>29</v>
      </c>
      <c r="E387">
        <v>2.7120020000000002E-2</v>
      </c>
    </row>
    <row r="388" spans="1:5" x14ac:dyDescent="0.25">
      <c r="A388">
        <v>76721</v>
      </c>
      <c r="B388" s="3">
        <v>44286</v>
      </c>
      <c r="C388">
        <v>6324</v>
      </c>
      <c r="D388" t="s">
        <v>29</v>
      </c>
      <c r="E388">
        <v>1.0738879999999999E-2</v>
      </c>
    </row>
    <row r="389" spans="1:5" x14ac:dyDescent="0.25">
      <c r="A389">
        <v>76721</v>
      </c>
      <c r="B389" s="3">
        <v>44316</v>
      </c>
      <c r="C389">
        <v>6324</v>
      </c>
      <c r="D389" t="s">
        <v>29</v>
      </c>
      <c r="E389">
        <v>0.140559569</v>
      </c>
    </row>
    <row r="390" spans="1:5" x14ac:dyDescent="0.25">
      <c r="A390">
        <v>76721</v>
      </c>
      <c r="B390" s="3">
        <v>44344</v>
      </c>
      <c r="C390">
        <v>6324</v>
      </c>
      <c r="D390" t="s">
        <v>29</v>
      </c>
      <c r="E390">
        <v>6.4866215000000005E-2</v>
      </c>
    </row>
    <row r="391" spans="1:5" x14ac:dyDescent="0.25">
      <c r="A391">
        <v>76721</v>
      </c>
      <c r="B391" s="3">
        <v>44377</v>
      </c>
      <c r="C391">
        <v>6324</v>
      </c>
      <c r="D391" t="s">
        <v>29</v>
      </c>
      <c r="E391">
        <v>7.7849157000000002E-2</v>
      </c>
    </row>
    <row r="392" spans="1:5" x14ac:dyDescent="0.25">
      <c r="A392">
        <v>76721</v>
      </c>
      <c r="B392" s="3">
        <v>44407</v>
      </c>
      <c r="C392">
        <v>6324</v>
      </c>
      <c r="D392" t="s">
        <v>29</v>
      </c>
      <c r="E392">
        <v>4.8548057999999998E-2</v>
      </c>
    </row>
    <row r="393" spans="1:5" x14ac:dyDescent="0.25">
      <c r="A393">
        <v>76721</v>
      </c>
      <c r="B393" s="3">
        <v>44439</v>
      </c>
      <c r="C393">
        <v>6324</v>
      </c>
      <c r="D393" t="s">
        <v>29</v>
      </c>
      <c r="E393">
        <v>0.170359239</v>
      </c>
    </row>
    <row r="394" spans="1:5" x14ac:dyDescent="0.25">
      <c r="A394">
        <v>76721</v>
      </c>
      <c r="B394" s="3">
        <v>44469</v>
      </c>
      <c r="C394">
        <v>6324</v>
      </c>
      <c r="D394" t="s">
        <v>29</v>
      </c>
      <c r="E394">
        <v>0.12990719100000001</v>
      </c>
    </row>
    <row r="395" spans="1:5" x14ac:dyDescent="0.25">
      <c r="A395">
        <v>76721</v>
      </c>
      <c r="B395" s="3">
        <v>44498</v>
      </c>
      <c r="C395">
        <v>6324</v>
      </c>
      <c r="D395" t="s">
        <v>29</v>
      </c>
      <c r="E395">
        <v>-1.6109977000000001E-2</v>
      </c>
    </row>
    <row r="396" spans="1:5" x14ac:dyDescent="0.25">
      <c r="A396">
        <v>76721</v>
      </c>
      <c r="B396" s="3">
        <v>44530</v>
      </c>
      <c r="C396">
        <v>6324</v>
      </c>
      <c r="D396" t="s">
        <v>29</v>
      </c>
      <c r="E396">
        <v>2.6088849000000001E-2</v>
      </c>
    </row>
    <row r="397" spans="1:5" x14ac:dyDescent="0.25">
      <c r="A397">
        <v>76721</v>
      </c>
      <c r="B397" s="3">
        <v>44561</v>
      </c>
      <c r="C397">
        <v>6324</v>
      </c>
      <c r="D397" t="s">
        <v>29</v>
      </c>
      <c r="E397">
        <v>0.106382981</v>
      </c>
    </row>
    <row r="398" spans="1:5" x14ac:dyDescent="0.25">
      <c r="A398">
        <v>76721</v>
      </c>
      <c r="B398" s="3">
        <v>44592</v>
      </c>
      <c r="C398">
        <v>6324</v>
      </c>
      <c r="D398" t="s">
        <v>29</v>
      </c>
      <c r="E398">
        <v>-0.15326926099999999</v>
      </c>
    </row>
    <row r="399" spans="1:5" x14ac:dyDescent="0.25">
      <c r="A399">
        <v>76721</v>
      </c>
      <c r="B399" s="3">
        <v>44620</v>
      </c>
      <c r="C399">
        <v>6324</v>
      </c>
      <c r="D399" t="s">
        <v>29</v>
      </c>
      <c r="E399">
        <v>-9.6865766000000006E-2</v>
      </c>
    </row>
    <row r="400" spans="1:5" x14ac:dyDescent="0.25">
      <c r="A400">
        <v>76721</v>
      </c>
      <c r="B400" s="3">
        <v>44651</v>
      </c>
      <c r="C400">
        <v>6324</v>
      </c>
      <c r="D400" t="s">
        <v>29</v>
      </c>
      <c r="E400">
        <v>5.8971491000000001E-2</v>
      </c>
    </row>
    <row r="401" spans="1:5" x14ac:dyDescent="0.25">
      <c r="A401">
        <v>76721</v>
      </c>
      <c r="B401" s="3">
        <v>44680</v>
      </c>
      <c r="C401">
        <v>6324</v>
      </c>
      <c r="D401" t="s">
        <v>29</v>
      </c>
      <c r="E401">
        <v>-7.9316079999999997E-2</v>
      </c>
    </row>
    <row r="402" spans="1:5" x14ac:dyDescent="0.25">
      <c r="A402">
        <v>76721</v>
      </c>
      <c r="B402" s="3">
        <v>44712</v>
      </c>
      <c r="C402">
        <v>6324</v>
      </c>
      <c r="D402" t="s">
        <v>29</v>
      </c>
      <c r="E402">
        <v>-3.8173831999999998E-2</v>
      </c>
    </row>
    <row r="403" spans="1:5" x14ac:dyDescent="0.25">
      <c r="A403">
        <v>76721</v>
      </c>
      <c r="B403" s="3">
        <v>44742</v>
      </c>
      <c r="C403">
        <v>6324</v>
      </c>
      <c r="D403" t="s">
        <v>29</v>
      </c>
      <c r="E403">
        <v>-1.2670953E-2</v>
      </c>
    </row>
    <row r="404" spans="1:5" x14ac:dyDescent="0.25">
      <c r="A404">
        <v>76721</v>
      </c>
      <c r="B404" s="3">
        <v>44771</v>
      </c>
      <c r="C404">
        <v>6324</v>
      </c>
      <c r="D404" t="s">
        <v>29</v>
      </c>
      <c r="E404">
        <v>0.119644158</v>
      </c>
    </row>
    <row r="405" spans="1:5" x14ac:dyDescent="0.25">
      <c r="A405">
        <v>76721</v>
      </c>
      <c r="B405" s="3">
        <v>44804</v>
      </c>
      <c r="C405">
        <v>6324</v>
      </c>
      <c r="D405" t="s">
        <v>29</v>
      </c>
      <c r="E405">
        <v>-5.7674780000000002E-2</v>
      </c>
    </row>
    <row r="406" spans="1:5" x14ac:dyDescent="0.25">
      <c r="A406">
        <v>76721</v>
      </c>
      <c r="B406" s="3">
        <v>44834</v>
      </c>
      <c r="C406">
        <v>6324</v>
      </c>
      <c r="D406" t="s">
        <v>29</v>
      </c>
      <c r="E406">
        <v>-0.109087475</v>
      </c>
    </row>
    <row r="407" spans="1:5" x14ac:dyDescent="0.25">
      <c r="A407">
        <v>76721</v>
      </c>
      <c r="B407" s="3">
        <v>44865</v>
      </c>
      <c r="C407">
        <v>6324</v>
      </c>
      <c r="D407" t="s">
        <v>29</v>
      </c>
      <c r="E407">
        <v>0.18623141900000001</v>
      </c>
    </row>
    <row r="408" spans="1:5" x14ac:dyDescent="0.25">
      <c r="A408">
        <v>76721</v>
      </c>
      <c r="B408" s="3">
        <v>44895</v>
      </c>
      <c r="C408">
        <v>6324</v>
      </c>
      <c r="D408" t="s">
        <v>29</v>
      </c>
      <c r="E408">
        <v>-6.8448967999999999E-2</v>
      </c>
    </row>
    <row r="409" spans="1:5" x14ac:dyDescent="0.25">
      <c r="A409">
        <v>76721</v>
      </c>
      <c r="B409" s="3">
        <v>44925</v>
      </c>
      <c r="C409">
        <v>6324</v>
      </c>
      <c r="D409" t="s">
        <v>29</v>
      </c>
      <c r="E409">
        <v>-4.9944430999999997E-2</v>
      </c>
    </row>
    <row r="410" spans="1:5" x14ac:dyDescent="0.25">
      <c r="A410">
        <v>76721</v>
      </c>
      <c r="B410" s="3">
        <v>44957</v>
      </c>
      <c r="C410">
        <v>6324</v>
      </c>
      <c r="D410" t="s">
        <v>29</v>
      </c>
      <c r="E410">
        <v>0.22589968099999999</v>
      </c>
    </row>
    <row r="411" spans="1:5" x14ac:dyDescent="0.25">
      <c r="A411">
        <v>76721</v>
      </c>
      <c r="B411" s="3">
        <v>44985</v>
      </c>
      <c r="C411">
        <v>6324</v>
      </c>
      <c r="D411" t="s">
        <v>29</v>
      </c>
      <c r="E411">
        <v>1.1899388E-2</v>
      </c>
    </row>
    <row r="412" spans="1:5" x14ac:dyDescent="0.25">
      <c r="A412">
        <v>76721</v>
      </c>
      <c r="B412" s="3">
        <v>45016</v>
      </c>
      <c r="C412">
        <v>6324</v>
      </c>
      <c r="D412" t="s">
        <v>29</v>
      </c>
      <c r="E412">
        <v>5.5469271000000001E-2</v>
      </c>
    </row>
    <row r="413" spans="1:5" x14ac:dyDescent="0.25">
      <c r="A413">
        <v>76721</v>
      </c>
      <c r="B413" s="3">
        <v>45044</v>
      </c>
      <c r="C413">
        <v>6324</v>
      </c>
      <c r="D413" t="s">
        <v>29</v>
      </c>
      <c r="E413">
        <v>6.1751105000000001E-2</v>
      </c>
    </row>
    <row r="414" spans="1:5" x14ac:dyDescent="0.25">
      <c r="A414">
        <v>76721</v>
      </c>
      <c r="B414" s="3">
        <v>45077</v>
      </c>
      <c r="C414">
        <v>6324</v>
      </c>
      <c r="D414" t="s">
        <v>29</v>
      </c>
      <c r="E414">
        <v>-3.2618899E-2</v>
      </c>
    </row>
    <row r="415" spans="1:5" x14ac:dyDescent="0.25">
      <c r="A415">
        <v>76721</v>
      </c>
      <c r="B415" s="3">
        <v>45107</v>
      </c>
      <c r="C415">
        <v>6324</v>
      </c>
      <c r="D415" t="s">
        <v>29</v>
      </c>
      <c r="E415">
        <v>-9.9263319999999995E-3</v>
      </c>
    </row>
    <row r="416" spans="1:5" x14ac:dyDescent="0.25">
      <c r="A416">
        <v>76721</v>
      </c>
      <c r="B416" s="3">
        <v>45138</v>
      </c>
      <c r="C416">
        <v>6324</v>
      </c>
      <c r="D416" t="s">
        <v>29</v>
      </c>
      <c r="E416">
        <v>5.7157609999999998E-2</v>
      </c>
    </row>
    <row r="417" spans="1:5" x14ac:dyDescent="0.25">
      <c r="A417">
        <v>76721</v>
      </c>
      <c r="B417" s="3">
        <v>45169</v>
      </c>
      <c r="C417">
        <v>6324</v>
      </c>
      <c r="D417" t="s">
        <v>29</v>
      </c>
      <c r="E417">
        <v>5.8124755E-2</v>
      </c>
    </row>
    <row r="418" spans="1:5" x14ac:dyDescent="0.25">
      <c r="A418">
        <v>76721</v>
      </c>
      <c r="B418" s="3">
        <v>45198</v>
      </c>
      <c r="C418">
        <v>6324</v>
      </c>
      <c r="D418" t="s">
        <v>29</v>
      </c>
      <c r="E418">
        <v>-9.1476105000000002E-2</v>
      </c>
    </row>
    <row r="419" spans="1:5" x14ac:dyDescent="0.25">
      <c r="A419">
        <v>76721</v>
      </c>
      <c r="B419" s="3">
        <v>45230</v>
      </c>
      <c r="C419">
        <v>6324</v>
      </c>
      <c r="D419" t="s">
        <v>29</v>
      </c>
      <c r="E419">
        <v>-1.3780786E-2</v>
      </c>
    </row>
    <row r="420" spans="1:5" x14ac:dyDescent="0.25">
      <c r="A420">
        <v>76721</v>
      </c>
      <c r="B420" s="3">
        <v>45260</v>
      </c>
      <c r="C420">
        <v>6324</v>
      </c>
      <c r="D420" t="s">
        <v>29</v>
      </c>
      <c r="E420">
        <v>7.6930999999999999E-2</v>
      </c>
    </row>
    <row r="421" spans="1:5" x14ac:dyDescent="0.25">
      <c r="A421">
        <v>76721</v>
      </c>
      <c r="B421" s="3">
        <v>45289</v>
      </c>
      <c r="C421">
        <v>6324</v>
      </c>
      <c r="D421" t="s">
        <v>29</v>
      </c>
      <c r="E421">
        <v>0.183615848</v>
      </c>
    </row>
    <row r="422" spans="1:5" x14ac:dyDescent="0.25">
      <c r="A422">
        <v>76868</v>
      </c>
      <c r="B422" s="3">
        <v>43496</v>
      </c>
      <c r="C422">
        <v>3580</v>
      </c>
      <c r="D422" t="s">
        <v>30</v>
      </c>
      <c r="E422">
        <v>5.3622283E-2</v>
      </c>
    </row>
    <row r="423" spans="1:5" x14ac:dyDescent="0.25">
      <c r="A423">
        <v>76868</v>
      </c>
      <c r="B423" s="3">
        <v>43524</v>
      </c>
      <c r="C423">
        <v>3580</v>
      </c>
      <c r="D423" t="s">
        <v>30</v>
      </c>
      <c r="E423">
        <v>7.9047158000000006E-2</v>
      </c>
    </row>
    <row r="424" spans="1:5" x14ac:dyDescent="0.25">
      <c r="A424">
        <v>76868</v>
      </c>
      <c r="B424" s="3">
        <v>43553</v>
      </c>
      <c r="C424">
        <v>3580</v>
      </c>
      <c r="D424" t="s">
        <v>30</v>
      </c>
      <c r="E424">
        <v>0.15855492700000001</v>
      </c>
    </row>
    <row r="425" spans="1:5" x14ac:dyDescent="0.25">
      <c r="A425">
        <v>76868</v>
      </c>
      <c r="B425" s="3">
        <v>43585</v>
      </c>
      <c r="C425">
        <v>3580</v>
      </c>
      <c r="D425" t="s">
        <v>30</v>
      </c>
      <c r="E425">
        <v>8.7267189999999994E-2</v>
      </c>
    </row>
    <row r="426" spans="1:5" x14ac:dyDescent="0.25">
      <c r="A426">
        <v>76868</v>
      </c>
      <c r="B426" s="3">
        <v>43616</v>
      </c>
      <c r="C426">
        <v>3580</v>
      </c>
      <c r="D426" t="s">
        <v>30</v>
      </c>
      <c r="E426">
        <v>-9.2810191E-2</v>
      </c>
    </row>
    <row r="427" spans="1:5" x14ac:dyDescent="0.25">
      <c r="A427">
        <v>76868</v>
      </c>
      <c r="B427" s="3">
        <v>43644</v>
      </c>
      <c r="C427">
        <v>3580</v>
      </c>
      <c r="D427" t="s">
        <v>30</v>
      </c>
      <c r="E427">
        <v>0.105529875</v>
      </c>
    </row>
    <row r="428" spans="1:5" x14ac:dyDescent="0.25">
      <c r="A428">
        <v>76868</v>
      </c>
      <c r="B428" s="3">
        <v>43677</v>
      </c>
      <c r="C428">
        <v>3580</v>
      </c>
      <c r="D428" t="s">
        <v>30</v>
      </c>
      <c r="E428">
        <v>1.2355499000000001E-2</v>
      </c>
    </row>
    <row r="429" spans="1:5" x14ac:dyDescent="0.25">
      <c r="A429">
        <v>76868</v>
      </c>
      <c r="B429" s="3">
        <v>43707</v>
      </c>
      <c r="C429">
        <v>3580</v>
      </c>
      <c r="D429" t="s">
        <v>30</v>
      </c>
      <c r="E429">
        <v>-5.5708623999999998E-2</v>
      </c>
    </row>
    <row r="430" spans="1:5" x14ac:dyDescent="0.25">
      <c r="A430">
        <v>76868</v>
      </c>
      <c r="B430" s="3">
        <v>43738</v>
      </c>
      <c r="C430">
        <v>3580</v>
      </c>
      <c r="D430" t="s">
        <v>30</v>
      </c>
      <c r="E430">
        <v>-4.2318169000000003E-2</v>
      </c>
    </row>
    <row r="431" spans="1:5" x14ac:dyDescent="0.25">
      <c r="A431">
        <v>76868</v>
      </c>
      <c r="B431" s="3">
        <v>43769</v>
      </c>
      <c r="C431">
        <v>3580</v>
      </c>
      <c r="D431" t="s">
        <v>30</v>
      </c>
      <c r="E431">
        <v>5.9207689000000001E-2</v>
      </c>
    </row>
    <row r="432" spans="1:5" x14ac:dyDescent="0.25">
      <c r="A432">
        <v>76868</v>
      </c>
      <c r="B432" s="3">
        <v>43798</v>
      </c>
      <c r="C432">
        <v>3580</v>
      </c>
      <c r="D432" t="s">
        <v>30</v>
      </c>
      <c r="E432">
        <v>1.7879143E-2</v>
      </c>
    </row>
    <row r="433" spans="1:5" x14ac:dyDescent="0.25">
      <c r="A433">
        <v>76868</v>
      </c>
      <c r="B433" s="3">
        <v>43830</v>
      </c>
      <c r="C433">
        <v>3580</v>
      </c>
      <c r="D433" t="s">
        <v>30</v>
      </c>
      <c r="E433">
        <v>8.1022699999999995E-4</v>
      </c>
    </row>
    <row r="434" spans="1:5" x14ac:dyDescent="0.25">
      <c r="A434">
        <v>76868</v>
      </c>
      <c r="B434" s="3">
        <v>43861</v>
      </c>
      <c r="C434">
        <v>3580</v>
      </c>
      <c r="D434" t="s">
        <v>30</v>
      </c>
      <c r="E434">
        <v>6.1323594000000002E-2</v>
      </c>
    </row>
    <row r="435" spans="1:5" x14ac:dyDescent="0.25">
      <c r="A435">
        <v>76868</v>
      </c>
      <c r="B435" s="3">
        <v>43889</v>
      </c>
      <c r="C435">
        <v>3580</v>
      </c>
      <c r="D435" t="s">
        <v>30</v>
      </c>
      <c r="E435">
        <v>4.9008384000000002E-2</v>
      </c>
    </row>
    <row r="436" spans="1:5" x14ac:dyDescent="0.25">
      <c r="A436">
        <v>76868</v>
      </c>
      <c r="B436" s="3">
        <v>43921</v>
      </c>
      <c r="C436">
        <v>3580</v>
      </c>
      <c r="D436" t="s">
        <v>30</v>
      </c>
      <c r="E436">
        <v>-0.121614233</v>
      </c>
    </row>
    <row r="437" spans="1:5" x14ac:dyDescent="0.25">
      <c r="A437">
        <v>76868</v>
      </c>
      <c r="B437" s="3">
        <v>43951</v>
      </c>
      <c r="C437">
        <v>3580</v>
      </c>
      <c r="D437" t="s">
        <v>30</v>
      </c>
      <c r="E437">
        <v>-1.4072853999999999E-2</v>
      </c>
    </row>
    <row r="438" spans="1:5" x14ac:dyDescent="0.25">
      <c r="A438">
        <v>76868</v>
      </c>
      <c r="B438" s="3">
        <v>43980</v>
      </c>
      <c r="C438">
        <v>3580</v>
      </c>
      <c r="D438" t="s">
        <v>30</v>
      </c>
      <c r="E438">
        <v>0.137069672</v>
      </c>
    </row>
    <row r="439" spans="1:5" x14ac:dyDescent="0.25">
      <c r="A439">
        <v>76868</v>
      </c>
      <c r="B439" s="3">
        <v>44012</v>
      </c>
      <c r="C439">
        <v>3580</v>
      </c>
      <c r="D439" t="s">
        <v>30</v>
      </c>
      <c r="E439">
        <v>5.7227759999999997E-3</v>
      </c>
    </row>
    <row r="440" spans="1:5" x14ac:dyDescent="0.25">
      <c r="A440">
        <v>76868</v>
      </c>
      <c r="B440" s="3">
        <v>44043</v>
      </c>
      <c r="C440">
        <v>3580</v>
      </c>
      <c r="D440" t="s">
        <v>30</v>
      </c>
      <c r="E440">
        <v>9.1361186999999996E-2</v>
      </c>
    </row>
    <row r="441" spans="1:5" x14ac:dyDescent="0.25">
      <c r="A441">
        <v>76868</v>
      </c>
      <c r="B441" s="3">
        <v>44074</v>
      </c>
      <c r="C441">
        <v>3580</v>
      </c>
      <c r="D441" t="s">
        <v>30</v>
      </c>
      <c r="E441">
        <v>-3.9156112999999999E-2</v>
      </c>
    </row>
    <row r="442" spans="1:5" x14ac:dyDescent="0.25">
      <c r="A442">
        <v>76868</v>
      </c>
      <c r="B442" s="3">
        <v>44104</v>
      </c>
      <c r="C442">
        <v>3580</v>
      </c>
      <c r="D442" t="s">
        <v>30</v>
      </c>
      <c r="E442">
        <v>5.8317225E-2</v>
      </c>
    </row>
    <row r="443" spans="1:5" x14ac:dyDescent="0.25">
      <c r="A443">
        <v>76868</v>
      </c>
      <c r="B443" s="3">
        <v>44134</v>
      </c>
      <c r="C443">
        <v>3580</v>
      </c>
      <c r="D443" t="s">
        <v>30</v>
      </c>
      <c r="E443">
        <v>-3.0539421000000001E-2</v>
      </c>
    </row>
    <row r="444" spans="1:5" x14ac:dyDescent="0.25">
      <c r="A444">
        <v>76868</v>
      </c>
      <c r="B444" s="3">
        <v>44165</v>
      </c>
      <c r="C444">
        <v>3580</v>
      </c>
      <c r="D444" t="s">
        <v>30</v>
      </c>
      <c r="E444">
        <v>0.118301615</v>
      </c>
    </row>
    <row r="445" spans="1:5" x14ac:dyDescent="0.25">
      <c r="A445">
        <v>76868</v>
      </c>
      <c r="B445" s="3">
        <v>44196</v>
      </c>
      <c r="C445">
        <v>3580</v>
      </c>
      <c r="D445" t="s">
        <v>30</v>
      </c>
      <c r="E445">
        <v>2.3030861999999999E-2</v>
      </c>
    </row>
    <row r="446" spans="1:5" x14ac:dyDescent="0.25">
      <c r="A446">
        <v>76868</v>
      </c>
      <c r="B446" s="3">
        <v>44225</v>
      </c>
      <c r="C446">
        <v>3580</v>
      </c>
      <c r="D446" t="s">
        <v>30</v>
      </c>
      <c r="E446">
        <v>0.11061087999999999</v>
      </c>
    </row>
    <row r="447" spans="1:5" x14ac:dyDescent="0.25">
      <c r="A447">
        <v>76868</v>
      </c>
      <c r="B447" s="3">
        <v>44253</v>
      </c>
      <c r="C447">
        <v>3580</v>
      </c>
      <c r="D447" t="s">
        <v>30</v>
      </c>
      <c r="E447">
        <v>4.1891873000000003E-2</v>
      </c>
    </row>
    <row r="448" spans="1:5" x14ac:dyDescent="0.25">
      <c r="A448">
        <v>76868</v>
      </c>
      <c r="B448" s="3">
        <v>44286</v>
      </c>
      <c r="C448">
        <v>3580</v>
      </c>
      <c r="D448" t="s">
        <v>30</v>
      </c>
      <c r="E448">
        <v>-9.1958447999999998E-2</v>
      </c>
    </row>
    <row r="449" spans="1:5" x14ac:dyDescent="0.25">
      <c r="A449">
        <v>76868</v>
      </c>
      <c r="B449" s="3">
        <v>44316</v>
      </c>
      <c r="C449">
        <v>3580</v>
      </c>
      <c r="D449" t="s">
        <v>30</v>
      </c>
      <c r="E449">
        <v>-6.5704874999999996E-2</v>
      </c>
    </row>
    <row r="450" spans="1:5" x14ac:dyDescent="0.25">
      <c r="A450">
        <v>76868</v>
      </c>
      <c r="B450" s="3">
        <v>44344</v>
      </c>
      <c r="C450">
        <v>3580</v>
      </c>
      <c r="D450" t="s">
        <v>30</v>
      </c>
      <c r="E450">
        <v>1.2842016E-2</v>
      </c>
    </row>
    <row r="451" spans="1:5" x14ac:dyDescent="0.25">
      <c r="A451">
        <v>76868</v>
      </c>
      <c r="B451" s="3">
        <v>44377</v>
      </c>
      <c r="C451">
        <v>3580</v>
      </c>
      <c r="D451" t="s">
        <v>30</v>
      </c>
      <c r="E451">
        <v>-5.2377357999999999E-2</v>
      </c>
    </row>
    <row r="452" spans="1:5" x14ac:dyDescent="0.25">
      <c r="A452">
        <v>76868</v>
      </c>
      <c r="B452" s="3">
        <v>44407</v>
      </c>
      <c r="C452">
        <v>3580</v>
      </c>
      <c r="D452" t="s">
        <v>30</v>
      </c>
      <c r="E452">
        <v>-7.0298549999999998E-3</v>
      </c>
    </row>
    <row r="453" spans="1:5" x14ac:dyDescent="0.25">
      <c r="A453">
        <v>76868</v>
      </c>
      <c r="B453" s="3">
        <v>44439</v>
      </c>
      <c r="C453">
        <v>3580</v>
      </c>
      <c r="D453" t="s">
        <v>30</v>
      </c>
      <c r="E453">
        <v>9.5897003999999994E-2</v>
      </c>
    </row>
    <row r="454" spans="1:5" x14ac:dyDescent="0.25">
      <c r="A454">
        <v>76868</v>
      </c>
      <c r="B454" s="3">
        <v>44469</v>
      </c>
      <c r="C454">
        <v>3580</v>
      </c>
      <c r="D454" t="s">
        <v>30</v>
      </c>
      <c r="E454">
        <v>-4.0669568000000003E-2</v>
      </c>
    </row>
    <row r="455" spans="1:5" x14ac:dyDescent="0.25">
      <c r="A455">
        <v>76868</v>
      </c>
      <c r="B455" s="3">
        <v>44498</v>
      </c>
      <c r="C455">
        <v>3580</v>
      </c>
      <c r="D455" t="s">
        <v>30</v>
      </c>
      <c r="E455">
        <v>9.6571862999999994E-2</v>
      </c>
    </row>
    <row r="456" spans="1:5" x14ac:dyDescent="0.25">
      <c r="A456">
        <v>76868</v>
      </c>
      <c r="B456" s="3">
        <v>44530</v>
      </c>
      <c r="C456">
        <v>3580</v>
      </c>
      <c r="D456" t="s">
        <v>30</v>
      </c>
      <c r="E456">
        <v>9.1277018000000001E-2</v>
      </c>
    </row>
    <row r="457" spans="1:5" x14ac:dyDescent="0.25">
      <c r="A457">
        <v>76868</v>
      </c>
      <c r="B457" s="3">
        <v>44561</v>
      </c>
      <c r="C457">
        <v>3580</v>
      </c>
      <c r="D457" t="s">
        <v>30</v>
      </c>
      <c r="E457">
        <v>1.8333335999999999E-2</v>
      </c>
    </row>
    <row r="458" spans="1:5" x14ac:dyDescent="0.25">
      <c r="A458">
        <v>76868</v>
      </c>
      <c r="B458" s="3">
        <v>44592</v>
      </c>
      <c r="C458">
        <v>3580</v>
      </c>
      <c r="D458" t="s">
        <v>30</v>
      </c>
      <c r="E458">
        <v>-0.19111166900000001</v>
      </c>
    </row>
    <row r="459" spans="1:5" x14ac:dyDescent="0.25">
      <c r="A459">
        <v>76868</v>
      </c>
      <c r="B459" s="3">
        <v>44620</v>
      </c>
      <c r="C459">
        <v>3580</v>
      </c>
      <c r="D459" t="s">
        <v>30</v>
      </c>
      <c r="E459">
        <v>-8.8560290999999999E-2</v>
      </c>
    </row>
    <row r="460" spans="1:5" x14ac:dyDescent="0.25">
      <c r="A460">
        <v>76868</v>
      </c>
      <c r="B460" s="3">
        <v>44651</v>
      </c>
      <c r="C460">
        <v>3580</v>
      </c>
      <c r="D460" t="s">
        <v>30</v>
      </c>
      <c r="E460">
        <v>-4.8326532999999998E-2</v>
      </c>
    </row>
    <row r="461" spans="1:5" x14ac:dyDescent="0.25">
      <c r="A461">
        <v>76868</v>
      </c>
      <c r="B461" s="3">
        <v>44680</v>
      </c>
      <c r="C461">
        <v>3580</v>
      </c>
      <c r="D461" t="s">
        <v>30</v>
      </c>
      <c r="E461">
        <v>-0.125426129</v>
      </c>
    </row>
    <row r="462" spans="1:5" x14ac:dyDescent="0.25">
      <c r="A462">
        <v>76868</v>
      </c>
      <c r="B462" s="3">
        <v>44712</v>
      </c>
      <c r="C462">
        <v>3580</v>
      </c>
      <c r="D462" t="s">
        <v>30</v>
      </c>
      <c r="E462">
        <v>9.9302419000000003E-2</v>
      </c>
    </row>
    <row r="463" spans="1:5" x14ac:dyDescent="0.25">
      <c r="A463">
        <v>76868</v>
      </c>
      <c r="B463" s="3">
        <v>44742</v>
      </c>
      <c r="C463">
        <v>3580</v>
      </c>
      <c r="D463" t="s">
        <v>30</v>
      </c>
      <c r="E463">
        <v>2.5569175999999999E-2</v>
      </c>
    </row>
    <row r="464" spans="1:5" x14ac:dyDescent="0.25">
      <c r="A464">
        <v>76868</v>
      </c>
      <c r="B464" s="3">
        <v>44771</v>
      </c>
      <c r="C464">
        <v>3580</v>
      </c>
      <c r="D464" t="s">
        <v>30</v>
      </c>
      <c r="E464">
        <v>9.8794743000000004E-2</v>
      </c>
    </row>
    <row r="465" spans="1:5" x14ac:dyDescent="0.25">
      <c r="A465">
        <v>76868</v>
      </c>
      <c r="B465" s="3">
        <v>44804</v>
      </c>
      <c r="C465">
        <v>3580</v>
      </c>
      <c r="D465" t="s">
        <v>30</v>
      </c>
      <c r="E465">
        <v>-4.4706642999999997E-2</v>
      </c>
    </row>
    <row r="466" spans="1:5" x14ac:dyDescent="0.25">
      <c r="A466">
        <v>76868</v>
      </c>
      <c r="B466" s="3">
        <v>44834</v>
      </c>
      <c r="C466">
        <v>3580</v>
      </c>
      <c r="D466" t="s">
        <v>30</v>
      </c>
      <c r="E466">
        <v>-6.2630452000000003E-2</v>
      </c>
    </row>
    <row r="467" spans="1:5" x14ac:dyDescent="0.25">
      <c r="A467">
        <v>76868</v>
      </c>
      <c r="B467" s="3">
        <v>44865</v>
      </c>
      <c r="C467">
        <v>3580</v>
      </c>
      <c r="D467" t="s">
        <v>30</v>
      </c>
      <c r="E467">
        <v>0.19691900900000001</v>
      </c>
    </row>
    <row r="468" spans="1:5" x14ac:dyDescent="0.25">
      <c r="A468">
        <v>76868</v>
      </c>
      <c r="B468" s="3">
        <v>44895</v>
      </c>
      <c r="C468">
        <v>3580</v>
      </c>
      <c r="D468" t="s">
        <v>30</v>
      </c>
      <c r="E468">
        <v>0.232749343</v>
      </c>
    </row>
    <row r="469" spans="1:5" x14ac:dyDescent="0.25">
      <c r="A469">
        <v>76868</v>
      </c>
      <c r="B469" s="3">
        <v>44925</v>
      </c>
      <c r="C469">
        <v>3580</v>
      </c>
      <c r="D469" t="s">
        <v>30</v>
      </c>
      <c r="E469">
        <v>-4.9709845000000003E-2</v>
      </c>
    </row>
    <row r="470" spans="1:5" x14ac:dyDescent="0.25">
      <c r="A470">
        <v>76868</v>
      </c>
      <c r="B470" s="3">
        <v>44957</v>
      </c>
      <c r="C470">
        <v>3580</v>
      </c>
      <c r="D470" t="s">
        <v>30</v>
      </c>
      <c r="E470">
        <v>1.3276685999999999E-2</v>
      </c>
    </row>
    <row r="471" spans="1:5" x14ac:dyDescent="0.25">
      <c r="A471">
        <v>76868</v>
      </c>
      <c r="B471" s="3">
        <v>44985</v>
      </c>
      <c r="C471">
        <v>3580</v>
      </c>
      <c r="D471" t="s">
        <v>30</v>
      </c>
      <c r="E471">
        <v>0.191823885</v>
      </c>
    </row>
    <row r="472" spans="1:5" x14ac:dyDescent="0.25">
      <c r="A472">
        <v>76868</v>
      </c>
      <c r="B472" s="3">
        <v>45016</v>
      </c>
      <c r="C472">
        <v>3580</v>
      </c>
      <c r="D472" t="s">
        <v>30</v>
      </c>
      <c r="E472">
        <v>6.4314022999999998E-2</v>
      </c>
    </row>
    <row r="473" spans="1:5" x14ac:dyDescent="0.25">
      <c r="A473">
        <v>76868</v>
      </c>
      <c r="B473" s="3">
        <v>45044</v>
      </c>
      <c r="C473">
        <v>3580</v>
      </c>
      <c r="D473" t="s">
        <v>30</v>
      </c>
      <c r="E473">
        <v>1.3548428E-2</v>
      </c>
    </row>
    <row r="474" spans="1:5" x14ac:dyDescent="0.25">
      <c r="A474">
        <v>76868</v>
      </c>
      <c r="B474" s="3">
        <v>45077</v>
      </c>
      <c r="C474">
        <v>3580</v>
      </c>
      <c r="D474" t="s">
        <v>30</v>
      </c>
      <c r="E474">
        <v>-0.116224483</v>
      </c>
    </row>
    <row r="475" spans="1:5" x14ac:dyDescent="0.25">
      <c r="A475">
        <v>76868</v>
      </c>
      <c r="B475" s="3">
        <v>45107</v>
      </c>
      <c r="C475">
        <v>3580</v>
      </c>
      <c r="D475" t="s">
        <v>30</v>
      </c>
      <c r="E475">
        <v>9.6062772000000005E-2</v>
      </c>
    </row>
    <row r="476" spans="1:5" x14ac:dyDescent="0.25">
      <c r="A476">
        <v>76868</v>
      </c>
      <c r="B476" s="3">
        <v>45138</v>
      </c>
      <c r="C476">
        <v>3580</v>
      </c>
      <c r="D476" t="s">
        <v>30</v>
      </c>
      <c r="E476">
        <v>0.110220492</v>
      </c>
    </row>
    <row r="477" spans="1:5" x14ac:dyDescent="0.25">
      <c r="A477">
        <v>76868</v>
      </c>
      <c r="B477" s="3">
        <v>45169</v>
      </c>
      <c r="C477">
        <v>3580</v>
      </c>
      <c r="D477" t="s">
        <v>30</v>
      </c>
      <c r="E477">
        <v>-0.10136804000000001</v>
      </c>
    </row>
    <row r="478" spans="1:5" x14ac:dyDescent="0.25">
      <c r="A478">
        <v>76868</v>
      </c>
      <c r="B478" s="3">
        <v>45198</v>
      </c>
      <c r="C478">
        <v>3580</v>
      </c>
      <c r="D478" t="s">
        <v>30</v>
      </c>
      <c r="E478">
        <v>-9.6891886999999996E-2</v>
      </c>
    </row>
    <row r="479" spans="1:5" x14ac:dyDescent="0.25">
      <c r="A479">
        <v>76868</v>
      </c>
      <c r="B479" s="3">
        <v>45230</v>
      </c>
      <c r="C479">
        <v>3580</v>
      </c>
      <c r="D479" t="s">
        <v>30</v>
      </c>
      <c r="E479">
        <v>-4.2025662999999998E-2</v>
      </c>
    </row>
    <row r="480" spans="1:5" x14ac:dyDescent="0.25">
      <c r="A480">
        <v>76868</v>
      </c>
      <c r="B480" s="3">
        <v>45260</v>
      </c>
      <c r="C480">
        <v>3580</v>
      </c>
      <c r="D480" t="s">
        <v>30</v>
      </c>
      <c r="E480">
        <v>0.15051393199999999</v>
      </c>
    </row>
    <row r="481" spans="1:5" x14ac:dyDescent="0.25">
      <c r="A481">
        <v>76868</v>
      </c>
      <c r="B481" s="3">
        <v>45289</v>
      </c>
      <c r="C481">
        <v>3580</v>
      </c>
      <c r="D481" t="s">
        <v>30</v>
      </c>
      <c r="E481">
        <v>0.18003201499999999</v>
      </c>
    </row>
    <row r="482" spans="1:5" x14ac:dyDescent="0.25">
      <c r="A482">
        <v>87476</v>
      </c>
      <c r="B482" s="3">
        <v>43496</v>
      </c>
      <c r="C482">
        <v>6022</v>
      </c>
      <c r="D482" t="s">
        <v>31</v>
      </c>
      <c r="E482">
        <v>1.6973737999999999E-2</v>
      </c>
    </row>
    <row r="483" spans="1:5" x14ac:dyDescent="0.25">
      <c r="A483">
        <v>87476</v>
      </c>
      <c r="B483" s="3">
        <v>43524</v>
      </c>
      <c r="C483">
        <v>6022</v>
      </c>
      <c r="D483" t="s">
        <v>31</v>
      </c>
      <c r="E483">
        <v>6.55699E-2</v>
      </c>
    </row>
    <row r="484" spans="1:5" x14ac:dyDescent="0.25">
      <c r="A484">
        <v>87476</v>
      </c>
      <c r="B484" s="3">
        <v>43553</v>
      </c>
      <c r="C484">
        <v>6022</v>
      </c>
      <c r="D484" t="s">
        <v>31</v>
      </c>
      <c r="E484">
        <v>-8.5618011999999993E-2</v>
      </c>
    </row>
    <row r="485" spans="1:5" x14ac:dyDescent="0.25">
      <c r="A485">
        <v>87476</v>
      </c>
      <c r="B485" s="3">
        <v>43585</v>
      </c>
      <c r="C485">
        <v>6022</v>
      </c>
      <c r="D485" t="s">
        <v>31</v>
      </c>
      <c r="E485">
        <v>4.0796261E-2</v>
      </c>
    </row>
    <row r="486" spans="1:5" x14ac:dyDescent="0.25">
      <c r="A486">
        <v>87476</v>
      </c>
      <c r="B486" s="3">
        <v>43616</v>
      </c>
      <c r="C486">
        <v>6022</v>
      </c>
      <c r="D486" t="s">
        <v>31</v>
      </c>
      <c r="E486">
        <v>-3.8961045E-2</v>
      </c>
    </row>
    <row r="487" spans="1:5" x14ac:dyDescent="0.25">
      <c r="A487">
        <v>87476</v>
      </c>
      <c r="B487" s="3">
        <v>43644</v>
      </c>
      <c r="C487">
        <v>6022</v>
      </c>
      <c r="D487" t="s">
        <v>31</v>
      </c>
      <c r="E487">
        <v>1.2589538000000001E-2</v>
      </c>
    </row>
    <row r="488" spans="1:5" x14ac:dyDescent="0.25">
      <c r="A488">
        <v>87476</v>
      </c>
      <c r="B488" s="3">
        <v>43677</v>
      </c>
      <c r="C488">
        <v>6022</v>
      </c>
      <c r="D488" t="s">
        <v>31</v>
      </c>
      <c r="E488">
        <v>6.5821565999999998E-2</v>
      </c>
    </row>
    <row r="489" spans="1:5" x14ac:dyDescent="0.25">
      <c r="A489">
        <v>87476</v>
      </c>
      <c r="B489" s="3">
        <v>43707</v>
      </c>
      <c r="C489">
        <v>6022</v>
      </c>
      <c r="D489" t="s">
        <v>31</v>
      </c>
      <c r="E489">
        <v>-6.6331208000000003E-2</v>
      </c>
    </row>
    <row r="490" spans="1:5" x14ac:dyDescent="0.25">
      <c r="A490">
        <v>87476</v>
      </c>
      <c r="B490" s="3">
        <v>43738</v>
      </c>
      <c r="C490">
        <v>6022</v>
      </c>
      <c r="D490" t="s">
        <v>31</v>
      </c>
      <c r="E490">
        <v>2.1669564999999998E-2</v>
      </c>
    </row>
    <row r="491" spans="1:5" x14ac:dyDescent="0.25">
      <c r="A491">
        <v>87476</v>
      </c>
      <c r="B491" s="3">
        <v>43769</v>
      </c>
      <c r="C491">
        <v>6022</v>
      </c>
      <c r="D491" t="s">
        <v>31</v>
      </c>
      <c r="E491">
        <v>6.2424610999999998E-2</v>
      </c>
    </row>
    <row r="492" spans="1:5" x14ac:dyDescent="0.25">
      <c r="A492">
        <v>87476</v>
      </c>
      <c r="B492" s="3">
        <v>43798</v>
      </c>
      <c r="C492">
        <v>6022</v>
      </c>
      <c r="D492" t="s">
        <v>31</v>
      </c>
      <c r="E492">
        <v>2.8721271E-2</v>
      </c>
    </row>
    <row r="493" spans="1:5" x14ac:dyDescent="0.25">
      <c r="A493">
        <v>87476</v>
      </c>
      <c r="B493" s="3">
        <v>43830</v>
      </c>
      <c r="C493">
        <v>6022</v>
      </c>
      <c r="D493" t="s">
        <v>31</v>
      </c>
      <c r="E493">
        <v>-1.7726969999999999E-3</v>
      </c>
    </row>
    <row r="494" spans="1:5" x14ac:dyDescent="0.25">
      <c r="A494">
        <v>87476</v>
      </c>
      <c r="B494" s="3">
        <v>43861</v>
      </c>
      <c r="C494">
        <v>6022</v>
      </c>
      <c r="D494" t="s">
        <v>31</v>
      </c>
      <c r="E494">
        <v>-2.1975536E-2</v>
      </c>
    </row>
    <row r="495" spans="1:5" x14ac:dyDescent="0.25">
      <c r="A495">
        <v>87476</v>
      </c>
      <c r="B495" s="3">
        <v>43889</v>
      </c>
      <c r="C495">
        <v>6022</v>
      </c>
      <c r="D495" t="s">
        <v>31</v>
      </c>
      <c r="E495">
        <v>-0.12936905000000001</v>
      </c>
    </row>
    <row r="496" spans="1:5" x14ac:dyDescent="0.25">
      <c r="A496">
        <v>87476</v>
      </c>
      <c r="B496" s="3">
        <v>43921</v>
      </c>
      <c r="C496">
        <v>6022</v>
      </c>
      <c r="D496" t="s">
        <v>31</v>
      </c>
      <c r="E496">
        <v>-0.21321795900000001</v>
      </c>
    </row>
    <row r="497" spans="1:5" x14ac:dyDescent="0.25">
      <c r="A497">
        <v>87476</v>
      </c>
      <c r="B497" s="3">
        <v>43951</v>
      </c>
      <c r="C497">
        <v>6022</v>
      </c>
      <c r="D497" t="s">
        <v>31</v>
      </c>
      <c r="E497">
        <v>0.10633330000000001</v>
      </c>
    </row>
    <row r="498" spans="1:5" x14ac:dyDescent="0.25">
      <c r="A498">
        <v>87476</v>
      </c>
      <c r="B498" s="3">
        <v>43980</v>
      </c>
      <c r="C498">
        <v>6022</v>
      </c>
      <c r="D498" t="s">
        <v>31</v>
      </c>
      <c r="E498">
        <v>2.0934541000000001E-2</v>
      </c>
    </row>
    <row r="499" spans="1:5" x14ac:dyDescent="0.25">
      <c r="A499">
        <v>87476</v>
      </c>
      <c r="B499" s="3">
        <v>44012</v>
      </c>
      <c r="C499">
        <v>6022</v>
      </c>
      <c r="D499" t="s">
        <v>31</v>
      </c>
      <c r="E499">
        <v>-9.5096490000000002E-3</v>
      </c>
    </row>
    <row r="500" spans="1:5" x14ac:dyDescent="0.25">
      <c r="A500">
        <v>87476</v>
      </c>
      <c r="B500" s="3">
        <v>44043</v>
      </c>
      <c r="C500">
        <v>6022</v>
      </c>
      <c r="D500" t="s">
        <v>31</v>
      </c>
      <c r="E500">
        <v>-5.0705127000000003E-2</v>
      </c>
    </row>
    <row r="501" spans="1:5" x14ac:dyDescent="0.25">
      <c r="A501">
        <v>87476</v>
      </c>
      <c r="B501" s="3">
        <v>44074</v>
      </c>
      <c r="C501">
        <v>6022</v>
      </c>
      <c r="D501" t="s">
        <v>31</v>
      </c>
      <c r="E501">
        <v>1.3371539999999999E-2</v>
      </c>
    </row>
    <row r="502" spans="1:5" x14ac:dyDescent="0.25">
      <c r="A502">
        <v>87476</v>
      </c>
      <c r="B502" s="3">
        <v>44104</v>
      </c>
      <c r="C502">
        <v>6022</v>
      </c>
      <c r="D502" t="s">
        <v>31</v>
      </c>
      <c r="E502">
        <v>-9.0166539000000004E-2</v>
      </c>
    </row>
    <row r="503" spans="1:5" x14ac:dyDescent="0.25">
      <c r="A503">
        <v>87476</v>
      </c>
      <c r="B503" s="3">
        <v>44134</v>
      </c>
      <c r="C503">
        <v>6022</v>
      </c>
      <c r="D503" t="s">
        <v>31</v>
      </c>
      <c r="E503">
        <v>4.0745868999999997E-2</v>
      </c>
    </row>
    <row r="504" spans="1:5" x14ac:dyDescent="0.25">
      <c r="A504">
        <v>87476</v>
      </c>
      <c r="B504" s="3">
        <v>44165</v>
      </c>
      <c r="C504">
        <v>6022</v>
      </c>
      <c r="D504" t="s">
        <v>31</v>
      </c>
      <c r="E504">
        <v>0.158925071</v>
      </c>
    </row>
    <row r="505" spans="1:5" x14ac:dyDescent="0.25">
      <c r="A505">
        <v>87476</v>
      </c>
      <c r="B505" s="3">
        <v>44196</v>
      </c>
      <c r="C505">
        <v>6022</v>
      </c>
      <c r="D505" t="s">
        <v>31</v>
      </c>
      <c r="E505">
        <v>-1.0374657000000001E-2</v>
      </c>
    </row>
    <row r="506" spans="1:5" x14ac:dyDescent="0.25">
      <c r="A506">
        <v>87476</v>
      </c>
      <c r="B506" s="3">
        <v>44225</v>
      </c>
      <c r="C506">
        <v>6022</v>
      </c>
      <c r="D506" t="s">
        <v>31</v>
      </c>
      <c r="E506">
        <v>8.1537545000000003E-2</v>
      </c>
    </row>
    <row r="507" spans="1:5" x14ac:dyDescent="0.25">
      <c r="A507">
        <v>87476</v>
      </c>
      <c r="B507" s="3">
        <v>44253</v>
      </c>
      <c r="C507">
        <v>6022</v>
      </c>
      <c r="D507" t="s">
        <v>31</v>
      </c>
      <c r="E507">
        <v>2.4232799999999999E-3</v>
      </c>
    </row>
    <row r="508" spans="1:5" x14ac:dyDescent="0.25">
      <c r="A508">
        <v>87476</v>
      </c>
      <c r="B508" s="3">
        <v>44286</v>
      </c>
      <c r="C508">
        <v>6022</v>
      </c>
      <c r="D508" t="s">
        <v>31</v>
      </c>
      <c r="E508">
        <v>5.8378376000000003E-2</v>
      </c>
    </row>
    <row r="509" spans="1:5" x14ac:dyDescent="0.25">
      <c r="A509">
        <v>87476</v>
      </c>
      <c r="B509" s="3">
        <v>44316</v>
      </c>
      <c r="C509">
        <v>6022</v>
      </c>
      <c r="D509" t="s">
        <v>31</v>
      </c>
      <c r="E509">
        <v>-8.9632317000000003E-2</v>
      </c>
    </row>
    <row r="510" spans="1:5" x14ac:dyDescent="0.25">
      <c r="A510">
        <v>87476</v>
      </c>
      <c r="B510" s="3">
        <v>44344</v>
      </c>
      <c r="C510">
        <v>6022</v>
      </c>
      <c r="D510" t="s">
        <v>31</v>
      </c>
      <c r="E510">
        <v>-4.8277783999999997E-2</v>
      </c>
    </row>
    <row r="511" spans="1:5" x14ac:dyDescent="0.25">
      <c r="A511">
        <v>87476</v>
      </c>
      <c r="B511" s="3">
        <v>44377</v>
      </c>
      <c r="C511">
        <v>6022</v>
      </c>
      <c r="D511" t="s">
        <v>31</v>
      </c>
      <c r="E511">
        <v>-5.3693254000000003E-2</v>
      </c>
    </row>
    <row r="512" spans="1:5" x14ac:dyDescent="0.25">
      <c r="A512">
        <v>87476</v>
      </c>
      <c r="B512" s="3">
        <v>44407</v>
      </c>
      <c r="C512">
        <v>6022</v>
      </c>
      <c r="D512" t="s">
        <v>31</v>
      </c>
      <c r="E512">
        <v>9.5297842999999993E-2</v>
      </c>
    </row>
    <row r="513" spans="1:5" x14ac:dyDescent="0.25">
      <c r="A513">
        <v>87476</v>
      </c>
      <c r="B513" s="3">
        <v>44439</v>
      </c>
      <c r="C513">
        <v>6022</v>
      </c>
      <c r="D513" t="s">
        <v>31</v>
      </c>
      <c r="E513">
        <v>4.3227664999999998E-2</v>
      </c>
    </row>
    <row r="514" spans="1:5" x14ac:dyDescent="0.25">
      <c r="A514">
        <v>87476</v>
      </c>
      <c r="B514" s="3">
        <v>44469</v>
      </c>
      <c r="C514">
        <v>6022</v>
      </c>
      <c r="D514" t="s">
        <v>31</v>
      </c>
      <c r="E514">
        <v>4.2817656000000003E-2</v>
      </c>
    </row>
    <row r="515" spans="1:5" x14ac:dyDescent="0.25">
      <c r="A515">
        <v>87476</v>
      </c>
      <c r="B515" s="3">
        <v>44498</v>
      </c>
      <c r="C515">
        <v>6022</v>
      </c>
      <c r="D515" t="s">
        <v>31</v>
      </c>
      <c r="E515">
        <v>9.5364400000000002E-3</v>
      </c>
    </row>
    <row r="516" spans="1:5" x14ac:dyDescent="0.25">
      <c r="A516">
        <v>87476</v>
      </c>
      <c r="B516" s="3">
        <v>44530</v>
      </c>
      <c r="C516">
        <v>6022</v>
      </c>
      <c r="D516" t="s">
        <v>31</v>
      </c>
      <c r="E516">
        <v>-8.4754690999999993E-2</v>
      </c>
    </row>
    <row r="517" spans="1:5" x14ac:dyDescent="0.25">
      <c r="A517">
        <v>87476</v>
      </c>
      <c r="B517" s="3">
        <v>44561</v>
      </c>
      <c r="C517">
        <v>6022</v>
      </c>
      <c r="D517" t="s">
        <v>31</v>
      </c>
      <c r="E517">
        <v>7.4769057E-2</v>
      </c>
    </row>
    <row r="518" spans="1:5" x14ac:dyDescent="0.25">
      <c r="A518">
        <v>87476</v>
      </c>
      <c r="B518" s="3">
        <v>44592</v>
      </c>
      <c r="C518">
        <v>6022</v>
      </c>
      <c r="D518" t="s">
        <v>31</v>
      </c>
      <c r="E518">
        <v>1.6116399999999999E-3</v>
      </c>
    </row>
    <row r="519" spans="1:5" x14ac:dyDescent="0.25">
      <c r="A519">
        <v>87476</v>
      </c>
      <c r="B519" s="3">
        <v>44620</v>
      </c>
      <c r="C519">
        <v>6022</v>
      </c>
      <c r="D519" t="s">
        <v>31</v>
      </c>
      <c r="E519">
        <v>-4.6393166999999999E-2</v>
      </c>
    </row>
    <row r="520" spans="1:5" x14ac:dyDescent="0.25">
      <c r="A520">
        <v>87476</v>
      </c>
      <c r="B520" s="3">
        <v>44651</v>
      </c>
      <c r="C520">
        <v>6022</v>
      </c>
      <c r="D520" t="s">
        <v>31</v>
      </c>
      <c r="E520">
        <v>-7.0781430000000003E-3</v>
      </c>
    </row>
    <row r="521" spans="1:5" x14ac:dyDescent="0.25">
      <c r="A521">
        <v>87476</v>
      </c>
      <c r="B521" s="3">
        <v>44680</v>
      </c>
      <c r="C521">
        <v>6022</v>
      </c>
      <c r="D521" t="s">
        <v>31</v>
      </c>
      <c r="E521">
        <v>-0.108639851</v>
      </c>
    </row>
    <row r="522" spans="1:5" x14ac:dyDescent="0.25">
      <c r="A522">
        <v>87476</v>
      </c>
      <c r="B522" s="3">
        <v>44712</v>
      </c>
      <c r="C522">
        <v>6022</v>
      </c>
      <c r="D522" t="s">
        <v>31</v>
      </c>
      <c r="E522">
        <v>6.0140796000000003E-2</v>
      </c>
    </row>
    <row r="523" spans="1:5" x14ac:dyDescent="0.25">
      <c r="A523">
        <v>87476</v>
      </c>
      <c r="B523" s="3">
        <v>44742</v>
      </c>
      <c r="C523">
        <v>6022</v>
      </c>
      <c r="D523" t="s">
        <v>31</v>
      </c>
      <c r="E523">
        <v>-3.4042577999999997E-2</v>
      </c>
    </row>
    <row r="524" spans="1:5" x14ac:dyDescent="0.25">
      <c r="A524">
        <v>87476</v>
      </c>
      <c r="B524" s="3">
        <v>44771</v>
      </c>
      <c r="C524">
        <v>6022</v>
      </c>
      <c r="D524" t="s">
        <v>31</v>
      </c>
      <c r="E524">
        <v>2.9578367000000001E-2</v>
      </c>
    </row>
    <row r="525" spans="1:5" x14ac:dyDescent="0.25">
      <c r="A525">
        <v>87476</v>
      </c>
      <c r="B525" s="3">
        <v>44804</v>
      </c>
      <c r="C525">
        <v>6022</v>
      </c>
      <c r="D525" t="s">
        <v>31</v>
      </c>
      <c r="E525">
        <v>-4.7982930999999999E-2</v>
      </c>
    </row>
    <row r="526" spans="1:5" x14ac:dyDescent="0.25">
      <c r="A526">
        <v>87476</v>
      </c>
      <c r="B526" s="3">
        <v>44834</v>
      </c>
      <c r="C526">
        <v>6022</v>
      </c>
      <c r="D526" t="s">
        <v>31</v>
      </c>
      <c r="E526">
        <v>-3.0744298999999999E-2</v>
      </c>
    </row>
    <row r="527" spans="1:5" x14ac:dyDescent="0.25">
      <c r="A527">
        <v>87476</v>
      </c>
      <c r="B527" s="3">
        <v>44865</v>
      </c>
      <c r="C527">
        <v>6022</v>
      </c>
      <c r="D527" t="s">
        <v>31</v>
      </c>
      <c r="E527">
        <v>0.205342159</v>
      </c>
    </row>
    <row r="528" spans="1:5" x14ac:dyDescent="0.25">
      <c r="A528">
        <v>87476</v>
      </c>
      <c r="B528" s="3">
        <v>44895</v>
      </c>
      <c r="C528">
        <v>6022</v>
      </c>
      <c r="D528" t="s">
        <v>31</v>
      </c>
      <c r="E528">
        <v>1.108059E-3</v>
      </c>
    </row>
    <row r="529" spans="1:5" x14ac:dyDescent="0.25">
      <c r="A529">
        <v>87476</v>
      </c>
      <c r="B529" s="3">
        <v>44925</v>
      </c>
      <c r="C529">
        <v>6022</v>
      </c>
      <c r="D529" t="s">
        <v>31</v>
      </c>
      <c r="E529">
        <v>-8.3867326000000006E-2</v>
      </c>
    </row>
    <row r="530" spans="1:5" x14ac:dyDescent="0.25">
      <c r="A530">
        <v>87476</v>
      </c>
      <c r="B530" s="3">
        <v>44957</v>
      </c>
      <c r="C530">
        <v>6022</v>
      </c>
      <c r="D530" t="s">
        <v>31</v>
      </c>
      <c r="E530">
        <v>-7.3296890000000003E-2</v>
      </c>
    </row>
    <row r="531" spans="1:5" x14ac:dyDescent="0.25">
      <c r="A531">
        <v>87476</v>
      </c>
      <c r="B531" s="3">
        <v>44985</v>
      </c>
      <c r="C531">
        <v>6022</v>
      </c>
      <c r="D531" t="s">
        <v>31</v>
      </c>
      <c r="E531">
        <v>-4.0039361000000002E-2</v>
      </c>
    </row>
    <row r="532" spans="1:5" x14ac:dyDescent="0.25">
      <c r="A532">
        <v>87476</v>
      </c>
      <c r="B532" s="3">
        <v>45016</v>
      </c>
      <c r="C532">
        <v>6022</v>
      </c>
      <c r="D532" t="s">
        <v>31</v>
      </c>
      <c r="E532">
        <v>-0.24517244099999999</v>
      </c>
    </row>
    <row r="533" spans="1:5" x14ac:dyDescent="0.25">
      <c r="A533">
        <v>87476</v>
      </c>
      <c r="B533" s="3">
        <v>45044</v>
      </c>
      <c r="C533">
        <v>6022</v>
      </c>
      <c r="D533" t="s">
        <v>31</v>
      </c>
      <c r="E533">
        <v>-0.194609433</v>
      </c>
    </row>
    <row r="534" spans="1:5" x14ac:dyDescent="0.25">
      <c r="A534">
        <v>87476</v>
      </c>
      <c r="B534" s="3">
        <v>45077</v>
      </c>
      <c r="C534">
        <v>6022</v>
      </c>
      <c r="D534" t="s">
        <v>31</v>
      </c>
      <c r="E534">
        <v>-6.8632960000000007E-2</v>
      </c>
    </row>
    <row r="535" spans="1:5" x14ac:dyDescent="0.25">
      <c r="A535">
        <v>87476</v>
      </c>
      <c r="B535" s="3">
        <v>45107</v>
      </c>
      <c r="C535">
        <v>6022</v>
      </c>
      <c r="D535" t="s">
        <v>31</v>
      </c>
      <c r="E535">
        <v>9.2764377999999995E-2</v>
      </c>
    </row>
    <row r="536" spans="1:5" x14ac:dyDescent="0.25">
      <c r="A536">
        <v>87476</v>
      </c>
      <c r="B536" s="3">
        <v>45138</v>
      </c>
      <c r="C536">
        <v>6022</v>
      </c>
      <c r="D536" t="s">
        <v>31</v>
      </c>
      <c r="E536">
        <v>0.18732310799999999</v>
      </c>
    </row>
    <row r="537" spans="1:5" x14ac:dyDescent="0.25">
      <c r="A537">
        <v>87476</v>
      </c>
      <c r="B537" s="3">
        <v>45169</v>
      </c>
      <c r="C537">
        <v>6022</v>
      </c>
      <c r="D537" t="s">
        <v>31</v>
      </c>
      <c r="E537">
        <v>-9.1039075999999997E-2</v>
      </c>
    </row>
    <row r="538" spans="1:5" x14ac:dyDescent="0.25">
      <c r="A538">
        <v>87476</v>
      </c>
      <c r="B538" s="3">
        <v>45198</v>
      </c>
      <c r="C538">
        <v>6022</v>
      </c>
      <c r="D538" t="s">
        <v>31</v>
      </c>
      <c r="E538">
        <v>-2.8692828E-2</v>
      </c>
    </row>
    <row r="539" spans="1:5" x14ac:dyDescent="0.25">
      <c r="A539">
        <v>87476</v>
      </c>
      <c r="B539" s="3">
        <v>45230</v>
      </c>
      <c r="C539">
        <v>6022</v>
      </c>
      <c r="D539" t="s">
        <v>31</v>
      </c>
      <c r="E539">
        <v>-8.0962874000000004E-2</v>
      </c>
    </row>
    <row r="540" spans="1:5" x14ac:dyDescent="0.25">
      <c r="A540">
        <v>87476</v>
      </c>
      <c r="B540" s="3">
        <v>45260</v>
      </c>
      <c r="C540">
        <v>6022</v>
      </c>
      <c r="D540" t="s">
        <v>31</v>
      </c>
      <c r="E540">
        <v>0.15952383000000001</v>
      </c>
    </row>
    <row r="541" spans="1:5" x14ac:dyDescent="0.25">
      <c r="A541">
        <v>87476</v>
      </c>
      <c r="B541" s="3">
        <v>45289</v>
      </c>
      <c r="C541">
        <v>6022</v>
      </c>
      <c r="D541" t="s">
        <v>31</v>
      </c>
      <c r="E541">
        <v>0.14508585600000001</v>
      </c>
    </row>
    <row r="542" spans="1:5" x14ac:dyDescent="0.25">
      <c r="A542">
        <v>90961</v>
      </c>
      <c r="B542" s="3">
        <v>43496</v>
      </c>
      <c r="C542">
        <v>6035</v>
      </c>
      <c r="D542" t="s">
        <v>33</v>
      </c>
      <c r="E542">
        <v>-5.6085943999999999E-2</v>
      </c>
    </row>
    <row r="543" spans="1:5" x14ac:dyDescent="0.25">
      <c r="A543">
        <v>90961</v>
      </c>
      <c r="B543" s="3">
        <v>43524</v>
      </c>
      <c r="C543">
        <v>6035</v>
      </c>
      <c r="D543" t="s">
        <v>33</v>
      </c>
      <c r="E543">
        <v>7.2611488000000002E-2</v>
      </c>
    </row>
    <row r="544" spans="1:5" x14ac:dyDescent="0.25">
      <c r="A544">
        <v>90961</v>
      </c>
      <c r="B544" s="3">
        <v>43553</v>
      </c>
      <c r="C544">
        <v>6035</v>
      </c>
      <c r="D544" t="s">
        <v>33</v>
      </c>
      <c r="E544">
        <v>7.1258270000000004E-3</v>
      </c>
    </row>
    <row r="545" spans="1:5" x14ac:dyDescent="0.25">
      <c r="A545">
        <v>90961</v>
      </c>
      <c r="B545" s="3">
        <v>43585</v>
      </c>
      <c r="C545">
        <v>6035</v>
      </c>
      <c r="D545" t="s">
        <v>33</v>
      </c>
      <c r="E545">
        <v>1.3365759E-2</v>
      </c>
    </row>
    <row r="546" spans="1:5" x14ac:dyDescent="0.25">
      <c r="A546">
        <v>90961</v>
      </c>
      <c r="B546" s="3">
        <v>43616</v>
      </c>
      <c r="C546">
        <v>6035</v>
      </c>
      <c r="D546" t="s">
        <v>33</v>
      </c>
      <c r="E546">
        <v>-3.0192779999999998E-3</v>
      </c>
    </row>
    <row r="547" spans="1:5" x14ac:dyDescent="0.25">
      <c r="A547">
        <v>90961</v>
      </c>
      <c r="B547" s="3">
        <v>43644</v>
      </c>
      <c r="C547">
        <v>6035</v>
      </c>
      <c r="D547" t="s">
        <v>33</v>
      </c>
      <c r="E547">
        <v>3.3313096E-2</v>
      </c>
    </row>
    <row r="548" spans="1:5" x14ac:dyDescent="0.25">
      <c r="A548">
        <v>90961</v>
      </c>
      <c r="B548" s="3">
        <v>43677</v>
      </c>
      <c r="C548">
        <v>6035</v>
      </c>
      <c r="D548" t="s">
        <v>33</v>
      </c>
      <c r="E548">
        <v>-2.344657E-3</v>
      </c>
    </row>
    <row r="549" spans="1:5" x14ac:dyDescent="0.25">
      <c r="A549">
        <v>90961</v>
      </c>
      <c r="B549" s="3">
        <v>43707</v>
      </c>
      <c r="C549">
        <v>6035</v>
      </c>
      <c r="D549" t="s">
        <v>33</v>
      </c>
      <c r="E549">
        <v>-1.8343163999999999E-2</v>
      </c>
    </row>
    <row r="550" spans="1:5" x14ac:dyDescent="0.25">
      <c r="A550">
        <v>90961</v>
      </c>
      <c r="B550" s="3">
        <v>43738</v>
      </c>
      <c r="C550">
        <v>6035</v>
      </c>
      <c r="D550" t="s">
        <v>33</v>
      </c>
      <c r="E550">
        <v>3.5563602999999999E-2</v>
      </c>
    </row>
    <row r="551" spans="1:5" x14ac:dyDescent="0.25">
      <c r="A551">
        <v>90961</v>
      </c>
      <c r="B551" s="3">
        <v>43769</v>
      </c>
      <c r="C551">
        <v>6035</v>
      </c>
      <c r="D551" t="s">
        <v>33</v>
      </c>
      <c r="E551">
        <v>9.1385259999999996E-2</v>
      </c>
    </row>
    <row r="552" spans="1:5" x14ac:dyDescent="0.25">
      <c r="A552">
        <v>90961</v>
      </c>
      <c r="B552" s="3">
        <v>43798</v>
      </c>
      <c r="C552">
        <v>6035</v>
      </c>
      <c r="D552" t="s">
        <v>33</v>
      </c>
      <c r="E552">
        <v>1.2882538000000001E-2</v>
      </c>
    </row>
    <row r="553" spans="1:5" x14ac:dyDescent="0.25">
      <c r="A553">
        <v>90961</v>
      </c>
      <c r="B553" s="3">
        <v>43830</v>
      </c>
      <c r="C553">
        <v>6035</v>
      </c>
      <c r="D553" t="s">
        <v>33</v>
      </c>
      <c r="E553">
        <v>8.4790590000000006E-3</v>
      </c>
    </row>
    <row r="554" spans="1:5" x14ac:dyDescent="0.25">
      <c r="A554">
        <v>90961</v>
      </c>
      <c r="B554" s="3">
        <v>43861</v>
      </c>
      <c r="C554">
        <v>6035</v>
      </c>
      <c r="D554" t="s">
        <v>33</v>
      </c>
      <c r="E554">
        <v>-7.4619069999999996E-2</v>
      </c>
    </row>
    <row r="555" spans="1:5" x14ac:dyDescent="0.25">
      <c r="A555">
        <v>90961</v>
      </c>
      <c r="B555" s="3">
        <v>43889</v>
      </c>
      <c r="C555">
        <v>6035</v>
      </c>
      <c r="D555" t="s">
        <v>33</v>
      </c>
      <c r="E555">
        <v>-4.9170989999999998E-2</v>
      </c>
    </row>
    <row r="556" spans="1:5" x14ac:dyDescent="0.25">
      <c r="A556">
        <v>90961</v>
      </c>
      <c r="B556" s="3">
        <v>43921</v>
      </c>
      <c r="C556">
        <v>6035</v>
      </c>
      <c r="D556" t="s">
        <v>33</v>
      </c>
      <c r="E556">
        <v>-9.5610297999999996E-2</v>
      </c>
    </row>
    <row r="557" spans="1:5" x14ac:dyDescent="0.25">
      <c r="A557">
        <v>90961</v>
      </c>
      <c r="B557" s="3">
        <v>43951</v>
      </c>
      <c r="C557">
        <v>6035</v>
      </c>
      <c r="D557" t="s">
        <v>33</v>
      </c>
      <c r="E557">
        <v>6.8776130000000003E-3</v>
      </c>
    </row>
    <row r="558" spans="1:5" x14ac:dyDescent="0.25">
      <c r="A558">
        <v>90961</v>
      </c>
      <c r="B558" s="3">
        <v>43980</v>
      </c>
      <c r="C558">
        <v>6035</v>
      </c>
      <c r="D558" t="s">
        <v>33</v>
      </c>
      <c r="E558">
        <v>2.6170740000000001E-2</v>
      </c>
    </row>
    <row r="559" spans="1:5" x14ac:dyDescent="0.25">
      <c r="A559">
        <v>90961</v>
      </c>
      <c r="B559" s="3">
        <v>44012</v>
      </c>
      <c r="C559">
        <v>6035</v>
      </c>
      <c r="D559" t="s">
        <v>33</v>
      </c>
      <c r="E559">
        <v>-4.6979659999999996E-3</v>
      </c>
    </row>
    <row r="560" spans="1:5" x14ac:dyDescent="0.25">
      <c r="A560">
        <v>90961</v>
      </c>
      <c r="B560" s="3">
        <v>44043</v>
      </c>
      <c r="C560">
        <v>6035</v>
      </c>
      <c r="D560" t="s">
        <v>33</v>
      </c>
      <c r="E560">
        <v>3.8435589999999999E-2</v>
      </c>
    </row>
    <row r="561" spans="1:5" x14ac:dyDescent="0.25">
      <c r="A561">
        <v>90961</v>
      </c>
      <c r="B561" s="3">
        <v>44074</v>
      </c>
      <c r="C561">
        <v>6035</v>
      </c>
      <c r="D561" t="s">
        <v>33</v>
      </c>
      <c r="E561">
        <v>1.3743458E-2</v>
      </c>
    </row>
    <row r="562" spans="1:5" x14ac:dyDescent="0.25">
      <c r="A562">
        <v>90961</v>
      </c>
      <c r="B562" s="3">
        <v>44104</v>
      </c>
      <c r="C562">
        <v>6035</v>
      </c>
      <c r="D562" t="s">
        <v>33</v>
      </c>
      <c r="E562">
        <v>0</v>
      </c>
    </row>
    <row r="563" spans="1:5" x14ac:dyDescent="0.25">
      <c r="A563">
        <v>90961</v>
      </c>
      <c r="B563" s="3">
        <v>44134</v>
      </c>
      <c r="C563">
        <v>6035</v>
      </c>
      <c r="D563" t="s">
        <v>33</v>
      </c>
      <c r="E563">
        <v>9.7482211999999999E-2</v>
      </c>
    </row>
    <row r="564" spans="1:5" x14ac:dyDescent="0.25">
      <c r="A564">
        <v>90961</v>
      </c>
      <c r="B564" s="3">
        <v>44165</v>
      </c>
      <c r="C564">
        <v>6035</v>
      </c>
      <c r="D564" t="s">
        <v>33</v>
      </c>
      <c r="E564">
        <v>5.8353166999999997E-2</v>
      </c>
    </row>
    <row r="565" spans="1:5" x14ac:dyDescent="0.25">
      <c r="A565">
        <v>90961</v>
      </c>
      <c r="B565" s="3">
        <v>44196</v>
      </c>
      <c r="C565">
        <v>6035</v>
      </c>
      <c r="D565" t="s">
        <v>33</v>
      </c>
      <c r="E565">
        <v>7.1448855000000006E-2</v>
      </c>
    </row>
    <row r="566" spans="1:5" x14ac:dyDescent="0.25">
      <c r="A566">
        <v>90961</v>
      </c>
      <c r="B566" s="3">
        <v>44225</v>
      </c>
      <c r="C566">
        <v>6035</v>
      </c>
      <c r="D566" t="s">
        <v>33</v>
      </c>
      <c r="E566">
        <v>-7.9702650000000007E-3</v>
      </c>
    </row>
    <row r="567" spans="1:5" x14ac:dyDescent="0.25">
      <c r="A567">
        <v>90961</v>
      </c>
      <c r="B567" s="3">
        <v>44253</v>
      </c>
      <c r="C567">
        <v>6035</v>
      </c>
      <c r="D567" t="s">
        <v>33</v>
      </c>
      <c r="E567">
        <v>5.1976234000000003E-2</v>
      </c>
    </row>
    <row r="568" spans="1:5" x14ac:dyDescent="0.25">
      <c r="A568">
        <v>90961</v>
      </c>
      <c r="B568" s="3">
        <v>44286</v>
      </c>
      <c r="C568">
        <v>6035</v>
      </c>
      <c r="D568" t="s">
        <v>33</v>
      </c>
      <c r="E568">
        <v>5.0952122000000002E-2</v>
      </c>
    </row>
    <row r="569" spans="1:5" x14ac:dyDescent="0.25">
      <c r="A569">
        <v>90961</v>
      </c>
      <c r="B569" s="3">
        <v>44316</v>
      </c>
      <c r="C569">
        <v>6035</v>
      </c>
      <c r="D569" t="s">
        <v>33</v>
      </c>
      <c r="E569">
        <v>-2.5465195999999999E-2</v>
      </c>
    </row>
    <row r="570" spans="1:5" x14ac:dyDescent="0.25">
      <c r="A570">
        <v>90961</v>
      </c>
      <c r="B570" s="3">
        <v>44344</v>
      </c>
      <c r="C570">
        <v>6035</v>
      </c>
      <c r="D570" t="s">
        <v>33</v>
      </c>
      <c r="E570">
        <v>4.06091E-3</v>
      </c>
    </row>
    <row r="571" spans="1:5" x14ac:dyDescent="0.25">
      <c r="A571">
        <v>90961</v>
      </c>
      <c r="B571" s="3">
        <v>44377</v>
      </c>
      <c r="C571">
        <v>6035</v>
      </c>
      <c r="D571" t="s">
        <v>33</v>
      </c>
      <c r="E571">
        <v>1.9211281E-2</v>
      </c>
    </row>
    <row r="572" spans="1:5" x14ac:dyDescent="0.25">
      <c r="A572">
        <v>90961</v>
      </c>
      <c r="B572" s="3">
        <v>44407</v>
      </c>
      <c r="C572">
        <v>6035</v>
      </c>
      <c r="D572" t="s">
        <v>33</v>
      </c>
      <c r="E572">
        <v>1.3733454000000001E-2</v>
      </c>
    </row>
    <row r="573" spans="1:5" x14ac:dyDescent="0.25">
      <c r="A573">
        <v>90961</v>
      </c>
      <c r="B573" s="3">
        <v>44439</v>
      </c>
      <c r="C573">
        <v>6035</v>
      </c>
      <c r="D573" t="s">
        <v>33</v>
      </c>
      <c r="E573">
        <v>2.7876387999999998E-2</v>
      </c>
    </row>
    <row r="574" spans="1:5" x14ac:dyDescent="0.25">
      <c r="A574">
        <v>90961</v>
      </c>
      <c r="B574" s="3">
        <v>44469</v>
      </c>
      <c r="C574">
        <v>6035</v>
      </c>
      <c r="D574" t="s">
        <v>33</v>
      </c>
      <c r="E574">
        <v>1.0354985000000001E-2</v>
      </c>
    </row>
    <row r="575" spans="1:5" x14ac:dyDescent="0.25">
      <c r="A575">
        <v>90961</v>
      </c>
      <c r="B575" s="3">
        <v>44498</v>
      </c>
      <c r="C575">
        <v>6035</v>
      </c>
      <c r="D575" t="s">
        <v>33</v>
      </c>
      <c r="E575">
        <v>1.8545648000000001E-2</v>
      </c>
    </row>
    <row r="576" spans="1:5" x14ac:dyDescent="0.25">
      <c r="A576">
        <v>90961</v>
      </c>
      <c r="B576" s="3">
        <v>44530</v>
      </c>
      <c r="C576">
        <v>6035</v>
      </c>
      <c r="D576" t="s">
        <v>33</v>
      </c>
      <c r="E576">
        <v>3.8703399999999999E-3</v>
      </c>
    </row>
    <row r="577" spans="1:5" x14ac:dyDescent="0.25">
      <c r="A577">
        <v>90961</v>
      </c>
      <c r="B577" s="3">
        <v>44561</v>
      </c>
      <c r="C577">
        <v>6035</v>
      </c>
      <c r="D577" t="s">
        <v>33</v>
      </c>
      <c r="E577">
        <v>5.3494005999999997E-2</v>
      </c>
    </row>
    <row r="578" spans="1:5" x14ac:dyDescent="0.25">
      <c r="A578">
        <v>90961</v>
      </c>
      <c r="B578" s="3">
        <v>44592</v>
      </c>
      <c r="C578">
        <v>6035</v>
      </c>
      <c r="D578" t="s">
        <v>33</v>
      </c>
      <c r="E578">
        <v>-3.3851805999999998E-2</v>
      </c>
    </row>
    <row r="579" spans="1:5" x14ac:dyDescent="0.25">
      <c r="A579">
        <v>90961</v>
      </c>
      <c r="B579" s="3">
        <v>44620</v>
      </c>
      <c r="C579">
        <v>6035</v>
      </c>
      <c r="D579" t="s">
        <v>33</v>
      </c>
      <c r="E579">
        <v>-4.3094963E-2</v>
      </c>
    </row>
    <row r="580" spans="1:5" x14ac:dyDescent="0.25">
      <c r="A580">
        <v>90961</v>
      </c>
      <c r="B580" s="3">
        <v>44651</v>
      </c>
      <c r="C580">
        <v>6035</v>
      </c>
      <c r="D580" t="s">
        <v>33</v>
      </c>
      <c r="E580">
        <v>-1.0235453E-2</v>
      </c>
    </row>
    <row r="581" spans="1:5" x14ac:dyDescent="0.25">
      <c r="A581">
        <v>90961</v>
      </c>
      <c r="B581" s="3">
        <v>44680</v>
      </c>
      <c r="C581">
        <v>6035</v>
      </c>
      <c r="D581" t="s">
        <v>33</v>
      </c>
      <c r="E581">
        <v>-0.15925545999999999</v>
      </c>
    </row>
    <row r="582" spans="1:5" x14ac:dyDescent="0.25">
      <c r="A582">
        <v>90961</v>
      </c>
      <c r="B582" s="3">
        <v>44712</v>
      </c>
      <c r="C582">
        <v>6035</v>
      </c>
      <c r="D582" t="s">
        <v>33</v>
      </c>
      <c r="E582">
        <v>7.6587885999999994E-2</v>
      </c>
    </row>
    <row r="583" spans="1:5" x14ac:dyDescent="0.25">
      <c r="A583">
        <v>90961</v>
      </c>
      <c r="B583" s="3">
        <v>44742</v>
      </c>
      <c r="C583">
        <v>6035</v>
      </c>
      <c r="D583" t="s">
        <v>33</v>
      </c>
      <c r="E583">
        <v>-1.3880952E-2</v>
      </c>
    </row>
    <row r="584" spans="1:5" x14ac:dyDescent="0.25">
      <c r="A584">
        <v>90961</v>
      </c>
      <c r="B584" s="3">
        <v>44771</v>
      </c>
      <c r="C584">
        <v>6035</v>
      </c>
      <c r="D584" t="s">
        <v>33</v>
      </c>
      <c r="E584">
        <v>0.105571873</v>
      </c>
    </row>
    <row r="585" spans="1:5" x14ac:dyDescent="0.25">
      <c r="A585">
        <v>90961</v>
      </c>
      <c r="B585" s="3">
        <v>44804</v>
      </c>
      <c r="C585">
        <v>6035</v>
      </c>
      <c r="D585" t="s">
        <v>33</v>
      </c>
      <c r="E585">
        <v>-7.2922185E-2</v>
      </c>
    </row>
    <row r="586" spans="1:5" x14ac:dyDescent="0.25">
      <c r="A586">
        <v>90961</v>
      </c>
      <c r="B586" s="3">
        <v>44834</v>
      </c>
      <c r="C586">
        <v>6035</v>
      </c>
      <c r="D586" t="s">
        <v>33</v>
      </c>
      <c r="E586">
        <v>-6.5355755000000001E-2</v>
      </c>
    </row>
    <row r="587" spans="1:5" x14ac:dyDescent="0.25">
      <c r="A587">
        <v>90961</v>
      </c>
      <c r="B587" s="3">
        <v>44865</v>
      </c>
      <c r="C587">
        <v>6035</v>
      </c>
      <c r="D587" t="s">
        <v>33</v>
      </c>
      <c r="E587">
        <v>6.3118793000000006E-2</v>
      </c>
    </row>
    <row r="588" spans="1:5" x14ac:dyDescent="0.25">
      <c r="A588">
        <v>90961</v>
      </c>
      <c r="B588" s="3">
        <v>44895</v>
      </c>
      <c r="C588">
        <v>6035</v>
      </c>
      <c r="D588" t="s">
        <v>33</v>
      </c>
      <c r="E588">
        <v>-1.3545321000000001E-2</v>
      </c>
    </row>
    <row r="589" spans="1:5" x14ac:dyDescent="0.25">
      <c r="A589">
        <v>90961</v>
      </c>
      <c r="B589" s="3">
        <v>44925</v>
      </c>
      <c r="C589">
        <v>6035</v>
      </c>
      <c r="D589" t="s">
        <v>33</v>
      </c>
      <c r="E589">
        <v>2.9253718000000001E-2</v>
      </c>
    </row>
    <row r="590" spans="1:5" x14ac:dyDescent="0.25">
      <c r="A590">
        <v>90961</v>
      </c>
      <c r="B590" s="3">
        <v>44957</v>
      </c>
      <c r="C590">
        <v>6035</v>
      </c>
      <c r="D590" t="s">
        <v>33</v>
      </c>
      <c r="E590">
        <v>-5.4524329000000003E-2</v>
      </c>
    </row>
    <row r="591" spans="1:5" x14ac:dyDescent="0.25">
      <c r="A591">
        <v>90961</v>
      </c>
      <c r="B591" s="3">
        <v>44985</v>
      </c>
      <c r="C591">
        <v>6035</v>
      </c>
      <c r="D591" t="s">
        <v>33</v>
      </c>
      <c r="E591">
        <v>0</v>
      </c>
    </row>
    <row r="592" spans="1:5" x14ac:dyDescent="0.25">
      <c r="A592">
        <v>90961</v>
      </c>
      <c r="B592" s="3">
        <v>45016</v>
      </c>
      <c r="C592">
        <v>6035</v>
      </c>
      <c r="D592" t="s">
        <v>33</v>
      </c>
      <c r="E592">
        <v>-6.0248461000000003E-2</v>
      </c>
    </row>
    <row r="593" spans="1:5" x14ac:dyDescent="0.25">
      <c r="A593">
        <v>90961</v>
      </c>
      <c r="B593" s="3">
        <v>45044</v>
      </c>
      <c r="C593">
        <v>6035</v>
      </c>
      <c r="D593" t="s">
        <v>33</v>
      </c>
      <c r="E593">
        <v>-7.1381344999999999E-2</v>
      </c>
    </row>
    <row r="594" spans="1:5" x14ac:dyDescent="0.25">
      <c r="A594">
        <v>90961</v>
      </c>
      <c r="B594" s="3">
        <v>45077</v>
      </c>
      <c r="C594">
        <v>6035</v>
      </c>
      <c r="D594" t="s">
        <v>33</v>
      </c>
      <c r="E594">
        <v>-2.3826709000000001E-2</v>
      </c>
    </row>
    <row r="595" spans="1:5" x14ac:dyDescent="0.25">
      <c r="A595">
        <v>90961</v>
      </c>
      <c r="B595" s="3">
        <v>45107</v>
      </c>
      <c r="C595">
        <v>6035</v>
      </c>
      <c r="D595" t="s">
        <v>33</v>
      </c>
      <c r="E595">
        <v>7.1745507E-2</v>
      </c>
    </row>
    <row r="596" spans="1:5" x14ac:dyDescent="0.25">
      <c r="A596">
        <v>90961</v>
      </c>
      <c r="B596" s="3">
        <v>45138</v>
      </c>
      <c r="C596">
        <v>6035</v>
      </c>
      <c r="D596" t="s">
        <v>33</v>
      </c>
      <c r="E596">
        <v>-2.3464456000000002E-2</v>
      </c>
    </row>
    <row r="597" spans="1:5" x14ac:dyDescent="0.25">
      <c r="A597">
        <v>90961</v>
      </c>
      <c r="B597" s="3">
        <v>45169</v>
      </c>
      <c r="C597">
        <v>6035</v>
      </c>
      <c r="D597" t="s">
        <v>33</v>
      </c>
      <c r="E597">
        <v>-0.11039426200000001</v>
      </c>
    </row>
    <row r="598" spans="1:5" x14ac:dyDescent="0.25">
      <c r="A598">
        <v>90961</v>
      </c>
      <c r="B598" s="3">
        <v>45198</v>
      </c>
      <c r="C598">
        <v>6035</v>
      </c>
      <c r="D598" t="s">
        <v>33</v>
      </c>
      <c r="E598">
        <v>-0.11764706699999999</v>
      </c>
    </row>
    <row r="599" spans="1:5" x14ac:dyDescent="0.25">
      <c r="A599">
        <v>90961</v>
      </c>
      <c r="B599" s="3">
        <v>45230</v>
      </c>
      <c r="C599">
        <v>6035</v>
      </c>
      <c r="D599" t="s">
        <v>33</v>
      </c>
      <c r="E599" s="4">
        <v>3.5381800000000001E-8</v>
      </c>
    </row>
    <row r="600" spans="1:5" x14ac:dyDescent="0.25">
      <c r="A600">
        <v>90961</v>
      </c>
      <c r="B600" s="3">
        <v>45260</v>
      </c>
      <c r="C600">
        <v>6035</v>
      </c>
      <c r="D600" t="s">
        <v>33</v>
      </c>
      <c r="E600">
        <v>0.13055554</v>
      </c>
    </row>
    <row r="601" spans="1:5" x14ac:dyDescent="0.25">
      <c r="A601">
        <v>90961</v>
      </c>
      <c r="B601" s="3">
        <v>45289</v>
      </c>
      <c r="C601">
        <v>6035</v>
      </c>
      <c r="D601" t="s">
        <v>33</v>
      </c>
      <c r="E601">
        <v>0.162981138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9840B-3BA4-4A6C-BF14-E9BEFB936500}">
  <sheetPr codeName="Sheet5"/>
  <dimension ref="A1:TL2943"/>
  <sheetViews>
    <sheetView workbookViewId="0">
      <selection activeCell="B6" sqref="B6"/>
    </sheetView>
  </sheetViews>
  <sheetFormatPr defaultRowHeight="15" x14ac:dyDescent="0.25"/>
  <cols>
    <col min="1" max="1" width="10.42578125" bestFit="1" customWidth="1"/>
    <col min="532" max="532" width="0" hidden="1" customWidth="1"/>
  </cols>
  <sheetData>
    <row r="1" spans="1:18" x14ac:dyDescent="0.25">
      <c r="B1" s="18" t="s">
        <v>18</v>
      </c>
      <c r="N1" s="18" t="s">
        <v>44</v>
      </c>
      <c r="O1">
        <v>250</v>
      </c>
    </row>
    <row r="2" spans="1:18" x14ac:dyDescent="0.25">
      <c r="A2" s="18" t="s">
        <v>20</v>
      </c>
      <c r="B2" s="27">
        <f>Portfolio!F4</f>
        <v>0.04</v>
      </c>
      <c r="C2" s="27">
        <f>Portfolio!F5</f>
        <v>0.13089485874894766</v>
      </c>
      <c r="D2" s="27">
        <f>Portfolio!F6</f>
        <v>0.04</v>
      </c>
      <c r="E2" s="27">
        <f>Portfolio!F7</f>
        <v>0.04</v>
      </c>
      <c r="F2" s="27">
        <f>Portfolio!F8</f>
        <v>0.22</v>
      </c>
      <c r="G2" s="27">
        <f>Portfolio!F9</f>
        <v>0.17879592788769019</v>
      </c>
      <c r="H2" s="27">
        <f>Portfolio!F10</f>
        <v>7.0987824688594311E-2</v>
      </c>
      <c r="I2" s="27">
        <f>Portfolio!F11</f>
        <v>0.19932138867476784</v>
      </c>
      <c r="J2" s="27">
        <f>Portfolio!F12</f>
        <v>0.04</v>
      </c>
      <c r="K2" s="27">
        <f>Portfolio!F13</f>
        <v>4.0000000000000008E-2</v>
      </c>
    </row>
    <row r="3" spans="1:18" x14ac:dyDescent="0.25">
      <c r="A3" s="17" t="s">
        <v>19</v>
      </c>
      <c r="B3" s="17" t="str">
        <f>YTDraw!C2</f>
        <v>PVBC</v>
      </c>
      <c r="C3" s="17" t="str">
        <f>YTDraw!C252</f>
        <v>UPWK</v>
      </c>
      <c r="D3" s="17" t="str">
        <f>YTDraw!C502</f>
        <v>L</v>
      </c>
      <c r="E3" s="17" t="str">
        <f>YTDraw!C752</f>
        <v>EML</v>
      </c>
      <c r="F3" s="17" t="str">
        <f>YTDraw!C1002</f>
        <v>JBHT</v>
      </c>
      <c r="G3" s="17" t="str">
        <f>YTDraw!C1252</f>
        <v>MCY</v>
      </c>
      <c r="H3" s="17" t="str">
        <f>YTDraw!C1502</f>
        <v>CRVL</v>
      </c>
      <c r="I3" s="17" t="str">
        <f>YTDraw!C1752</f>
        <v>AAON</v>
      </c>
      <c r="J3" s="17" t="str">
        <f>YTDraw!C2002</f>
        <v>BMRC</v>
      </c>
      <c r="K3" s="17" t="str">
        <f>YTDraw!C2252</f>
        <v>WSBF</v>
      </c>
      <c r="M3" s="17" t="s">
        <v>21</v>
      </c>
      <c r="N3" s="17" t="s">
        <v>22</v>
      </c>
      <c r="O3" s="17" t="s">
        <v>23</v>
      </c>
      <c r="P3" s="17" t="s">
        <v>24</v>
      </c>
    </row>
    <row r="4" spans="1:18" x14ac:dyDescent="0.25">
      <c r="A4" s="28">
        <v>44929</v>
      </c>
      <c r="B4">
        <v>-1.3736577238887548E-3</v>
      </c>
      <c r="C4">
        <v>3.2567065209150314E-2</v>
      </c>
      <c r="D4">
        <v>4.457368515431881E-3</v>
      </c>
      <c r="E4">
        <v>2.7489561587572098E-2</v>
      </c>
      <c r="F4">
        <v>-1.0094027034938335E-2</v>
      </c>
      <c r="G4">
        <v>4.0935492143034935E-3</v>
      </c>
      <c r="H4">
        <v>4.8166033811867237E-3</v>
      </c>
      <c r="I4">
        <v>-6.5055480226874352E-3</v>
      </c>
      <c r="J4">
        <v>-1.0492737405002117E-2</v>
      </c>
      <c r="K4">
        <v>1.5661278739571571E-2</v>
      </c>
      <c r="M4">
        <f>SUMPRODUCT($B$2:$K$2,B4:K4)</f>
        <v>3.2489832618514919E-3</v>
      </c>
      <c r="N4">
        <f>1+M4</f>
        <v>1.0032489832618514</v>
      </c>
      <c r="O4">
        <f>PRODUCT($N$4:N4)-1</f>
        <v>3.2489832618514125E-3</v>
      </c>
      <c r="P4" s="8">
        <f ca="1">PRODUCT(N4:INDIRECT(CONCATENATE("N",O1+3)))-1</f>
        <v>0.31912996495335144</v>
      </c>
    </row>
    <row r="5" spans="1:18" x14ac:dyDescent="0.25">
      <c r="A5" s="29">
        <v>44930</v>
      </c>
      <c r="B5">
        <v>3.3012412488460541E-2</v>
      </c>
      <c r="C5">
        <v>5.6586328893899918E-2</v>
      </c>
      <c r="D5">
        <v>1.1606081388890743E-2</v>
      </c>
      <c r="E5">
        <v>-2.5239393580704927E-3</v>
      </c>
      <c r="F5">
        <v>1.3789047487080097E-2</v>
      </c>
      <c r="G5">
        <v>1.630755327641964E-2</v>
      </c>
      <c r="H5">
        <v>-1.7393641173839569E-2</v>
      </c>
      <c r="I5">
        <v>-4.2229101061820984E-2</v>
      </c>
      <c r="J5">
        <v>5.9935362078249454E-3</v>
      </c>
      <c r="K5">
        <v>-1.1422088369727135E-2</v>
      </c>
      <c r="M5">
        <f t="shared" ref="M5:M68" si="0">SUMPRODUCT($B$2:$K$2,B5:K5)</f>
        <v>5.170914372302572E-3</v>
      </c>
      <c r="N5">
        <f t="shared" ref="N5:N68" si="1">1+M5</f>
        <v>1.0051709143723027</v>
      </c>
      <c r="O5">
        <f>PRODUCT($N$4:N5)-1</f>
        <v>8.436697848398067E-3</v>
      </c>
    </row>
    <row r="6" spans="1:18" x14ac:dyDescent="0.25">
      <c r="A6" s="29">
        <v>44931</v>
      </c>
      <c r="B6">
        <v>-4.5272987335920334E-2</v>
      </c>
      <c r="C6">
        <v>9.657563641667366E-3</v>
      </c>
      <c r="D6">
        <v>-1.0123397223651409E-3</v>
      </c>
      <c r="E6">
        <v>-1.4170074835419655E-2</v>
      </c>
      <c r="F6">
        <v>-3.3032339066267014E-2</v>
      </c>
      <c r="G6">
        <v>2.2636018693447113E-2</v>
      </c>
      <c r="H6">
        <v>-1.7353164032101631E-2</v>
      </c>
      <c r="I6">
        <v>-1.632479764521122E-2</v>
      </c>
      <c r="J6">
        <v>-1.4665430411696434E-2</v>
      </c>
      <c r="K6">
        <v>-4.6216016635298729E-3</v>
      </c>
      <c r="M6">
        <f t="shared" si="0"/>
        <v>-9.6312032612043321E-3</v>
      </c>
      <c r="N6">
        <f t="shared" si="1"/>
        <v>0.99036879673879563</v>
      </c>
      <c r="O6">
        <f>PRODUCT($N$4:N6)-1</f>
        <v>-1.2757609646375512E-3</v>
      </c>
    </row>
    <row r="7" spans="1:18" x14ac:dyDescent="0.25">
      <c r="A7" s="29">
        <v>44932</v>
      </c>
      <c r="B7">
        <v>3.4867502748966217E-2</v>
      </c>
      <c r="C7">
        <v>-8.6956853047013283E-3</v>
      </c>
      <c r="D7">
        <v>2.1280225366353989E-2</v>
      </c>
      <c r="E7">
        <v>7.7001857571303844E-3</v>
      </c>
      <c r="F7">
        <v>4.0425509214401245E-2</v>
      </c>
      <c r="G7">
        <v>2.0734146237373352E-2</v>
      </c>
      <c r="H7">
        <v>2.2127624601125717E-2</v>
      </c>
      <c r="I7">
        <v>5.2340459078550339E-2</v>
      </c>
      <c r="J7">
        <v>1.457368116825819E-2</v>
      </c>
      <c r="K7">
        <v>1.3929246924817562E-2</v>
      </c>
      <c r="M7">
        <f t="shared" si="0"/>
        <v>2.7159971044946628E-2</v>
      </c>
      <c r="N7">
        <f t="shared" si="1"/>
        <v>1.0271599710449466</v>
      </c>
      <c r="O7">
        <f>PRODUCT($N$4:N7)-1</f>
        <v>2.5849560449449305E-2</v>
      </c>
    </row>
    <row r="8" spans="1:18" x14ac:dyDescent="0.25">
      <c r="A8" s="29">
        <v>44935</v>
      </c>
      <c r="B8">
        <v>-4.9865212291479111E-2</v>
      </c>
      <c r="C8">
        <v>1.2280732393264771E-2</v>
      </c>
      <c r="D8">
        <v>-2.4805687367916107E-2</v>
      </c>
      <c r="E8">
        <v>8.9658699929714203E-2</v>
      </c>
      <c r="F8">
        <v>9.0888785198330879E-3</v>
      </c>
      <c r="G8">
        <v>-2.3332376033067703E-2</v>
      </c>
      <c r="H8">
        <v>1.7346655949950218E-2</v>
      </c>
      <c r="I8">
        <v>2.9653755482286215E-3</v>
      </c>
      <c r="J8">
        <v>-9.4743696972727776E-3</v>
      </c>
      <c r="K8">
        <v>-5.7905202265828848E-4</v>
      </c>
      <c r="M8">
        <f t="shared" si="0"/>
        <v>1.455143469395528E-3</v>
      </c>
      <c r="N8">
        <f t="shared" si="1"/>
        <v>1.0014551434693955</v>
      </c>
      <c r="O8">
        <f>PRODUCT($N$4:N8)-1</f>
        <v>2.7342318737919591E-2</v>
      </c>
      <c r="P8" s="17" t="s">
        <v>25</v>
      </c>
    </row>
    <row r="9" spans="1:18" x14ac:dyDescent="0.25">
      <c r="A9" s="29">
        <v>44936</v>
      </c>
      <c r="B9">
        <v>2.127654105424881E-2</v>
      </c>
      <c r="C9">
        <v>-5.1993429660797119E-3</v>
      </c>
      <c r="D9">
        <v>1.1870390735566616E-3</v>
      </c>
      <c r="E9">
        <v>6.8723760545253754E-2</v>
      </c>
      <c r="F9">
        <v>-1.272232923656702E-2</v>
      </c>
      <c r="G9">
        <v>1.4052838087081909E-2</v>
      </c>
      <c r="H9">
        <v>1.8619636073708534E-2</v>
      </c>
      <c r="I9">
        <v>1.6126822680234909E-2</v>
      </c>
      <c r="J9">
        <v>5.8623459190130234E-3</v>
      </c>
      <c r="K9">
        <v>5.7937647216022015E-3</v>
      </c>
      <c r="M9">
        <f t="shared" si="0"/>
        <v>7.6830367355071897E-3</v>
      </c>
      <c r="N9">
        <f t="shared" si="1"/>
        <v>1.0076830367355072</v>
      </c>
      <c r="O9">
        <f>PRODUCT($N$4:N9)-1</f>
        <v>3.5235427512724238E-2</v>
      </c>
      <c r="P9" s="8">
        <f ca="1">_xlfn.STDEV.S(M4:INDIRECT(CONCATENATE("M",O1+3)))*SQRT(O1)</f>
        <v>0.21162071947730113</v>
      </c>
    </row>
    <row r="10" spans="1:18" x14ac:dyDescent="0.25">
      <c r="A10" s="29">
        <v>44937</v>
      </c>
      <c r="B10">
        <v>0</v>
      </c>
      <c r="C10">
        <v>7.2299733757972717E-2</v>
      </c>
      <c r="D10">
        <v>1.3380774296820164E-2</v>
      </c>
      <c r="E10">
        <v>1.7935251817107201E-2</v>
      </c>
      <c r="F10">
        <v>3.0220022425055504E-2</v>
      </c>
      <c r="G10">
        <v>-3.1319320201873779E-2</v>
      </c>
      <c r="H10">
        <v>1.6069592908024788E-2</v>
      </c>
      <c r="I10">
        <v>4.7612828202545643E-3</v>
      </c>
      <c r="J10">
        <v>-1.104284729808569E-2</v>
      </c>
      <c r="K10">
        <v>-5.1843402907252312E-3</v>
      </c>
      <c r="M10">
        <f t="shared" si="0"/>
        <v>1.3205625943825922E-2</v>
      </c>
      <c r="N10">
        <f t="shared" si="1"/>
        <v>1.013205625943826</v>
      </c>
      <c r="O10">
        <f>PRODUCT($N$4:N10)-1</f>
        <v>4.8906359332254068E-2</v>
      </c>
      <c r="R10" s="2">
        <v>80679969</v>
      </c>
    </row>
    <row r="11" spans="1:18" x14ac:dyDescent="0.25">
      <c r="A11" s="29">
        <v>44938</v>
      </c>
      <c r="B11">
        <v>3.3333368599414825E-2</v>
      </c>
      <c r="C11">
        <v>2.3558078333735466E-2</v>
      </c>
      <c r="D11">
        <v>8.3568837726488709E-4</v>
      </c>
      <c r="E11">
        <v>4.2973947711288929E-3</v>
      </c>
      <c r="F11">
        <v>-5.700679961591959E-3</v>
      </c>
      <c r="G11">
        <v>9.4420034438371658E-3</v>
      </c>
      <c r="H11">
        <v>1.7528854310512543E-2</v>
      </c>
      <c r="I11">
        <v>1.0135535150766373E-2</v>
      </c>
      <c r="J11">
        <v>1.8300252035260201E-2</v>
      </c>
      <c r="K11">
        <v>9.8436633124947548E-3</v>
      </c>
      <c r="M11">
        <f t="shared" si="0"/>
        <v>9.4466523730221425E-3</v>
      </c>
      <c r="N11">
        <f t="shared" si="1"/>
        <v>1.0094466523730221</v>
      </c>
      <c r="O11">
        <f>PRODUCT($N$4:N11)-1</f>
        <v>5.8815013080718126E-2</v>
      </c>
    </row>
    <row r="12" spans="1:18" x14ac:dyDescent="0.25">
      <c r="A12" s="29">
        <v>44939</v>
      </c>
      <c r="B12">
        <v>-1.344116753898561E-3</v>
      </c>
      <c r="C12">
        <v>0</v>
      </c>
      <c r="D12">
        <v>5.6780250743031502E-3</v>
      </c>
      <c r="E12">
        <v>-7.2742863558232784E-3</v>
      </c>
      <c r="F12">
        <v>-1.5864130109548569E-2</v>
      </c>
      <c r="G12">
        <v>1.502275001257658E-2</v>
      </c>
      <c r="H12">
        <v>1.3081982731819153E-2</v>
      </c>
      <c r="I12">
        <v>1.4725109562277794E-2</v>
      </c>
      <c r="J12">
        <v>1.5229738783091307E-3</v>
      </c>
      <c r="K12">
        <v>5.7339668273925781E-3</v>
      </c>
      <c r="M12">
        <f t="shared" si="0"/>
        <v>3.2322511937209835E-3</v>
      </c>
      <c r="N12">
        <f t="shared" si="1"/>
        <v>1.0032322511937211</v>
      </c>
      <c r="O12">
        <f>PRODUCT($N$4:N12)-1</f>
        <v>6.2237369170678125E-2</v>
      </c>
    </row>
    <row r="13" spans="1:18" x14ac:dyDescent="0.25">
      <c r="A13" s="29">
        <v>44943</v>
      </c>
      <c r="B13">
        <v>1.8842576071619987E-2</v>
      </c>
      <c r="C13">
        <v>-3.9682690985500813E-3</v>
      </c>
      <c r="D13">
        <v>-1.4447072520852089E-2</v>
      </c>
      <c r="E13">
        <v>4.3102786876261234E-3</v>
      </c>
      <c r="F13">
        <v>-2.8846706263720989E-3</v>
      </c>
      <c r="G13">
        <v>-8.0983219668269157E-3</v>
      </c>
      <c r="H13">
        <v>3.3050015568733215E-2</v>
      </c>
      <c r="I13">
        <v>-9.8883295431733131E-3</v>
      </c>
      <c r="J13">
        <v>-5.4744617082178593E-3</v>
      </c>
      <c r="K13">
        <v>-7.9818293452262878E-3</v>
      </c>
      <c r="M13">
        <f t="shared" si="0"/>
        <v>-2.4168277689989677E-3</v>
      </c>
      <c r="N13">
        <f t="shared" si="1"/>
        <v>0.99758317223100101</v>
      </c>
      <c r="O13">
        <f>PRODUCT($N$4:N13)-1</f>
        <v>5.9670124399598068E-2</v>
      </c>
    </row>
    <row r="14" spans="1:18" x14ac:dyDescent="0.25">
      <c r="A14" s="29">
        <v>44944</v>
      </c>
      <c r="B14">
        <v>3.1704064458608627E-2</v>
      </c>
      <c r="C14">
        <v>3.9840787649154663E-3</v>
      </c>
      <c r="D14">
        <v>-1.4827249571681023E-2</v>
      </c>
      <c r="E14">
        <v>-4.7639429569244385E-2</v>
      </c>
      <c r="F14">
        <v>4.9520742148160934E-2</v>
      </c>
      <c r="G14">
        <v>-1.1542788706719875E-2</v>
      </c>
      <c r="H14">
        <v>-1.3490147888660431E-2</v>
      </c>
      <c r="I14">
        <v>-2.3086884990334511E-2</v>
      </c>
      <c r="J14">
        <v>-3.6391451954841614E-2</v>
      </c>
      <c r="K14">
        <v>-1.4367816038429737E-2</v>
      </c>
      <c r="M14">
        <f t="shared" si="0"/>
        <v>5.320335457290724E-4</v>
      </c>
      <c r="N14">
        <f t="shared" si="1"/>
        <v>1.0005320335457291</v>
      </c>
      <c r="O14">
        <f>PRODUCT($N$4:N14)-1</f>
        <v>6.0233904453185438E-2</v>
      </c>
    </row>
    <row r="15" spans="1:18" x14ac:dyDescent="0.25">
      <c r="A15" s="29">
        <v>44945</v>
      </c>
      <c r="B15">
        <v>3.0729865655303001E-2</v>
      </c>
      <c r="C15">
        <v>-2.4603206664323807E-2</v>
      </c>
      <c r="D15">
        <v>-6.841141264885664E-3</v>
      </c>
      <c r="E15">
        <v>-4.0558879263699055E-3</v>
      </c>
      <c r="F15">
        <v>-1.026929123327136E-3</v>
      </c>
      <c r="G15">
        <v>-2.1361434832215309E-2</v>
      </c>
      <c r="H15">
        <v>4.1400305926799774E-3</v>
      </c>
      <c r="I15">
        <v>-2.934146486222744E-2</v>
      </c>
      <c r="J15">
        <v>0</v>
      </c>
      <c r="K15">
        <v>4.0816147811710835E-3</v>
      </c>
      <c r="M15">
        <f t="shared" si="0"/>
        <v>-1.186360693643192E-2</v>
      </c>
      <c r="N15">
        <f t="shared" si="1"/>
        <v>0.98813639306356804</v>
      </c>
      <c r="O15">
        <f>PRODUCT($N$4:N15)-1</f>
        <v>4.7655706150074195E-2</v>
      </c>
    </row>
    <row r="16" spans="1:18" x14ac:dyDescent="0.25">
      <c r="A16" s="29">
        <v>44946</v>
      </c>
      <c r="B16">
        <v>3.602483868598938E-2</v>
      </c>
      <c r="C16">
        <v>1.8714442849159241E-2</v>
      </c>
      <c r="D16">
        <v>1.5326320193707943E-2</v>
      </c>
      <c r="E16">
        <v>1.221721526235342E-2</v>
      </c>
      <c r="F16">
        <v>2.3102333769202232E-2</v>
      </c>
      <c r="G16">
        <v>1.3387633487582207E-2</v>
      </c>
      <c r="H16">
        <v>2.8735574334859848E-2</v>
      </c>
      <c r="I16">
        <v>2.188428770750761E-3</v>
      </c>
      <c r="J16">
        <v>2.8562408406287432E-3</v>
      </c>
      <c r="K16">
        <v>8.7108900770545006E-3</v>
      </c>
      <c r="M16">
        <f t="shared" si="0"/>
        <v>1.5407288911363334E-2</v>
      </c>
      <c r="N16">
        <f t="shared" si="1"/>
        <v>1.0154072889113632</v>
      </c>
      <c r="O16">
        <f>PRODUCT($N$4:N16)-1</f>
        <v>6.379724029436673E-2</v>
      </c>
    </row>
    <row r="17" spans="1:15" x14ac:dyDescent="0.25">
      <c r="A17" s="29">
        <v>44949</v>
      </c>
      <c r="B17">
        <v>1.1990338563919067E-2</v>
      </c>
      <c r="C17">
        <v>2.7156485244631767E-2</v>
      </c>
      <c r="D17">
        <v>1.0515650734305382E-2</v>
      </c>
      <c r="E17">
        <v>-2.7715727686882019E-2</v>
      </c>
      <c r="F17">
        <v>2.3902637884020805E-2</v>
      </c>
      <c r="G17">
        <v>1.0051650926470757E-2</v>
      </c>
      <c r="H17">
        <v>0</v>
      </c>
      <c r="I17">
        <v>1.0509135201573372E-2</v>
      </c>
      <c r="J17">
        <v>-1.9303817301988602E-2</v>
      </c>
      <c r="K17">
        <v>-1.0938430204987526E-2</v>
      </c>
      <c r="M17">
        <f t="shared" si="0"/>
        <v>1.1287034875223175E-2</v>
      </c>
      <c r="N17">
        <f t="shared" si="1"/>
        <v>1.0112870348752232</v>
      </c>
      <c r="O17">
        <f>PRODUCT($N$4:N17)-1</f>
        <v>7.5804356845735388E-2</v>
      </c>
    </row>
    <row r="18" spans="1:15" x14ac:dyDescent="0.25">
      <c r="A18" s="29">
        <v>44950</v>
      </c>
      <c r="B18">
        <v>-2.2511798888444901E-2</v>
      </c>
      <c r="C18">
        <v>-3.2659415155649185E-2</v>
      </c>
      <c r="D18">
        <v>1.0909662581980228E-2</v>
      </c>
      <c r="E18">
        <v>5.9769731014966965E-3</v>
      </c>
      <c r="F18">
        <v>-8.9866248890757561E-3</v>
      </c>
      <c r="G18">
        <v>1.1373590677976608E-3</v>
      </c>
      <c r="H18">
        <v>-5.950909573584795E-3</v>
      </c>
      <c r="I18">
        <v>1.0264750570058823E-2</v>
      </c>
      <c r="J18">
        <v>-3.5172641277313232E-2</v>
      </c>
      <c r="K18">
        <v>2.3282309994101524E-3</v>
      </c>
      <c r="M18">
        <f t="shared" si="0"/>
        <v>-5.9638925661881625E-3</v>
      </c>
      <c r="N18">
        <f t="shared" si="1"/>
        <v>0.99403610743381188</v>
      </c>
      <c r="O18">
        <f>PRODUCT($N$4:N18)-1</f>
        <v>6.9388375239270328E-2</v>
      </c>
    </row>
    <row r="19" spans="1:15" x14ac:dyDescent="0.25">
      <c r="A19" s="29">
        <v>44951</v>
      </c>
      <c r="B19">
        <v>1.2121489271521568E-3</v>
      </c>
      <c r="C19">
        <v>-8.8424161076545715E-3</v>
      </c>
      <c r="D19">
        <v>5.9770978987216949E-3</v>
      </c>
      <c r="E19">
        <v>3.1993421725928783E-3</v>
      </c>
      <c r="F19">
        <v>-1.7041923478245735E-2</v>
      </c>
      <c r="G19">
        <v>-1.4200294390320778E-3</v>
      </c>
      <c r="H19">
        <v>6.5974458120763302E-3</v>
      </c>
      <c r="I19">
        <v>-7.2192633524537086E-3</v>
      </c>
      <c r="J19">
        <v>-1.0033419355750084E-2</v>
      </c>
      <c r="K19">
        <v>0</v>
      </c>
      <c r="M19">
        <f t="shared" si="0"/>
        <v>-6.1169539380155954E-3</v>
      </c>
      <c r="N19">
        <f t="shared" si="1"/>
        <v>0.99388304606198441</v>
      </c>
      <c r="O19">
        <f>PRODUCT($N$4:N19)-1</f>
        <v>6.2846975806082339E-2</v>
      </c>
    </row>
    <row r="20" spans="1:15" x14ac:dyDescent="0.25">
      <c r="A20" s="29">
        <v>44952</v>
      </c>
      <c r="B20">
        <v>3.6319289356470108E-3</v>
      </c>
      <c r="C20">
        <v>1.1354448273777962E-2</v>
      </c>
      <c r="D20">
        <v>9.2424722388386726E-3</v>
      </c>
      <c r="E20">
        <v>4.5550437062047422E-4</v>
      </c>
      <c r="F20">
        <v>5.8321724645793438E-4</v>
      </c>
      <c r="G20">
        <v>-1.1376608163118362E-2</v>
      </c>
      <c r="H20">
        <v>1.9359160214662552E-2</v>
      </c>
      <c r="I20">
        <v>-4.8478399403393269E-3</v>
      </c>
      <c r="J20">
        <v>9.797263890504837E-3</v>
      </c>
      <c r="K20">
        <v>-1.8002292141318321E-2</v>
      </c>
      <c r="M20">
        <f t="shared" si="0"/>
        <v>1.9343705867686943E-4</v>
      </c>
      <c r="N20">
        <f t="shared" si="1"/>
        <v>1.0001934370586769</v>
      </c>
      <c r="O20">
        <f>PRODUCT($N$4:N20)-1</f>
        <v>6.3052569798905944E-2</v>
      </c>
    </row>
    <row r="21" spans="1:15" x14ac:dyDescent="0.25">
      <c r="A21" s="29">
        <v>44953</v>
      </c>
      <c r="B21">
        <v>0.11218339204788208</v>
      </c>
      <c r="C21">
        <v>5.0521258264780045E-2</v>
      </c>
      <c r="D21">
        <v>-2.6165142189711332E-3</v>
      </c>
      <c r="E21">
        <v>-6.8305837921798229E-3</v>
      </c>
      <c r="F21">
        <v>1.5313688665628433E-2</v>
      </c>
      <c r="G21">
        <v>-4.6029877848923206E-3</v>
      </c>
      <c r="H21">
        <v>2.1134745329618454E-2</v>
      </c>
      <c r="I21">
        <v>8.119058795273304E-3</v>
      </c>
      <c r="J21">
        <v>-7.6948660425841808E-3</v>
      </c>
      <c r="K21">
        <v>-6.4458906650543213E-2</v>
      </c>
      <c r="M21">
        <f t="shared" si="0"/>
        <v>1.3500901522617372E-2</v>
      </c>
      <c r="N21">
        <f t="shared" si="1"/>
        <v>1.0135009015226173</v>
      </c>
      <c r="O21">
        <f>PRODUCT($N$4:N21)-1</f>
        <v>7.7404737857126316E-2</v>
      </c>
    </row>
    <row r="22" spans="1:15" x14ac:dyDescent="0.25">
      <c r="A22" s="29">
        <v>44956</v>
      </c>
      <c r="B22">
        <v>-3.3622603863477707E-2</v>
      </c>
      <c r="C22">
        <v>-3.9694689214229584E-2</v>
      </c>
      <c r="D22">
        <v>-9.3458518385887146E-3</v>
      </c>
      <c r="E22">
        <v>-8.7115373462438583E-3</v>
      </c>
      <c r="F22">
        <v>-3.0374236404895782E-2</v>
      </c>
      <c r="G22">
        <v>6.0694483108818531E-3</v>
      </c>
      <c r="H22">
        <v>7.1711502969264984E-3</v>
      </c>
      <c r="I22">
        <v>-1.3825487345457077E-2</v>
      </c>
      <c r="J22">
        <v>1.0788931511342525E-2</v>
      </c>
      <c r="K22">
        <v>1.2642514193430543E-3</v>
      </c>
      <c r="M22">
        <f t="shared" si="0"/>
        <v>-1.4624693485759677E-2</v>
      </c>
      <c r="N22">
        <f t="shared" si="1"/>
        <v>0.98537530651424032</v>
      </c>
      <c r="O22">
        <f>PRODUCT($N$4:N22)-1</f>
        <v>6.1648023805860541E-2</v>
      </c>
    </row>
    <row r="23" spans="1:15" x14ac:dyDescent="0.25">
      <c r="A23" s="29">
        <v>44957</v>
      </c>
      <c r="B23">
        <v>1.2345748022198677E-2</v>
      </c>
      <c r="C23">
        <v>3.020668588578701E-2</v>
      </c>
      <c r="D23">
        <v>1.7543882131576538E-2</v>
      </c>
      <c r="E23">
        <v>3.700273809954524E-3</v>
      </c>
      <c r="F23">
        <v>1.7546745017170906E-2</v>
      </c>
      <c r="G23">
        <v>2.6429133489727974E-2</v>
      </c>
      <c r="H23">
        <v>3.1316954642534256E-2</v>
      </c>
      <c r="I23">
        <v>3.8791321218013763E-2</v>
      </c>
      <c r="J23">
        <v>1.63442213088274E-2</v>
      </c>
      <c r="K23">
        <v>1.6414156183600426E-2</v>
      </c>
      <c r="M23">
        <f t="shared" si="0"/>
        <v>2.5148598989529737E-2</v>
      </c>
      <c r="N23">
        <f t="shared" si="1"/>
        <v>1.0251485989895297</v>
      </c>
      <c r="O23">
        <f>PRODUCT($N$4:N23)-1</f>
        <v>8.834698422458076E-2</v>
      </c>
    </row>
    <row r="24" spans="1:15" x14ac:dyDescent="0.25">
      <c r="A24" s="29">
        <v>44958</v>
      </c>
      <c r="B24">
        <v>-1.219518855214119E-2</v>
      </c>
      <c r="C24">
        <v>4.5524701476097107E-2</v>
      </c>
      <c r="D24">
        <v>-1.5289503149688244E-2</v>
      </c>
      <c r="E24">
        <v>1.336400955915451E-2</v>
      </c>
      <c r="F24">
        <v>3.6551196128129959E-2</v>
      </c>
      <c r="G24">
        <v>4.0582165122032166E-2</v>
      </c>
      <c r="H24">
        <v>2.8794283047318459E-2</v>
      </c>
      <c r="I24">
        <v>1.8867956474423409E-2</v>
      </c>
      <c r="J24">
        <v>-9.8453497048467398E-4</v>
      </c>
      <c r="K24">
        <v>6.211322033777833E-4</v>
      </c>
      <c r="M24">
        <f t="shared" si="0"/>
        <v>2.6481605792718216E-2</v>
      </c>
      <c r="N24">
        <f t="shared" si="1"/>
        <v>1.0264816057927182</v>
      </c>
      <c r="O24">
        <f>PRODUCT($N$4:N24)-1</f>
        <v>0.11716816002650976</v>
      </c>
    </row>
    <row r="25" spans="1:15" x14ac:dyDescent="0.25">
      <c r="A25" s="29">
        <v>44959</v>
      </c>
      <c r="B25">
        <v>7.1829445660114288E-2</v>
      </c>
      <c r="C25">
        <v>7.2324685752391815E-2</v>
      </c>
      <c r="D25">
        <v>-5.9464918449521065E-3</v>
      </c>
      <c r="E25">
        <v>-4.0927762165665627E-3</v>
      </c>
      <c r="F25">
        <v>7.0932810194790363E-3</v>
      </c>
      <c r="G25">
        <v>2.5551391765475273E-2</v>
      </c>
      <c r="H25">
        <v>3.1261995434761047E-2</v>
      </c>
      <c r="I25">
        <v>2.7906354516744614E-2</v>
      </c>
      <c r="J25">
        <v>2.2667497396469116E-2</v>
      </c>
      <c r="K25">
        <v>2.1725540980696678E-2</v>
      </c>
      <c r="M25">
        <f t="shared" si="0"/>
        <v>2.7624819174933601E-2</v>
      </c>
      <c r="N25">
        <f t="shared" si="1"/>
        <v>1.0276248191749335</v>
      </c>
      <c r="O25">
        <f>PRODUCT($N$4:N25)-1</f>
        <v>0.14802972843523521</v>
      </c>
    </row>
    <row r="26" spans="1:15" x14ac:dyDescent="0.25">
      <c r="A26" s="29">
        <v>44960</v>
      </c>
      <c r="B26">
        <v>-1.8848199397325516E-2</v>
      </c>
      <c r="C26">
        <v>-5.29937744140625E-2</v>
      </c>
      <c r="D26">
        <v>-1.3293756637722254E-3</v>
      </c>
      <c r="E26">
        <v>2.2835927666164935E-4</v>
      </c>
      <c r="F26">
        <v>2.7362213004380465E-3</v>
      </c>
      <c r="G26">
        <v>1.25885009765625E-2</v>
      </c>
      <c r="H26">
        <v>-2.0950198173522949E-2</v>
      </c>
      <c r="I26">
        <v>1.06342863291502E-2</v>
      </c>
      <c r="J26">
        <v>6.1528673395514488E-3</v>
      </c>
      <c r="K26">
        <v>2.4301894009113312E-3</v>
      </c>
      <c r="M26">
        <f t="shared" si="0"/>
        <v>-3.9060858557873222E-3</v>
      </c>
      <c r="N26">
        <f t="shared" si="1"/>
        <v>0.99609391414421267</v>
      </c>
      <c r="O26">
        <f>PRODUCT($N$4:N26)-1</f>
        <v>0.14354542575097096</v>
      </c>
    </row>
    <row r="27" spans="1:15" x14ac:dyDescent="0.25">
      <c r="A27" s="29">
        <v>44963</v>
      </c>
      <c r="B27">
        <v>-3.7353195250034332E-2</v>
      </c>
      <c r="C27">
        <v>-6.5407087095081806E-3</v>
      </c>
      <c r="D27">
        <v>2.2296175360679626E-2</v>
      </c>
      <c r="E27">
        <v>-8.9021502062678337E-3</v>
      </c>
      <c r="F27">
        <v>-4.0931706316769123E-3</v>
      </c>
      <c r="G27">
        <v>-1.0878061875700951E-2</v>
      </c>
      <c r="H27">
        <v>-1.6589172184467316E-2</v>
      </c>
      <c r="I27">
        <v>-1.5102763660252094E-2</v>
      </c>
      <c r="J27">
        <v>-4.5059346593916416E-3</v>
      </c>
      <c r="K27">
        <v>3.0302568338811398E-3</v>
      </c>
      <c r="M27">
        <f t="shared" si="0"/>
        <v>-8.9069228374971249E-3</v>
      </c>
      <c r="N27">
        <f t="shared" si="1"/>
        <v>0.99109307716250283</v>
      </c>
      <c r="O27">
        <f>PRODUCT($N$4:N27)-1</f>
        <v>0.1333599548826343</v>
      </c>
    </row>
    <row r="28" spans="1:15" x14ac:dyDescent="0.25">
      <c r="A28" s="29">
        <v>44964</v>
      </c>
      <c r="B28">
        <v>-1.1086728191003203E-3</v>
      </c>
      <c r="C28">
        <v>8.0467928200960159E-3</v>
      </c>
      <c r="D28">
        <v>2.1321637555956841E-2</v>
      </c>
      <c r="E28">
        <v>2.9479563236236572E-2</v>
      </c>
      <c r="F28">
        <v>1.43088698387146E-2</v>
      </c>
      <c r="G28">
        <v>1.6234688460826874E-2</v>
      </c>
      <c r="H28">
        <v>2.967192605137825E-2</v>
      </c>
      <c r="I28">
        <v>-2.5389602407813072E-2</v>
      </c>
      <c r="J28">
        <v>4.5263301581144333E-3</v>
      </c>
      <c r="K28">
        <v>-7.2506912983953953E-3</v>
      </c>
      <c r="M28">
        <f t="shared" si="0"/>
        <v>6.0283127096019719E-3</v>
      </c>
      <c r="N28">
        <f t="shared" si="1"/>
        <v>1.0060283127096019</v>
      </c>
      <c r="O28">
        <f>PRODUCT($N$4:N28)-1</f>
        <v>0.14019220310320724</v>
      </c>
    </row>
    <row r="29" spans="1:15" x14ac:dyDescent="0.25">
      <c r="A29" s="29">
        <v>44965</v>
      </c>
      <c r="B29">
        <v>-2.6637043803930283E-2</v>
      </c>
      <c r="C29">
        <v>-2.3222038522362709E-2</v>
      </c>
      <c r="D29">
        <v>-1.0995994322001934E-2</v>
      </c>
      <c r="E29">
        <v>-1.8344512209296227E-2</v>
      </c>
      <c r="F29">
        <v>-1.0855418629944324E-2</v>
      </c>
      <c r="G29">
        <v>-5.4110512137413025E-3</v>
      </c>
      <c r="H29">
        <v>-3.0524581670761108E-2</v>
      </c>
      <c r="I29">
        <v>-6.1903963796794415E-3</v>
      </c>
      <c r="J29">
        <v>-1.9954906776547432E-2</v>
      </c>
      <c r="K29">
        <v>-1.0346930474042892E-2</v>
      </c>
      <c r="M29">
        <f t="shared" si="0"/>
        <v>-1.3247239032058109E-2</v>
      </c>
      <c r="N29">
        <f t="shared" si="1"/>
        <v>0.98675276096794184</v>
      </c>
      <c r="O29">
        <f>PRODUCT($N$4:N29)-1</f>
        <v>0.12508780444621004</v>
      </c>
    </row>
    <row r="30" spans="1:15" x14ac:dyDescent="0.25">
      <c r="A30" s="29">
        <v>44966</v>
      </c>
      <c r="B30">
        <v>1.2542719952762127E-2</v>
      </c>
      <c r="C30">
        <v>-2.971765398979187E-2</v>
      </c>
      <c r="D30">
        <v>-4.9951882101595402E-3</v>
      </c>
      <c r="E30">
        <v>-1.1394712142646313E-2</v>
      </c>
      <c r="F30">
        <v>-3.0344400554895401E-2</v>
      </c>
      <c r="G30">
        <v>-3.4455910325050354E-2</v>
      </c>
      <c r="H30">
        <v>-3.9632366970181465E-3</v>
      </c>
      <c r="I30">
        <v>-1.3495989143848419E-2</v>
      </c>
      <c r="J30">
        <v>-7.2249989025294781E-3</v>
      </c>
      <c r="K30">
        <v>-8.6100483313202858E-3</v>
      </c>
      <c r="M30">
        <f t="shared" si="0"/>
        <v>-2.0484902656097845E-2</v>
      </c>
      <c r="N30">
        <f t="shared" si="1"/>
        <v>0.97951509734390219</v>
      </c>
      <c r="O30">
        <f>PRODUCT($N$4:N30)-1</f>
        <v>0.10204049029256668</v>
      </c>
    </row>
    <row r="31" spans="1:15" x14ac:dyDescent="0.25">
      <c r="A31" s="29">
        <v>44967</v>
      </c>
      <c r="B31">
        <v>1.5765804797410965E-2</v>
      </c>
      <c r="C31">
        <v>-4.2879052460193634E-2</v>
      </c>
      <c r="D31">
        <v>6.8015898577868938E-3</v>
      </c>
      <c r="E31">
        <v>9.2207863926887512E-3</v>
      </c>
      <c r="F31">
        <v>-3.711209399625659E-3</v>
      </c>
      <c r="G31">
        <v>-2.4148148950189352E-3</v>
      </c>
      <c r="H31">
        <v>-6.0237431898713112E-3</v>
      </c>
      <c r="I31">
        <v>-1.0523486882448196E-2</v>
      </c>
      <c r="J31">
        <v>4.6312040649354458E-3</v>
      </c>
      <c r="K31">
        <v>-4.0322910062968731E-3</v>
      </c>
      <c r="M31">
        <f t="shared" si="0"/>
        <v>-8.0905573331963038E-3</v>
      </c>
      <c r="N31">
        <f t="shared" si="1"/>
        <v>0.9919094426668037</v>
      </c>
      <c r="O31">
        <f>PRODUCT($N$4:N31)-1</f>
        <v>9.3124368522350842E-2</v>
      </c>
    </row>
    <row r="32" spans="1:15" x14ac:dyDescent="0.25">
      <c r="A32" s="29">
        <v>44970</v>
      </c>
      <c r="B32">
        <v>2.1064253523945808E-2</v>
      </c>
      <c r="C32">
        <v>4.4800031930208206E-2</v>
      </c>
      <c r="D32">
        <v>6.4339959062635899E-3</v>
      </c>
      <c r="E32">
        <v>2.7410404291003942E-3</v>
      </c>
      <c r="F32">
        <v>6.6106738522648811E-3</v>
      </c>
      <c r="G32">
        <v>-1.3448090292513371E-2</v>
      </c>
      <c r="H32">
        <v>1.2620951049029827E-2</v>
      </c>
      <c r="I32">
        <v>3.4299410879611969E-2</v>
      </c>
      <c r="J32">
        <v>7.5732478871941566E-3</v>
      </c>
      <c r="K32">
        <v>1.5571234980598092E-3</v>
      </c>
      <c r="M32">
        <f t="shared" si="0"/>
        <v>1.4221304834288961E-2</v>
      </c>
      <c r="N32">
        <f t="shared" si="1"/>
        <v>1.014221304834289</v>
      </c>
      <c r="O32">
        <f>PRODUCT($N$4:N32)-1</f>
        <v>0.10867002338889686</v>
      </c>
    </row>
    <row r="33" spans="1:15" x14ac:dyDescent="0.25">
      <c r="A33" s="29">
        <v>44971</v>
      </c>
      <c r="B33">
        <v>-2.1715505048632622E-2</v>
      </c>
      <c r="C33">
        <v>8.4226382896304131E-3</v>
      </c>
      <c r="D33">
        <v>-1.2625874020159245E-2</v>
      </c>
      <c r="E33">
        <v>-1.0933957993984222E-2</v>
      </c>
      <c r="F33">
        <v>1.297824177891016E-2</v>
      </c>
      <c r="G33">
        <v>8.1788236275315285E-3</v>
      </c>
      <c r="H33">
        <v>-7.9614128917455673E-3</v>
      </c>
      <c r="I33">
        <v>5.7840221561491489E-3</v>
      </c>
      <c r="J33">
        <v>-1.5032712370157242E-2</v>
      </c>
      <c r="K33">
        <v>-1.0572143830358982E-2</v>
      </c>
      <c r="M33">
        <f t="shared" si="0"/>
        <v>3.1725418152139823E-3</v>
      </c>
      <c r="N33">
        <f t="shared" si="1"/>
        <v>1.003172541815214</v>
      </c>
      <c r="O33">
        <f>PRODUCT($N$4:N33)-1</f>
        <v>0.11218732539737242</v>
      </c>
    </row>
    <row r="34" spans="1:15" x14ac:dyDescent="0.25">
      <c r="A34" s="29">
        <v>44972</v>
      </c>
      <c r="B34">
        <v>2.441723644733429E-2</v>
      </c>
      <c r="C34">
        <v>5.8466173708438873E-2</v>
      </c>
      <c r="D34">
        <v>5.9890379197895527E-3</v>
      </c>
      <c r="E34">
        <v>-1.7129668965935707E-2</v>
      </c>
      <c r="F34">
        <v>-1.0033506900072098E-2</v>
      </c>
      <c r="G34">
        <v>-6.9226644933223724E-2</v>
      </c>
      <c r="H34">
        <v>1.5552429482340813E-2</v>
      </c>
      <c r="I34">
        <v>9.0734707191586494E-3</v>
      </c>
      <c r="J34">
        <v>1.9907555542886257E-3</v>
      </c>
      <c r="K34">
        <v>1.005655899643898E-2</v>
      </c>
      <c r="M34">
        <f t="shared" si="0"/>
        <v>-3.0063654647524097E-3</v>
      </c>
      <c r="N34">
        <f t="shared" si="1"/>
        <v>0.99699363453524759</v>
      </c>
      <c r="O34">
        <f>PRODUCT($N$4:N34)-1</f>
        <v>0.10884368383196241</v>
      </c>
    </row>
    <row r="35" spans="1:15" x14ac:dyDescent="0.25">
      <c r="A35" s="29">
        <v>44973</v>
      </c>
      <c r="B35">
        <v>3.1419385224580765E-2</v>
      </c>
      <c r="C35">
        <v>-0.15279765427112579</v>
      </c>
      <c r="D35">
        <v>-7.8841783106327057E-3</v>
      </c>
      <c r="E35">
        <v>1.271787378937006E-2</v>
      </c>
      <c r="F35">
        <v>-2.312888391315937E-2</v>
      </c>
      <c r="G35">
        <v>3.8059309124946594E-2</v>
      </c>
      <c r="H35">
        <v>-1.215331070125103E-2</v>
      </c>
      <c r="I35">
        <v>-3.5460838116705418E-3</v>
      </c>
      <c r="J35">
        <v>-9.271545335650444E-3</v>
      </c>
      <c r="K35">
        <v>-9.9564315751194954E-3</v>
      </c>
      <c r="M35">
        <f t="shared" si="0"/>
        <v>-1.9172475631569132E-2</v>
      </c>
      <c r="N35">
        <f t="shared" si="1"/>
        <v>0.9808275243684309</v>
      </c>
      <c r="O35">
        <f>PRODUCT($N$4:N35)-1</f>
        <v>8.7584405324474757E-2</v>
      </c>
    </row>
    <row r="36" spans="1:15" x14ac:dyDescent="0.25">
      <c r="A36" s="29">
        <v>44974</v>
      </c>
      <c r="B36">
        <v>3.0462179332971573E-2</v>
      </c>
      <c r="C36">
        <v>-7.6206731610000134E-3</v>
      </c>
      <c r="D36">
        <v>-2.4327202700078487E-3</v>
      </c>
      <c r="E36">
        <v>-9.7673991695046425E-3</v>
      </c>
      <c r="F36">
        <v>2.1282744128257036E-3</v>
      </c>
      <c r="G36">
        <v>2.2670064121484756E-2</v>
      </c>
      <c r="H36">
        <v>1.6440533101558685E-2</v>
      </c>
      <c r="I36">
        <v>1.6776813194155693E-2</v>
      </c>
      <c r="J36">
        <v>5.6818206794559956E-3</v>
      </c>
      <c r="K36">
        <v>6.913929246366024E-3</v>
      </c>
      <c r="M36">
        <f t="shared" si="0"/>
        <v>9.2693963614829677E-3</v>
      </c>
      <c r="N36">
        <f t="shared" si="1"/>
        <v>1.0092693963614829</v>
      </c>
      <c r="O36">
        <f>PRODUCT($N$4:N36)-1</f>
        <v>9.7665656253995037E-2</v>
      </c>
    </row>
    <row r="37" spans="1:15" x14ac:dyDescent="0.25">
      <c r="A37" s="29">
        <v>44978</v>
      </c>
      <c r="B37">
        <v>-4.5871634036302567E-2</v>
      </c>
      <c r="C37">
        <v>-2.3890843614935875E-2</v>
      </c>
      <c r="D37">
        <v>-1.0851887054741383E-2</v>
      </c>
      <c r="E37">
        <v>-1.4325988478958607E-2</v>
      </c>
      <c r="F37">
        <v>-2.3095332086086273E-2</v>
      </c>
      <c r="G37">
        <v>-4.7345362603664398E-2</v>
      </c>
      <c r="H37">
        <v>-1.9322691485285759E-2</v>
      </c>
      <c r="I37">
        <v>-3.0375003814697266E-2</v>
      </c>
      <c r="J37">
        <v>-4.652688279747963E-3</v>
      </c>
      <c r="K37">
        <v>0</v>
      </c>
      <c r="M37">
        <f t="shared" si="0"/>
        <v>-2.7127471388216643E-2</v>
      </c>
      <c r="N37">
        <f t="shared" si="1"/>
        <v>0.9728725286117833</v>
      </c>
      <c r="O37">
        <f>PRODUCT($N$4:N37)-1</f>
        <v>6.7888762570136763E-2</v>
      </c>
    </row>
    <row r="38" spans="1:15" x14ac:dyDescent="0.25">
      <c r="A38" s="29">
        <v>44979</v>
      </c>
      <c r="B38">
        <v>-7.4786003679037094E-3</v>
      </c>
      <c r="C38">
        <v>3.3216793090105057E-2</v>
      </c>
      <c r="D38">
        <v>-2.3033793549984694E-3</v>
      </c>
      <c r="E38">
        <v>-8.815886452794075E-3</v>
      </c>
      <c r="F38">
        <v>-7.7173812314867973E-3</v>
      </c>
      <c r="G38">
        <v>3.1025508418679237E-2</v>
      </c>
      <c r="H38">
        <v>9.9623817950487137E-3</v>
      </c>
      <c r="I38">
        <v>5.9301159344613552E-3</v>
      </c>
      <c r="J38">
        <v>-1.3021745719015598E-2</v>
      </c>
      <c r="K38">
        <v>3.7452848628163338E-3</v>
      </c>
      <c r="M38">
        <f t="shared" si="0"/>
        <v>8.9715518087314702E-3</v>
      </c>
      <c r="N38">
        <f t="shared" si="1"/>
        <v>1.0089715518087314</v>
      </c>
      <c r="O38">
        <f>PRODUCT($N$4:N38)-1</f>
        <v>7.7469381929496928E-2</v>
      </c>
    </row>
    <row r="39" spans="1:15" x14ac:dyDescent="0.25">
      <c r="A39" s="29">
        <v>44980</v>
      </c>
      <c r="B39">
        <v>-3.2292499672621489E-3</v>
      </c>
      <c r="C39">
        <v>-2.2842599079012871E-2</v>
      </c>
      <c r="D39">
        <v>9.8946853540837765E-4</v>
      </c>
      <c r="E39">
        <v>7.2116120718419552E-3</v>
      </c>
      <c r="F39">
        <v>1.2980584055185318E-2</v>
      </c>
      <c r="G39">
        <v>-1.6996394842863083E-2</v>
      </c>
      <c r="H39">
        <v>-2.8495672158896923E-3</v>
      </c>
      <c r="I39">
        <v>2.9988517984747887E-2</v>
      </c>
      <c r="J39">
        <v>7.4425311759114265E-3</v>
      </c>
      <c r="K39">
        <v>8.084525354206562E-3</v>
      </c>
      <c r="M39">
        <f t="shared" si="0"/>
        <v>3.4218874834217841E-3</v>
      </c>
      <c r="N39">
        <f t="shared" si="1"/>
        <v>1.0034218874834218</v>
      </c>
      <c r="O39">
        <f>PRODUCT($N$4:N39)-1</f>
        <v>8.1156360921291748E-2</v>
      </c>
    </row>
    <row r="40" spans="1:15" x14ac:dyDescent="0.25">
      <c r="A40" s="29">
        <v>44981</v>
      </c>
      <c r="B40">
        <v>2.1597736049443483E-3</v>
      </c>
      <c r="C40">
        <v>-4.5887421816587448E-2</v>
      </c>
      <c r="D40">
        <v>6.2603140249848366E-3</v>
      </c>
      <c r="E40">
        <v>2.3865983821451664E-3</v>
      </c>
      <c r="F40">
        <v>-7.6237018220126629E-3</v>
      </c>
      <c r="G40">
        <v>-1.9557785242795944E-2</v>
      </c>
      <c r="H40">
        <v>1.4453668147325516E-2</v>
      </c>
      <c r="I40">
        <v>1.3686679303646088E-2</v>
      </c>
      <c r="J40">
        <v>-1.3431884348392487E-2</v>
      </c>
      <c r="K40">
        <v>-5.5520203895866871E-3</v>
      </c>
      <c r="M40">
        <f t="shared" si="0"/>
        <v>-7.7535007211300393E-3</v>
      </c>
      <c r="N40">
        <f t="shared" si="1"/>
        <v>0.99224649927886999</v>
      </c>
      <c r="O40">
        <f>PRODUCT($N$4:N40)-1</f>
        <v>7.2773614297234168E-2</v>
      </c>
    </row>
    <row r="41" spans="1:15" x14ac:dyDescent="0.25">
      <c r="A41" s="29">
        <v>44984</v>
      </c>
      <c r="B41">
        <v>-8.6206812411546707E-3</v>
      </c>
      <c r="C41">
        <v>-7.2596073150634766E-3</v>
      </c>
      <c r="D41">
        <v>-2.9469598084688187E-3</v>
      </c>
      <c r="E41">
        <v>-6.6666374914348125E-3</v>
      </c>
      <c r="F41">
        <v>2.6697476860135794E-3</v>
      </c>
      <c r="G41">
        <v>-1.9080653786659241E-2</v>
      </c>
      <c r="H41">
        <v>-2.1398760378360748E-2</v>
      </c>
      <c r="I41">
        <v>2.4544793996028602E-4</v>
      </c>
      <c r="J41">
        <v>-3.0632487032562494E-3</v>
      </c>
      <c r="K41">
        <v>-4.3425308540463448E-3</v>
      </c>
      <c r="M41">
        <f t="shared" si="0"/>
        <v>-6.2701747316310837E-3</v>
      </c>
      <c r="N41">
        <f t="shared" si="1"/>
        <v>0.99372982526836895</v>
      </c>
      <c r="O41">
        <f>PRODUCT($N$4:N41)-1</f>
        <v>6.6047136288107211E-2</v>
      </c>
    </row>
    <row r="42" spans="1:15" x14ac:dyDescent="0.25">
      <c r="A42" s="29">
        <v>44985</v>
      </c>
      <c r="B42">
        <v>-3.2608406618237495E-3</v>
      </c>
      <c r="C42">
        <v>3.6563124507665634E-2</v>
      </c>
      <c r="D42">
        <v>3.1198461074382067E-3</v>
      </c>
      <c r="E42">
        <v>-2.876383950933814E-3</v>
      </c>
      <c r="F42">
        <v>-1.7605854198336601E-2</v>
      </c>
      <c r="G42">
        <v>3.536661621183157E-3</v>
      </c>
      <c r="H42">
        <v>-1.9929173868149519E-3</v>
      </c>
      <c r="I42">
        <v>0.11621059477329254</v>
      </c>
      <c r="J42">
        <v>-9.9010206758975983E-3</v>
      </c>
      <c r="K42">
        <v>3.1153361778706312E-3</v>
      </c>
      <c r="M42">
        <f t="shared" si="0"/>
        <v>2.4174639529126716E-2</v>
      </c>
      <c r="N42">
        <f t="shared" si="1"/>
        <v>1.0241746395291267</v>
      </c>
      <c r="O42">
        <f>PRODUCT($N$4:N42)-1</f>
        <v>9.1818441528930039E-2</v>
      </c>
    </row>
    <row r="43" spans="1:15" x14ac:dyDescent="0.25">
      <c r="A43" s="29">
        <v>44986</v>
      </c>
      <c r="B43">
        <v>-2.1810750477015972E-3</v>
      </c>
      <c r="C43">
        <v>2.9100522398948669E-2</v>
      </c>
      <c r="D43">
        <v>2.6190842036157846E-3</v>
      </c>
      <c r="E43">
        <v>9.6154212951660156E-3</v>
      </c>
      <c r="F43">
        <v>7.5225434266030788E-3</v>
      </c>
      <c r="G43">
        <v>-1.3215881772339344E-2</v>
      </c>
      <c r="H43">
        <v>2.0579136908054352E-2</v>
      </c>
      <c r="I43">
        <v>-4.2875921353697777E-3</v>
      </c>
      <c r="J43">
        <v>1.0000031441450119E-2</v>
      </c>
      <c r="K43">
        <v>-6.211322033777833E-4</v>
      </c>
      <c r="M43">
        <f t="shared" si="0"/>
        <v>4.4846750105889538E-3</v>
      </c>
      <c r="N43">
        <f t="shared" si="1"/>
        <v>1.0044846750105889</v>
      </c>
      <c r="O43">
        <f>PRODUCT($N$4:N43)-1</f>
        <v>9.6714892409754949E-2</v>
      </c>
    </row>
    <row r="44" spans="1:15" x14ac:dyDescent="0.25">
      <c r="A44" s="29">
        <v>44987</v>
      </c>
      <c r="B44">
        <v>-1.2021820992231369E-2</v>
      </c>
      <c r="C44">
        <v>7.7120955102145672E-3</v>
      </c>
      <c r="D44">
        <v>3.1020184978842735E-3</v>
      </c>
      <c r="E44">
        <v>4.7619231045246124E-3</v>
      </c>
      <c r="F44">
        <v>2.0312996581196785E-2</v>
      </c>
      <c r="G44">
        <v>-1.0714191012084484E-2</v>
      </c>
      <c r="H44">
        <v>-1.1196330189704895E-2</v>
      </c>
      <c r="I44">
        <v>8.7225455790758133E-3</v>
      </c>
      <c r="J44">
        <v>4.8480644822120667E-2</v>
      </c>
      <c r="K44">
        <v>2.4859544355422258E-3</v>
      </c>
      <c r="M44">
        <f t="shared" si="0"/>
        <v>6.3788147444112037E-3</v>
      </c>
      <c r="N44">
        <f t="shared" si="1"/>
        <v>1.0063788147444113</v>
      </c>
      <c r="O44">
        <f>PRODUCT($N$4:N44)-1</f>
        <v>0.10371063353587373</v>
      </c>
    </row>
    <row r="45" spans="1:15" x14ac:dyDescent="0.25">
      <c r="A45" s="29">
        <v>44988</v>
      </c>
      <c r="B45">
        <v>-3.3185544889420271E-3</v>
      </c>
      <c r="C45">
        <v>3.826528787612915E-2</v>
      </c>
      <c r="D45">
        <v>5.2083283662796021E-3</v>
      </c>
      <c r="E45">
        <v>3.7914654240012169E-3</v>
      </c>
      <c r="F45">
        <v>4.2507033795118332E-3</v>
      </c>
      <c r="G45">
        <v>-1.5043035382404923E-3</v>
      </c>
      <c r="H45">
        <v>1.1378043331205845E-2</v>
      </c>
      <c r="I45">
        <v>2.8020989149808884E-2</v>
      </c>
      <c r="J45">
        <v>-8.4662428125739098E-3</v>
      </c>
      <c r="K45">
        <v>5.5796750821173191E-3</v>
      </c>
      <c r="M45">
        <f t="shared" si="0"/>
        <v>1.2179592725592572E-2</v>
      </c>
      <c r="N45">
        <f t="shared" si="1"/>
        <v>1.0121795927255925</v>
      </c>
      <c r="O45">
        <f>PRODUCT($N$4:N45)-1</f>
        <v>0.11715337953924632</v>
      </c>
    </row>
    <row r="46" spans="1:15" x14ac:dyDescent="0.25">
      <c r="A46" s="29">
        <v>44991</v>
      </c>
      <c r="B46">
        <v>2.2197007201611996E-3</v>
      </c>
      <c r="C46">
        <v>-2.2932000458240509E-2</v>
      </c>
      <c r="D46">
        <v>-6.9623785093426704E-3</v>
      </c>
      <c r="E46">
        <v>-6.1379163525998592E-3</v>
      </c>
      <c r="F46">
        <v>-6.2151933088898659E-3</v>
      </c>
      <c r="G46">
        <v>-1.2654359452426434E-2</v>
      </c>
      <c r="H46">
        <v>-3.0706489458680153E-2</v>
      </c>
      <c r="I46">
        <v>-9.2631513252854347E-3</v>
      </c>
      <c r="J46">
        <v>-8.5385954007506371E-3</v>
      </c>
      <c r="K46">
        <v>-1.6029549762606621E-2</v>
      </c>
      <c r="M46">
        <f t="shared" si="0"/>
        <v>-1.2075652077249822E-2</v>
      </c>
      <c r="N46">
        <f t="shared" si="1"/>
        <v>0.98792434792275019</v>
      </c>
      <c r="O46">
        <f>PRODUCT($N$4:N46)-1</f>
        <v>0.10366302401100658</v>
      </c>
    </row>
    <row r="47" spans="1:15" x14ac:dyDescent="0.25">
      <c r="A47" s="29">
        <v>44992</v>
      </c>
      <c r="B47">
        <v>1.1074451031163335E-3</v>
      </c>
      <c r="C47">
        <v>-1.005866564810276E-2</v>
      </c>
      <c r="D47">
        <v>-2.608841098845005E-2</v>
      </c>
      <c r="E47">
        <v>2.3753512650728226E-3</v>
      </c>
      <c r="F47">
        <v>-2.3991789668798447E-2</v>
      </c>
      <c r="G47">
        <v>-2.6548698544502258E-2</v>
      </c>
      <c r="H47">
        <v>-2.6352745480835438E-3</v>
      </c>
      <c r="I47">
        <v>-7.7377883717417717E-3</v>
      </c>
      <c r="J47">
        <v>-1.5899352729320526E-2</v>
      </c>
      <c r="K47">
        <v>-1.5664160251617432E-2</v>
      </c>
      <c r="M47">
        <f t="shared" si="0"/>
        <v>-1.5237764772022476E-2</v>
      </c>
      <c r="N47">
        <f t="shared" si="1"/>
        <v>0.98476223522797757</v>
      </c>
      <c r="O47">
        <f>PRODUCT($N$4:N47)-1</f>
        <v>8.6845666463547966E-2</v>
      </c>
    </row>
    <row r="48" spans="1:15" x14ac:dyDescent="0.25">
      <c r="A48" s="29">
        <v>44993</v>
      </c>
      <c r="B48">
        <v>-2.7654867619276047E-2</v>
      </c>
      <c r="C48">
        <v>-2.7942495420575142E-2</v>
      </c>
      <c r="D48">
        <v>-1.4732982963323593E-2</v>
      </c>
      <c r="E48">
        <v>3.4123189747333527E-2</v>
      </c>
      <c r="F48">
        <v>1.414128951728344E-2</v>
      </c>
      <c r="G48">
        <v>-2.1943477913737297E-3</v>
      </c>
      <c r="H48">
        <v>6.745846476405859E-4</v>
      </c>
      <c r="I48">
        <v>-2.491100924089551E-3</v>
      </c>
      <c r="J48">
        <v>-4.2409908026456833E-2</v>
      </c>
      <c r="K48">
        <v>2.5461465120315552E-3</v>
      </c>
      <c r="M48">
        <f t="shared" si="0"/>
        <v>-3.3125650396357677E-3</v>
      </c>
      <c r="N48">
        <f t="shared" si="1"/>
        <v>0.99668743496036427</v>
      </c>
      <c r="O48">
        <f>PRODUCT($N$4:N48)-1</f>
        <v>8.3245419505341145E-2</v>
      </c>
    </row>
    <row r="49" spans="1:15" x14ac:dyDescent="0.25">
      <c r="A49" s="29">
        <v>44994</v>
      </c>
      <c r="B49">
        <v>-3.0716666951775551E-2</v>
      </c>
      <c r="C49">
        <v>-3.0487757176160812E-2</v>
      </c>
      <c r="D49">
        <v>-1.1554805561900139E-2</v>
      </c>
      <c r="E49">
        <v>-2.5664504617452621E-2</v>
      </c>
      <c r="F49">
        <v>-2.167871780693531E-2</v>
      </c>
      <c r="G49">
        <v>-1.6022628173232079E-2</v>
      </c>
      <c r="H49">
        <v>-3.2022884115576744E-3</v>
      </c>
      <c r="I49">
        <v>7.6004012953490019E-4</v>
      </c>
      <c r="J49">
        <v>-4.4288232922554016E-2</v>
      </c>
      <c r="K49">
        <v>-4.4444430619478226E-2</v>
      </c>
      <c r="M49">
        <f t="shared" si="0"/>
        <v>-1.7967366119324979E-2</v>
      </c>
      <c r="N49">
        <f t="shared" si="1"/>
        <v>0.98203263388067508</v>
      </c>
      <c r="O49">
        <f>PRODUCT($N$4:N49)-1</f>
        <v>6.3782352456007052E-2</v>
      </c>
    </row>
    <row r="50" spans="1:15" x14ac:dyDescent="0.25">
      <c r="A50" s="29">
        <v>44995</v>
      </c>
      <c r="B50">
        <v>-6.4554065465927124E-2</v>
      </c>
      <c r="C50">
        <v>-4.5822121202945709E-2</v>
      </c>
      <c r="D50">
        <v>-1.4096608385443687E-2</v>
      </c>
      <c r="E50">
        <v>-3.7629315629601479E-3</v>
      </c>
      <c r="F50">
        <v>-2.3161314427852631E-2</v>
      </c>
      <c r="G50">
        <v>-2.6500636711716652E-2</v>
      </c>
      <c r="H50">
        <v>-9.6375560387969017E-3</v>
      </c>
      <c r="I50">
        <v>-1.7033686861395836E-2</v>
      </c>
      <c r="J50">
        <v>-3.2364878803491592E-2</v>
      </c>
      <c r="K50">
        <v>-1.3953491114079952E-2</v>
      </c>
      <c r="M50">
        <f t="shared" si="0"/>
        <v>-2.5060181458299566E-2</v>
      </c>
      <c r="N50">
        <f t="shared" si="1"/>
        <v>0.97493981854170042</v>
      </c>
      <c r="O50">
        <f>PRODUCT($N$4:N50)-1</f>
        <v>3.7123773671322802E-2</v>
      </c>
    </row>
    <row r="51" spans="1:15" x14ac:dyDescent="0.25">
      <c r="A51" s="29">
        <v>44998</v>
      </c>
      <c r="B51">
        <v>-5.646171048283577E-2</v>
      </c>
      <c r="C51">
        <v>-9.4164116308093071E-4</v>
      </c>
      <c r="D51">
        <v>-3.1560551375150681E-2</v>
      </c>
      <c r="E51">
        <v>1.5108578838407993E-2</v>
      </c>
      <c r="F51">
        <v>-1.0829261504113674E-2</v>
      </c>
      <c r="G51">
        <v>-2.0662484690546989E-2</v>
      </c>
      <c r="H51">
        <v>6.6583096049726009E-3</v>
      </c>
      <c r="I51">
        <v>-2.818305604159832E-2</v>
      </c>
      <c r="J51">
        <v>-9.9201776087284088E-2</v>
      </c>
      <c r="K51">
        <v>-2.223719097673893E-2</v>
      </c>
      <c r="M51">
        <f t="shared" si="0"/>
        <v>-1.911899459634429E-2</v>
      </c>
      <c r="N51">
        <f t="shared" si="1"/>
        <v>0.98088100540365575</v>
      </c>
      <c r="O51">
        <f>PRODUCT($N$4:N51)-1</f>
        <v>1.7295009846760578E-2</v>
      </c>
    </row>
    <row r="52" spans="1:15" x14ac:dyDescent="0.25">
      <c r="A52" s="29">
        <v>44999</v>
      </c>
      <c r="B52">
        <v>6.2499973922967911E-2</v>
      </c>
      <c r="C52">
        <v>-1.4137570746243E-2</v>
      </c>
      <c r="D52">
        <v>1.3323691673576832E-2</v>
      </c>
      <c r="E52">
        <v>-2.2325560450553894E-2</v>
      </c>
      <c r="F52">
        <v>-3.01353819668293E-2</v>
      </c>
      <c r="G52">
        <v>3.6419909447431564E-2</v>
      </c>
      <c r="H52">
        <v>2.8209652751684189E-2</v>
      </c>
      <c r="I52">
        <v>3.0592544004321098E-2</v>
      </c>
      <c r="J52">
        <v>1.1392343789339066E-2</v>
      </c>
      <c r="K52">
        <v>2.5499647483229637E-2</v>
      </c>
      <c r="M52">
        <f t="shared" si="0"/>
        <v>9.747306239494288E-3</v>
      </c>
      <c r="N52">
        <f t="shared" si="1"/>
        <v>1.0097473062394944</v>
      </c>
      <c r="O52">
        <f>PRODUCT($N$4:N52)-1</f>
        <v>2.7210895843646332E-2</v>
      </c>
    </row>
    <row r="53" spans="1:15" x14ac:dyDescent="0.25">
      <c r="A53" s="29">
        <v>45000</v>
      </c>
      <c r="B53">
        <v>-5.0062532536685467E-3</v>
      </c>
      <c r="C53">
        <v>3.8240880239754915E-3</v>
      </c>
      <c r="D53">
        <v>-3.5003509372472763E-2</v>
      </c>
      <c r="E53">
        <v>-0.24571840465068817</v>
      </c>
      <c r="F53">
        <v>2.6734608691185713E-3</v>
      </c>
      <c r="G53">
        <v>-1.8282711505889893E-2</v>
      </c>
      <c r="H53">
        <v>-5.6081167422235012E-3</v>
      </c>
      <c r="I53">
        <v>-2.5491118431091309E-2</v>
      </c>
      <c r="J53">
        <v>2.1693803369998932E-2</v>
      </c>
      <c r="K53">
        <v>7.3924497701227665E-3</v>
      </c>
      <c r="M53">
        <f t="shared" si="0"/>
        <v>-1.7924869213207167E-2</v>
      </c>
      <c r="N53">
        <f t="shared" si="1"/>
        <v>0.98207513078679287</v>
      </c>
      <c r="O53">
        <f>PRODUCT($N$4:N53)-1</f>
        <v>8.7982748812676093E-3</v>
      </c>
    </row>
    <row r="54" spans="1:15" x14ac:dyDescent="0.25">
      <c r="A54" s="29">
        <v>45001</v>
      </c>
      <c r="B54">
        <v>-1.2578604742884636E-2</v>
      </c>
      <c r="C54">
        <v>-1.1428560130298138E-2</v>
      </c>
      <c r="D54">
        <v>2.8723945841193199E-2</v>
      </c>
      <c r="E54">
        <v>4.6988386660814285E-2</v>
      </c>
      <c r="F54">
        <v>1.7301641404628754E-2</v>
      </c>
      <c r="G54">
        <v>4.0239475667476654E-2</v>
      </c>
      <c r="H54">
        <v>3.118433803319931E-2</v>
      </c>
      <c r="I54">
        <v>3.9180152118206024E-2</v>
      </c>
      <c r="J54">
        <v>5.3082939237356186E-2</v>
      </c>
      <c r="K54">
        <v>2.334892563521862E-2</v>
      </c>
      <c r="M54">
        <f t="shared" si="0"/>
        <v>2.5110850090027708E-2</v>
      </c>
      <c r="N54">
        <f t="shared" si="1"/>
        <v>1.0251108500900277</v>
      </c>
      <c r="O54">
        <f>PRODUCT($N$4:N54)-1</f>
        <v>3.4130057132889746E-2</v>
      </c>
    </row>
    <row r="55" spans="1:15" x14ac:dyDescent="0.25">
      <c r="A55" s="29">
        <v>45002</v>
      </c>
      <c r="B55">
        <v>-7.0063658058643341E-2</v>
      </c>
      <c r="C55">
        <v>-3.2755311578512192E-2</v>
      </c>
      <c r="D55">
        <v>-4.0808998048305511E-2</v>
      </c>
      <c r="E55">
        <v>1.5662664547562599E-2</v>
      </c>
      <c r="F55">
        <v>-2.4404464289546013E-2</v>
      </c>
      <c r="G55">
        <v>-3.9322294294834137E-2</v>
      </c>
      <c r="H55">
        <v>-1.9838879816234112E-3</v>
      </c>
      <c r="I55">
        <v>-2.6588154956698418E-2</v>
      </c>
      <c r="J55">
        <v>-5.5835612118244171E-2</v>
      </c>
      <c r="K55">
        <v>-3.3898334950208664E-2</v>
      </c>
      <c r="M55">
        <f t="shared" si="0"/>
        <v>-2.9525327526788839E-2</v>
      </c>
      <c r="N55">
        <f t="shared" si="1"/>
        <v>0.97047467247321118</v>
      </c>
      <c r="O55">
        <f>PRODUCT($N$4:N55)-1</f>
        <v>3.5970284907442807E-3</v>
      </c>
    </row>
    <row r="56" spans="1:15" x14ac:dyDescent="0.25">
      <c r="A56" s="29">
        <v>45005</v>
      </c>
      <c r="B56">
        <v>4.1095849126577377E-2</v>
      </c>
      <c r="C56">
        <v>1.7928317189216614E-2</v>
      </c>
      <c r="D56">
        <v>3.1162496656179428E-2</v>
      </c>
      <c r="E56">
        <v>3.736649826169014E-2</v>
      </c>
      <c r="F56">
        <v>-1.0985053144395351E-2</v>
      </c>
      <c r="G56">
        <v>4.9917316064238548E-3</v>
      </c>
      <c r="H56">
        <v>1.5741646289825439E-2</v>
      </c>
      <c r="I56">
        <v>5.149435717612505E-3</v>
      </c>
      <c r="J56">
        <v>-1.7659150063991547E-2</v>
      </c>
      <c r="K56">
        <v>8.097158744931221E-3</v>
      </c>
      <c r="M56">
        <f t="shared" si="0"/>
        <v>6.9688861529321536E-3</v>
      </c>
      <c r="N56">
        <f t="shared" si="1"/>
        <v>1.0069688861529322</v>
      </c>
      <c r="O56">
        <f>PRODUCT($N$4:N56)-1</f>
        <v>1.059098192571728E-2</v>
      </c>
    </row>
    <row r="57" spans="1:15" x14ac:dyDescent="0.25">
      <c r="A57" s="29">
        <v>45006</v>
      </c>
      <c r="B57">
        <v>4.8684194684028625E-2</v>
      </c>
      <c r="C57">
        <v>4.4031292200088501E-2</v>
      </c>
      <c r="D57">
        <v>1.3753205537796021E-2</v>
      </c>
      <c r="E57">
        <v>5.6031994521617889E-2</v>
      </c>
      <c r="F57">
        <v>2.8492098674178123E-2</v>
      </c>
      <c r="G57">
        <v>1.8543027341365814E-2</v>
      </c>
      <c r="H57">
        <v>-6.8763823946937919E-4</v>
      </c>
      <c r="I57">
        <v>2.0937712863087654E-2</v>
      </c>
      <c r="J57">
        <v>5.3511735051870346E-2</v>
      </c>
      <c r="K57">
        <v>3.2797906547784805E-2</v>
      </c>
      <c r="M57">
        <f t="shared" si="0"/>
        <v>2.7662830775205184E-2</v>
      </c>
      <c r="N57">
        <f t="shared" si="1"/>
        <v>1.0276628307752051</v>
      </c>
      <c r="O57">
        <f>PRODUCT($N$4:N57)-1</f>
        <v>3.8546789241676871E-2</v>
      </c>
    </row>
    <row r="58" spans="1:15" x14ac:dyDescent="0.25">
      <c r="A58" s="29">
        <v>45007</v>
      </c>
      <c r="B58">
        <v>-3.2622303813695908E-2</v>
      </c>
      <c r="C58">
        <v>1.8743677064776421E-3</v>
      </c>
      <c r="D58">
        <v>-2.8204245492815971E-2</v>
      </c>
      <c r="E58">
        <v>0</v>
      </c>
      <c r="F58">
        <v>-1.9838036969304085E-2</v>
      </c>
      <c r="G58">
        <v>-2.7308197692036629E-2</v>
      </c>
      <c r="H58">
        <v>-1.6355244442820549E-2</v>
      </c>
      <c r="I58">
        <v>-2.945310901850462E-3</v>
      </c>
      <c r="J58">
        <v>-6.6666677594184875E-2</v>
      </c>
      <c r="K58">
        <v>-1.8146511167287827E-2</v>
      </c>
      <c r="M58">
        <f t="shared" si="0"/>
        <v>-1.6575293789353289E-2</v>
      </c>
      <c r="N58">
        <f t="shared" si="1"/>
        <v>0.9834247062106467</v>
      </c>
      <c r="O58">
        <f>PRODUCT($N$4:N58)-1</f>
        <v>2.1332571096006392E-2</v>
      </c>
    </row>
    <row r="59" spans="1:15" x14ac:dyDescent="0.25">
      <c r="A59" s="29">
        <v>45008</v>
      </c>
      <c r="B59">
        <v>-4.9286656081676483E-2</v>
      </c>
      <c r="C59">
        <v>3.2740917056798935E-2</v>
      </c>
      <c r="D59">
        <v>-1.2123435735702515E-2</v>
      </c>
      <c r="E59">
        <v>3.1402271240949631E-2</v>
      </c>
      <c r="F59">
        <v>-6.2275049276649952E-3</v>
      </c>
      <c r="G59">
        <v>-1.1363641358911991E-2</v>
      </c>
      <c r="H59">
        <v>-1.2430034577846527E-2</v>
      </c>
      <c r="I59">
        <v>1.0393839329481125E-2</v>
      </c>
      <c r="J59">
        <v>-3.954082727432251E-2</v>
      </c>
      <c r="K59">
        <v>-1.2541227042675018E-2</v>
      </c>
      <c r="M59">
        <f t="shared" si="0"/>
        <v>-1.2104677939830085E-3</v>
      </c>
      <c r="N59">
        <f t="shared" si="1"/>
        <v>0.99878953220601696</v>
      </c>
      <c r="O59">
        <f>PRODUCT($N$4:N59)-1</f>
        <v>2.0096280911748865E-2</v>
      </c>
    </row>
    <row r="60" spans="1:15" x14ac:dyDescent="0.25">
      <c r="A60" s="29">
        <v>45009</v>
      </c>
      <c r="B60">
        <v>-1.9781716167926788E-2</v>
      </c>
      <c r="C60">
        <v>3.8949303328990936E-2</v>
      </c>
      <c r="D60">
        <v>1.4503581449389458E-2</v>
      </c>
      <c r="E60">
        <v>3.9370078593492508E-2</v>
      </c>
      <c r="F60">
        <v>8.4357307059690356E-4</v>
      </c>
      <c r="G60">
        <v>3.0764024704694748E-2</v>
      </c>
      <c r="H60">
        <v>1.7272369936108589E-2</v>
      </c>
      <c r="I60">
        <v>-1.1911191046237946E-2</v>
      </c>
      <c r="J60">
        <v>7.9681407660245895E-3</v>
      </c>
      <c r="K60">
        <v>1.0026712901890278E-2</v>
      </c>
      <c r="M60">
        <f t="shared" si="0"/>
        <v>1.1719776706374443E-2</v>
      </c>
      <c r="N60">
        <f t="shared" si="1"/>
        <v>1.0117197767063744</v>
      </c>
      <c r="O60">
        <f>PRODUCT($N$4:N60)-1</f>
        <v>3.2051581543037555E-2</v>
      </c>
    </row>
    <row r="61" spans="1:15" x14ac:dyDescent="0.25">
      <c r="A61" s="29">
        <v>45012</v>
      </c>
      <c r="B61">
        <v>-2.0876640919595957E-3</v>
      </c>
      <c r="C61">
        <v>-1.6564998775720596E-2</v>
      </c>
      <c r="D61">
        <v>1.9428107887506485E-2</v>
      </c>
      <c r="E61">
        <v>5.0505246035754681E-3</v>
      </c>
      <c r="F61">
        <v>1.9084876403212547E-2</v>
      </c>
      <c r="G61">
        <v>3.6077601835131645E-3</v>
      </c>
      <c r="H61">
        <v>2.0299993455410004E-2</v>
      </c>
      <c r="I61">
        <v>1.7095863819122314E-2</v>
      </c>
      <c r="J61">
        <v>3.7329837679862976E-2</v>
      </c>
      <c r="K61">
        <v>9.9272383376955986E-3</v>
      </c>
      <c r="M61">
        <f t="shared" si="0"/>
        <v>1.0309997933671496E-2</v>
      </c>
      <c r="N61">
        <f t="shared" si="1"/>
        <v>1.0103099979336716</v>
      </c>
      <c r="O61">
        <f>PRODUCT($N$4:N61)-1</f>
        <v>4.2692031216188697E-2</v>
      </c>
    </row>
    <row r="62" spans="1:15" x14ac:dyDescent="0.25">
      <c r="A62" s="29">
        <v>45013</v>
      </c>
      <c r="B62">
        <v>-1.6736386343836784E-2</v>
      </c>
      <c r="C62">
        <v>-5.4077986627817154E-2</v>
      </c>
      <c r="D62">
        <v>4.6746158041059971E-3</v>
      </c>
      <c r="E62">
        <v>-1.4572815038263798E-2</v>
      </c>
      <c r="F62">
        <v>1.1992666870355606E-2</v>
      </c>
      <c r="G62">
        <v>1.7973830923438072E-2</v>
      </c>
      <c r="H62">
        <v>-2.572342287749052E-3</v>
      </c>
      <c r="I62">
        <v>2.338116429746151E-2</v>
      </c>
      <c r="J62">
        <v>-2.6248976588249207E-2</v>
      </c>
      <c r="K62">
        <v>-1.2450886890292168E-2</v>
      </c>
      <c r="M62">
        <f t="shared" si="0"/>
        <v>6.3788725903490124E-4</v>
      </c>
      <c r="N62">
        <f t="shared" si="1"/>
        <v>1.0006378872590349</v>
      </c>
      <c r="O62">
        <f>PRODUCT($N$4:N62)-1</f>
        <v>4.3357151177998654E-2</v>
      </c>
    </row>
    <row r="63" spans="1:15" x14ac:dyDescent="0.25">
      <c r="A63" s="29">
        <v>45014</v>
      </c>
      <c r="B63">
        <v>-1.7375946044921875E-2</v>
      </c>
      <c r="C63">
        <v>1.2183703482151031E-2</v>
      </c>
      <c r="D63">
        <v>1.8253408372402191E-2</v>
      </c>
      <c r="E63">
        <v>-1.4788419939577579E-2</v>
      </c>
      <c r="F63">
        <v>-1.4010828454047441E-3</v>
      </c>
      <c r="G63">
        <v>1.2199071235954762E-2</v>
      </c>
      <c r="H63">
        <v>-6.1052823439240456E-3</v>
      </c>
      <c r="I63">
        <v>-2.105754567310214E-3</v>
      </c>
      <c r="J63">
        <v>-2.6086724828928709E-3</v>
      </c>
      <c r="K63">
        <v>-9.2899398878216743E-3</v>
      </c>
      <c r="M63">
        <f t="shared" si="0"/>
        <v>1.5821847447649109E-3</v>
      </c>
      <c r="N63">
        <f t="shared" si="1"/>
        <v>1.001582184744765</v>
      </c>
      <c r="O63">
        <f>PRODUCT($N$4:N63)-1</f>
        <v>4.5007934945934025E-2</v>
      </c>
    </row>
    <row r="64" spans="1:15" x14ac:dyDescent="0.25">
      <c r="A64" s="29">
        <v>45015</v>
      </c>
      <c r="B64">
        <v>-4.0057696402072906E-2</v>
      </c>
      <c r="C64">
        <v>1.8518059514462948E-3</v>
      </c>
      <c r="D64">
        <v>7.0298365317285061E-3</v>
      </c>
      <c r="E64">
        <v>-1.1387128382921219E-2</v>
      </c>
      <c r="F64">
        <v>-7.658117450773716E-3</v>
      </c>
      <c r="G64">
        <v>-5.0745271146297455E-3</v>
      </c>
      <c r="H64">
        <v>1.0590815218165517E-3</v>
      </c>
      <c r="I64">
        <v>1.2661188375204802E-3</v>
      </c>
      <c r="J64">
        <v>-3.1822208315134048E-2</v>
      </c>
      <c r="K64">
        <v>4.6885260380804539E-3</v>
      </c>
      <c r="M64">
        <f t="shared" si="0"/>
        <v>-4.8840991076659224E-3</v>
      </c>
      <c r="N64">
        <f t="shared" si="1"/>
        <v>0.99511590089233404</v>
      </c>
      <c r="O64">
        <f>PRODUCT($N$4:N64)-1</f>
        <v>3.9904012623360741E-2</v>
      </c>
    </row>
    <row r="65" spans="1:15" x14ac:dyDescent="0.25">
      <c r="A65" s="29">
        <v>45016</v>
      </c>
      <c r="B65">
        <v>2.8571436181664467E-2</v>
      </c>
      <c r="C65">
        <v>4.6210721135139465E-2</v>
      </c>
      <c r="D65">
        <v>1.2565466575324535E-2</v>
      </c>
      <c r="E65">
        <v>1.9895244389772415E-2</v>
      </c>
      <c r="F65">
        <v>3.3637743443250656E-2</v>
      </c>
      <c r="G65">
        <v>1.1794674210250378E-2</v>
      </c>
      <c r="H65">
        <v>6.5594874322414398E-3</v>
      </c>
      <c r="I65">
        <v>1.886196993291378E-2</v>
      </c>
      <c r="J65">
        <v>-1.4407911337912083E-2</v>
      </c>
      <c r="K65">
        <v>8.6666746065020561E-3</v>
      </c>
      <c r="M65">
        <f t="shared" si="0"/>
        <v>2.1994763293412101E-2</v>
      </c>
      <c r="N65">
        <f t="shared" si="1"/>
        <v>1.0219947632934121</v>
      </c>
      <c r="O65">
        <f>PRODUCT($N$4:N65)-1</f>
        <v>6.2776455228880979E-2</v>
      </c>
    </row>
    <row r="66" spans="1:15" x14ac:dyDescent="0.25">
      <c r="A66" s="29">
        <v>45019</v>
      </c>
      <c r="B66">
        <v>-5.8479476720094681E-3</v>
      </c>
      <c r="C66">
        <v>-2.7385111898183823E-2</v>
      </c>
      <c r="D66">
        <v>-7.4112429283559322E-3</v>
      </c>
      <c r="E66">
        <v>-1.7453806474804878E-2</v>
      </c>
      <c r="F66">
        <v>-1.1626630090177059E-2</v>
      </c>
      <c r="G66">
        <v>4.0958118624985218E-3</v>
      </c>
      <c r="H66">
        <v>2.470050472766161E-3</v>
      </c>
      <c r="I66">
        <v>3.3095427788794041E-3</v>
      </c>
      <c r="J66">
        <v>-1.6445806249976158E-2</v>
      </c>
      <c r="K66">
        <v>-2.0489122718572617E-2</v>
      </c>
      <c r="M66">
        <f t="shared" si="0"/>
        <v>-7.2810253604182838E-3</v>
      </c>
      <c r="N66">
        <f t="shared" si="1"/>
        <v>0.9927189746395817</v>
      </c>
      <c r="O66">
        <f>PRODUCT($N$4:N66)-1</f>
        <v>5.5038352905903976E-2</v>
      </c>
    </row>
    <row r="67" spans="1:15" x14ac:dyDescent="0.25">
      <c r="A67" s="29">
        <v>45020</v>
      </c>
      <c r="B67">
        <v>-5.5882368236780167E-2</v>
      </c>
      <c r="C67">
        <v>-1.8165719229727983E-3</v>
      </c>
      <c r="D67">
        <v>-2.3962512612342834E-2</v>
      </c>
      <c r="E67">
        <v>1.5674340538680553E-3</v>
      </c>
      <c r="F67">
        <v>-1.3147265650331974E-2</v>
      </c>
      <c r="G67">
        <v>5.334172397851944E-3</v>
      </c>
      <c r="H67">
        <v>1.2057683430612087E-2</v>
      </c>
      <c r="I67">
        <v>-3.1955450773239136E-2</v>
      </c>
      <c r="J67">
        <v>-3.8550853729248047E-2</v>
      </c>
      <c r="K67">
        <v>-1.5519537962973118E-2</v>
      </c>
      <c r="M67">
        <f t="shared" si="0"/>
        <v>-1.2983819710777413E-2</v>
      </c>
      <c r="N67">
        <f t="shared" si="1"/>
        <v>0.98701618028922256</v>
      </c>
      <c r="O67">
        <f>PRODUCT($N$4:N67)-1</f>
        <v>4.1339925143818235E-2</v>
      </c>
    </row>
    <row r="68" spans="1:15" x14ac:dyDescent="0.25">
      <c r="A68" s="29">
        <v>45021</v>
      </c>
      <c r="B68">
        <v>1.55759381595999E-3</v>
      </c>
      <c r="C68">
        <v>-7.0973590016365051E-2</v>
      </c>
      <c r="D68">
        <v>1.7794228915590793E-4</v>
      </c>
      <c r="E68">
        <v>-8.8680265471339226E-3</v>
      </c>
      <c r="F68">
        <v>-5.1420177333056927E-3</v>
      </c>
      <c r="G68">
        <v>2.1223479881882668E-2</v>
      </c>
      <c r="H68">
        <v>6.7334691993892193E-4</v>
      </c>
      <c r="I68">
        <v>-1.1819833889603615E-2</v>
      </c>
      <c r="J68">
        <v>1.739124022424221E-2</v>
      </c>
      <c r="K68">
        <v>7.5393868610262871E-3</v>
      </c>
      <c r="M68">
        <f t="shared" si="0"/>
        <v>-8.2228709688817684E-3</v>
      </c>
      <c r="N68">
        <f t="shared" si="1"/>
        <v>0.99177712903111825</v>
      </c>
      <c r="O68">
        <f>PRODUCT($N$4:N68)-1</f>
        <v>3.2777121304615742E-2</v>
      </c>
    </row>
    <row r="69" spans="1:15" x14ac:dyDescent="0.25">
      <c r="A69" s="29">
        <v>45022</v>
      </c>
      <c r="B69">
        <v>4.5101083815097809E-2</v>
      </c>
      <c r="C69">
        <v>1.1753171682357788E-2</v>
      </c>
      <c r="D69">
        <v>2.8459595050662756E-3</v>
      </c>
      <c r="E69">
        <v>5.2631781436502934E-3</v>
      </c>
      <c r="F69">
        <v>-1.3508500996977091E-3</v>
      </c>
      <c r="G69">
        <v>-3.3618768211454153E-3</v>
      </c>
      <c r="H69">
        <v>-8.6447782814502716E-3</v>
      </c>
      <c r="I69">
        <v>-5.3882598876953125E-4</v>
      </c>
      <c r="J69">
        <v>1.1396001093089581E-2</v>
      </c>
      <c r="K69">
        <v>1.6326528042554855E-2</v>
      </c>
      <c r="M69">
        <f t="shared" ref="M69:M132" si="2">SUMPRODUCT($B$2:$K$2,B69:K69)</f>
        <v>3.156389314127441E-3</v>
      </c>
      <c r="N69">
        <f t="shared" ref="N69:N132" si="3">1+M69</f>
        <v>1.0031563893141275</v>
      </c>
      <c r="O69">
        <f>PRODUCT($N$4:N69)-1</f>
        <v>3.6036967974176992E-2</v>
      </c>
    </row>
    <row r="70" spans="1:15" x14ac:dyDescent="0.25">
      <c r="A70" s="29">
        <v>45026</v>
      </c>
      <c r="B70">
        <v>-1.6368996351957321E-2</v>
      </c>
      <c r="C70">
        <v>-1.0648563504219055E-2</v>
      </c>
      <c r="D70">
        <v>1.2415696401149035E-3</v>
      </c>
      <c r="E70">
        <v>2.6178009808063507E-2</v>
      </c>
      <c r="F70">
        <v>2.4172209203243256E-2</v>
      </c>
      <c r="G70">
        <v>1.5946041792631149E-2</v>
      </c>
      <c r="H70">
        <v>1.2218743562698364E-2</v>
      </c>
      <c r="I70">
        <v>1.6280345618724823E-2</v>
      </c>
      <c r="J70">
        <v>-6.57274154946208E-3</v>
      </c>
      <c r="K70">
        <v>4.7490266151726246E-3</v>
      </c>
      <c r="M70">
        <f t="shared" si="2"/>
        <v>1.1256608996649329E-2</v>
      </c>
      <c r="N70">
        <f t="shared" si="3"/>
        <v>1.0112566089966493</v>
      </c>
      <c r="O70">
        <f>PRODUCT($N$4:N70)-1</f>
        <v>4.76992310287363E-2</v>
      </c>
    </row>
    <row r="71" spans="1:15" x14ac:dyDescent="0.25">
      <c r="A71" s="29">
        <v>45027</v>
      </c>
      <c r="B71">
        <v>-2.5718620046973228E-2</v>
      </c>
      <c r="C71">
        <v>-1.9569918513298035E-3</v>
      </c>
      <c r="D71">
        <v>7.6173655688762665E-3</v>
      </c>
      <c r="E71">
        <v>-1.1734670028090477E-2</v>
      </c>
      <c r="F71">
        <v>7.9246861860156059E-3</v>
      </c>
      <c r="G71">
        <v>2.4146698415279388E-3</v>
      </c>
      <c r="H71">
        <v>3.7142182700335979E-3</v>
      </c>
      <c r="I71">
        <v>4.4557410292327404E-3</v>
      </c>
      <c r="J71">
        <v>8.0340299755334854E-3</v>
      </c>
      <c r="K71">
        <v>-1.0128330439329147E-2</v>
      </c>
      <c r="M71">
        <f t="shared" si="2"/>
        <v>1.7935836899599911E-3</v>
      </c>
      <c r="N71">
        <f t="shared" si="3"/>
        <v>1.0017935836899601</v>
      </c>
      <c r="O71">
        <f>PRODUCT($N$4:N71)-1</f>
        <v>4.9578367281493119E-2</v>
      </c>
    </row>
    <row r="72" spans="1:15" x14ac:dyDescent="0.25">
      <c r="A72" s="29">
        <v>45028</v>
      </c>
      <c r="B72">
        <v>-6.2111741863191128E-3</v>
      </c>
      <c r="C72">
        <v>-3.1372521072626114E-2</v>
      </c>
      <c r="D72">
        <v>-5.0984690897166729E-3</v>
      </c>
      <c r="E72">
        <v>-9.8090097308158875E-3</v>
      </c>
      <c r="F72">
        <v>-2.8488520183600485E-4</v>
      </c>
      <c r="G72">
        <v>-3.5230297595262527E-2</v>
      </c>
      <c r="H72">
        <v>4.3685603886842728E-3</v>
      </c>
      <c r="I72">
        <v>1.9116999581456184E-2</v>
      </c>
      <c r="J72">
        <v>-1.5939997509121895E-2</v>
      </c>
      <c r="K72">
        <v>-2.7285104151815176E-3</v>
      </c>
      <c r="M72">
        <f t="shared" si="2"/>
        <v>-7.9391551414700699E-3</v>
      </c>
      <c r="N72">
        <f t="shared" si="3"/>
        <v>0.99206084485852997</v>
      </c>
      <c r="O72">
        <f>PRODUCT($N$4:N72)-1</f>
        <v>4.1245601790514508E-2</v>
      </c>
    </row>
    <row r="73" spans="1:15" x14ac:dyDescent="0.25">
      <c r="A73" s="29">
        <v>45029</v>
      </c>
      <c r="B73">
        <v>3.7499964237213135E-2</v>
      </c>
      <c r="C73">
        <v>4.3522298336029053E-2</v>
      </c>
      <c r="D73">
        <v>2.1204971708357334E-3</v>
      </c>
      <c r="E73">
        <v>0</v>
      </c>
      <c r="F73">
        <v>-4.844167735427618E-3</v>
      </c>
      <c r="G73">
        <v>-3.7453208118677139E-2</v>
      </c>
      <c r="H73">
        <v>1.4379273168742657E-2</v>
      </c>
      <c r="I73">
        <v>6.5292245708405972E-3</v>
      </c>
      <c r="J73">
        <v>-7.6226703822612762E-3</v>
      </c>
      <c r="K73">
        <v>6.8401021417230368E-4</v>
      </c>
      <c r="M73">
        <f t="shared" si="2"/>
        <v>1.5640865742602265E-3</v>
      </c>
      <c r="N73">
        <f t="shared" si="3"/>
        <v>1.0015640865742603</v>
      </c>
      <c r="O73">
        <f>PRODUCT($N$4:N73)-1</f>
        <v>4.2874200056782774E-2</v>
      </c>
    </row>
    <row r="74" spans="1:15" x14ac:dyDescent="0.25">
      <c r="A74" s="29">
        <v>45030</v>
      </c>
      <c r="B74">
        <v>1.3554240576922894E-2</v>
      </c>
      <c r="C74">
        <v>1.9398160511627793E-3</v>
      </c>
      <c r="D74">
        <v>-8.2877343520522118E-3</v>
      </c>
      <c r="E74">
        <v>-1.1991634033620358E-2</v>
      </c>
      <c r="F74">
        <v>1.2312502600252628E-2</v>
      </c>
      <c r="G74">
        <v>-2.7561619877815247E-2</v>
      </c>
      <c r="H74">
        <v>-1.5133319539017975E-4</v>
      </c>
      <c r="I74">
        <v>-1.7092294991016388E-2</v>
      </c>
      <c r="J74">
        <v>-1.9203053787350655E-2</v>
      </c>
      <c r="K74">
        <v>-1.093642134219408E-2</v>
      </c>
      <c r="M74">
        <f t="shared" si="2"/>
        <v>-6.8574297851941753E-3</v>
      </c>
      <c r="N74">
        <f t="shared" si="3"/>
        <v>0.99314257021480579</v>
      </c>
      <c r="O74">
        <f>PRODUCT($N$4:N74)-1</f>
        <v>3.5722763455102724E-2</v>
      </c>
    </row>
    <row r="75" spans="1:15" x14ac:dyDescent="0.25">
      <c r="A75" s="29">
        <v>45033</v>
      </c>
      <c r="B75">
        <v>5.9435378760099411E-2</v>
      </c>
      <c r="C75">
        <v>5.3243278525769711E-3</v>
      </c>
      <c r="D75">
        <v>1.7069684341549873E-2</v>
      </c>
      <c r="E75">
        <v>-6.068609282374382E-2</v>
      </c>
      <c r="F75">
        <v>-6.7890691570937634E-4</v>
      </c>
      <c r="G75">
        <v>8.0026602372527122E-3</v>
      </c>
      <c r="H75">
        <v>-1.0393530130386353E-2</v>
      </c>
      <c r="I75">
        <v>5.4473527707159519E-3</v>
      </c>
      <c r="J75">
        <v>1.6152713447809219E-2</v>
      </c>
      <c r="K75">
        <v>2.0732562988996506E-2</v>
      </c>
      <c r="M75">
        <f t="shared" si="2"/>
        <v>4.4345403760870155E-3</v>
      </c>
      <c r="N75">
        <f t="shared" si="3"/>
        <v>1.004434540376087</v>
      </c>
      <c r="O75">
        <f>PRODUCT($N$4:N75)-1</f>
        <v>4.0315717868076861E-2</v>
      </c>
    </row>
    <row r="76" spans="1:15" x14ac:dyDescent="0.25">
      <c r="A76" s="29">
        <v>45034</v>
      </c>
      <c r="B76">
        <v>3.2258067280054092E-2</v>
      </c>
      <c r="C76">
        <v>9.1477427631616592E-3</v>
      </c>
      <c r="D76">
        <v>5.419537890702486E-3</v>
      </c>
      <c r="E76">
        <v>-4.4943779706954956E-2</v>
      </c>
      <c r="F76">
        <v>-9.7933532670140266E-3</v>
      </c>
      <c r="G76">
        <v>6.6160957794636488E-4</v>
      </c>
      <c r="H76">
        <v>9.1775227338075638E-4</v>
      </c>
      <c r="I76">
        <v>1.3231887482106686E-2</v>
      </c>
      <c r="J76">
        <v>-2.0712923258543015E-2</v>
      </c>
      <c r="K76">
        <v>-2.6404896751046181E-2</v>
      </c>
      <c r="M76">
        <f t="shared" si="2"/>
        <v>-3.1166448011843905E-4</v>
      </c>
      <c r="N76">
        <f t="shared" si="3"/>
        <v>0.99968833551988157</v>
      </c>
      <c r="O76">
        <f>PRODUCT($N$4:N76)-1</f>
        <v>3.9991488410708431E-2</v>
      </c>
    </row>
    <row r="77" spans="1:15" x14ac:dyDescent="0.25">
      <c r="A77" s="29">
        <v>45035</v>
      </c>
      <c r="B77">
        <v>4.0760505944490433E-3</v>
      </c>
      <c r="C77">
        <v>-1.6221290454268456E-2</v>
      </c>
      <c r="D77">
        <v>-3.4770724596455693E-4</v>
      </c>
      <c r="E77">
        <v>3.2941143959760666E-2</v>
      </c>
      <c r="F77">
        <v>1.9952010363340378E-2</v>
      </c>
      <c r="G77">
        <v>2.909088134765625E-2</v>
      </c>
      <c r="H77">
        <v>9.0158358216285706E-3</v>
      </c>
      <c r="I77">
        <v>9.2545142397284508E-3</v>
      </c>
      <c r="J77">
        <v>3.9842572063207626E-2</v>
      </c>
      <c r="K77">
        <v>7.6494892127811909E-3</v>
      </c>
      <c r="M77">
        <f t="shared" si="2"/>
        <v>1.3318589026692024E-2</v>
      </c>
      <c r="N77">
        <f t="shared" si="3"/>
        <v>1.013318589026692</v>
      </c>
      <c r="O77">
        <f>PRODUCT($N$4:N77)-1</f>
        <v>5.3842707636108322E-2</v>
      </c>
    </row>
    <row r="78" spans="1:15" x14ac:dyDescent="0.25">
      <c r="A78" s="29">
        <v>45036</v>
      </c>
      <c r="B78">
        <v>2.8416784480214119E-2</v>
      </c>
      <c r="C78">
        <v>-7.7595417387783527E-3</v>
      </c>
      <c r="D78">
        <v>-6.4359493553638458E-3</v>
      </c>
      <c r="E78">
        <v>-3.4168262500315905E-3</v>
      </c>
      <c r="F78">
        <v>1.1994839645922184E-2</v>
      </c>
      <c r="G78">
        <v>-4.1760089807212353E-3</v>
      </c>
      <c r="H78">
        <v>1.2671058066189289E-2</v>
      </c>
      <c r="I78">
        <v>1.1309226974844933E-2</v>
      </c>
      <c r="J78">
        <v>-4.7304772306233644E-4</v>
      </c>
      <c r="K78">
        <v>-2.0703750196844339E-3</v>
      </c>
      <c r="M78">
        <f t="shared" si="2"/>
        <v>4.6710123210422999E-3</v>
      </c>
      <c r="N78">
        <f t="shared" si="3"/>
        <v>1.0046710123210423</v>
      </c>
      <c r="O78">
        <f>PRODUCT($N$4:N78)-1</f>
        <v>5.8765219907917166E-2</v>
      </c>
    </row>
    <row r="79" spans="1:15" x14ac:dyDescent="0.25">
      <c r="A79" s="29">
        <v>45037</v>
      </c>
      <c r="B79">
        <v>-5.7894743978977203E-2</v>
      </c>
      <c r="C79">
        <v>3.6168217658996582E-2</v>
      </c>
      <c r="D79">
        <v>-1.1904767714440823E-2</v>
      </c>
      <c r="E79">
        <v>2.1714238449931145E-2</v>
      </c>
      <c r="F79">
        <v>-2.2874576970934868E-2</v>
      </c>
      <c r="G79">
        <v>6.4517604187130928E-4</v>
      </c>
      <c r="H79">
        <v>1.7946114763617516E-2</v>
      </c>
      <c r="I79">
        <v>2.0148796029388905E-3</v>
      </c>
      <c r="J79">
        <v>-1.7983870580792427E-2</v>
      </c>
      <c r="K79">
        <v>-4.8409192822873592E-3</v>
      </c>
      <c r="M79">
        <f t="shared" si="2"/>
        <v>-1.343656617984179E-3</v>
      </c>
      <c r="N79">
        <f t="shared" si="3"/>
        <v>0.99865634338201581</v>
      </c>
      <c r="O79">
        <f>PRODUCT($N$4:N79)-1</f>
        <v>5.7342603013296412E-2</v>
      </c>
    </row>
    <row r="80" spans="1:15" x14ac:dyDescent="0.25">
      <c r="A80" s="29">
        <v>45040</v>
      </c>
      <c r="B80">
        <v>2.7932934463024139E-3</v>
      </c>
      <c r="C80">
        <v>-5.4716970771551132E-2</v>
      </c>
      <c r="D80">
        <v>3.3664500806480646E-3</v>
      </c>
      <c r="E80">
        <v>-2.1252751350402832E-2</v>
      </c>
      <c r="F80">
        <v>0</v>
      </c>
      <c r="G80">
        <v>-7.4145565740764141E-3</v>
      </c>
      <c r="H80">
        <v>-6.4152674749493599E-3</v>
      </c>
      <c r="I80">
        <v>-8.4455693140625954E-3</v>
      </c>
      <c r="J80">
        <v>-4.1445814073085785E-2</v>
      </c>
      <c r="K80">
        <v>-3.4746483433991671E-3</v>
      </c>
      <c r="M80">
        <f t="shared" si="2"/>
        <v>-1.3027189979117849E-2</v>
      </c>
      <c r="N80">
        <f t="shared" si="3"/>
        <v>0.98697281002088211</v>
      </c>
      <c r="O80">
        <f>PRODUCT($N$4:N80)-1</f>
        <v>4.3568400050827183E-2</v>
      </c>
    </row>
    <row r="81" spans="1:15" x14ac:dyDescent="0.25">
      <c r="A81" s="29">
        <v>45041</v>
      </c>
      <c r="B81">
        <v>1.9498655572533607E-2</v>
      </c>
      <c r="C81">
        <v>-5.9880275279283524E-2</v>
      </c>
      <c r="D81">
        <v>-9.182419627904892E-3</v>
      </c>
      <c r="E81">
        <v>-3.371429443359375E-2</v>
      </c>
      <c r="F81">
        <v>-2.1936260163784027E-2</v>
      </c>
      <c r="G81">
        <v>-1.5914311632514E-2</v>
      </c>
      <c r="H81">
        <v>-9.9068190902471542E-3</v>
      </c>
      <c r="I81">
        <v>-1.0038587264716625E-2</v>
      </c>
      <c r="J81">
        <v>-7.6420240104198456E-2</v>
      </c>
      <c r="K81">
        <v>-2.7196675539016724E-2</v>
      </c>
      <c r="M81">
        <f t="shared" si="2"/>
        <v>-2.3294179181615058E-2</v>
      </c>
      <c r="N81">
        <f t="shared" si="3"/>
        <v>0.97670582081838497</v>
      </c>
      <c r="O81">
        <f>PRODUCT($N$4:N81)-1</f>
        <v>1.9259330751771886E-2</v>
      </c>
    </row>
    <row r="82" spans="1:15" x14ac:dyDescent="0.25">
      <c r="A82" s="29">
        <v>45042</v>
      </c>
      <c r="B82">
        <v>-3.2786916941404343E-2</v>
      </c>
      <c r="C82">
        <v>9.5541561022400856E-3</v>
      </c>
      <c r="D82">
        <v>-7.3070726357400417E-3</v>
      </c>
      <c r="E82">
        <v>2.6020137593150139E-2</v>
      </c>
      <c r="F82">
        <v>-4.0162317454814911E-2</v>
      </c>
      <c r="G82">
        <v>-2.3102210834622383E-3</v>
      </c>
      <c r="H82">
        <v>-8.8610053062438965E-3</v>
      </c>
      <c r="I82">
        <v>-3.8000606000423431E-2</v>
      </c>
      <c r="J82">
        <v>-1.5786657109856606E-2</v>
      </c>
      <c r="K82">
        <v>1.0752729140222073E-2</v>
      </c>
      <c r="M82">
        <f t="shared" si="2"/>
        <v>-1.6965846296711117E-2</v>
      </c>
      <c r="N82">
        <f t="shared" si="3"/>
        <v>0.98303415370328884</v>
      </c>
      <c r="O82">
        <f>PRODUCT($N$4:N82)-1</f>
        <v>1.9667336097486388E-3</v>
      </c>
    </row>
    <row r="83" spans="1:15" x14ac:dyDescent="0.25">
      <c r="A83" s="29">
        <v>45043</v>
      </c>
      <c r="B83">
        <v>1.4124280773103237E-2</v>
      </c>
      <c r="C83">
        <v>0</v>
      </c>
      <c r="D83">
        <v>2.082584984600544E-2</v>
      </c>
      <c r="E83">
        <v>0</v>
      </c>
      <c r="F83">
        <v>2.6868810877203941E-2</v>
      </c>
      <c r="G83">
        <v>3.4402940422296524E-2</v>
      </c>
      <c r="H83">
        <v>1.3259665109217167E-2</v>
      </c>
      <c r="I83">
        <v>5.6431040167808533E-2</v>
      </c>
      <c r="J83">
        <v>-6.0841045342385769E-3</v>
      </c>
      <c r="K83">
        <v>1.4184045139700174E-3</v>
      </c>
      <c r="M83">
        <f t="shared" si="2"/>
        <v>2.5462809344619686E-2</v>
      </c>
      <c r="N83">
        <f t="shared" si="3"/>
        <v>1.0254628093446196</v>
      </c>
      <c r="O83">
        <f>PRODUCT($N$4:N83)-1</f>
        <v>2.7479621517304986E-2</v>
      </c>
    </row>
    <row r="84" spans="1:15" x14ac:dyDescent="0.25">
      <c r="A84" s="29">
        <v>45044</v>
      </c>
      <c r="B84">
        <v>-4.8746507614850998E-2</v>
      </c>
      <c r="C84">
        <v>6.3090920448303223E-3</v>
      </c>
      <c r="D84">
        <v>1.2486793100833893E-2</v>
      </c>
      <c r="E84">
        <v>1.7867403104901314E-2</v>
      </c>
      <c r="F84">
        <v>3.0693160369992256E-2</v>
      </c>
      <c r="G84">
        <v>-2.750241756439209E-2</v>
      </c>
      <c r="H84">
        <v>1.4374605379998684E-3</v>
      </c>
      <c r="I84">
        <v>-1.22959204018116E-2</v>
      </c>
      <c r="J84">
        <v>-1.8920432776212692E-2</v>
      </c>
      <c r="K84">
        <v>-1.9121777266263962E-2</v>
      </c>
      <c r="M84">
        <f t="shared" si="2"/>
        <v>-1.9451758650586106E-3</v>
      </c>
      <c r="N84">
        <f t="shared" si="3"/>
        <v>0.9980548241349414</v>
      </c>
      <c r="O84">
        <f>PRODUCT($N$4:N84)-1</f>
        <v>2.5480992955690063E-2</v>
      </c>
    </row>
    <row r="85" spans="1:15" x14ac:dyDescent="0.25">
      <c r="A85" s="29">
        <v>45047</v>
      </c>
      <c r="B85">
        <v>-2.9282548930495977E-3</v>
      </c>
      <c r="C85">
        <v>-2.0898124203085899E-3</v>
      </c>
      <c r="D85">
        <v>4.4467628002166748E-2</v>
      </c>
      <c r="E85">
        <v>-5.6626438163220882E-4</v>
      </c>
      <c r="F85">
        <v>6.7317471839487553E-3</v>
      </c>
      <c r="G85">
        <v>-1.3153242180123925E-3</v>
      </c>
      <c r="H85">
        <v>1.3314866460859776E-2</v>
      </c>
      <c r="I85">
        <v>-1.1224552290514112E-3</v>
      </c>
      <c r="J85">
        <v>-4.0272213518619537E-2</v>
      </c>
      <c r="K85">
        <v>-7.2202440351247787E-3</v>
      </c>
      <c r="M85">
        <f t="shared" si="2"/>
        <v>1.4329541829133615E-3</v>
      </c>
      <c r="N85">
        <f t="shared" si="3"/>
        <v>1.0014329541829134</v>
      </c>
      <c r="O85">
        <f>PRODUCT($N$4:N85)-1</f>
        <v>2.6950460234044238E-2</v>
      </c>
    </row>
    <row r="86" spans="1:15" x14ac:dyDescent="0.25">
      <c r="A86" s="29">
        <v>45048</v>
      </c>
      <c r="B86">
        <v>-3.0837010592222214E-2</v>
      </c>
      <c r="C86">
        <v>-7.8534029424190521E-2</v>
      </c>
      <c r="D86">
        <v>-1.8460012972354889E-2</v>
      </c>
      <c r="E86">
        <v>-3.8526929914951324E-2</v>
      </c>
      <c r="F86">
        <v>-6.6300118342041969E-3</v>
      </c>
      <c r="G86">
        <v>-2.9634557664394379E-2</v>
      </c>
      <c r="H86">
        <v>6.8385788472369313E-4</v>
      </c>
      <c r="I86">
        <v>2.5538869667798281E-3</v>
      </c>
      <c r="J86">
        <v>-0.10342789441347122</v>
      </c>
      <c r="K86">
        <v>2.1817986853420734E-3</v>
      </c>
      <c r="M86">
        <f t="shared" si="2"/>
        <v>-2.4042053615073375E-2</v>
      </c>
      <c r="N86">
        <f t="shared" si="3"/>
        <v>0.97595794638492661</v>
      </c>
      <c r="O86">
        <f>PRODUCT($N$4:N86)-1</f>
        <v>2.2604622090729443E-3</v>
      </c>
    </row>
    <row r="87" spans="1:15" x14ac:dyDescent="0.25">
      <c r="A87" s="29">
        <v>45049</v>
      </c>
      <c r="B87">
        <v>-2.8787888586521149E-2</v>
      </c>
      <c r="C87">
        <v>-7.4999980628490448E-2</v>
      </c>
      <c r="D87">
        <v>-1.016608439385891E-2</v>
      </c>
      <c r="E87">
        <v>-8.8391061872243881E-3</v>
      </c>
      <c r="F87">
        <v>-2.0536258816719055E-3</v>
      </c>
      <c r="G87">
        <v>-7.1258596144616604E-3</v>
      </c>
      <c r="H87">
        <v>2.177099883556366E-2</v>
      </c>
      <c r="I87">
        <v>-6.0117826797068119E-3</v>
      </c>
      <c r="J87">
        <v>-3.3619001507759094E-2</v>
      </c>
      <c r="K87">
        <v>-1.4513428322970867E-3</v>
      </c>
      <c r="M87">
        <f t="shared" si="2"/>
        <v>-1.4510322210074898E-2</v>
      </c>
      <c r="N87">
        <f t="shared" si="3"/>
        <v>0.98548967778992513</v>
      </c>
      <c r="O87">
        <f>PRODUCT($N$4:N87)-1</f>
        <v>-1.2282660035999315E-2</v>
      </c>
    </row>
    <row r="88" spans="1:15" x14ac:dyDescent="0.25">
      <c r="A88" s="29">
        <v>45050</v>
      </c>
      <c r="B88">
        <v>-9.5163755118846893E-2</v>
      </c>
      <c r="C88">
        <v>-1.8427588045597076E-2</v>
      </c>
      <c r="D88">
        <v>-5.8198622427880764E-3</v>
      </c>
      <c r="E88">
        <v>-1.1890878668054938E-3</v>
      </c>
      <c r="F88">
        <v>1.7148038023151457E-4</v>
      </c>
      <c r="G88">
        <v>9.2276297509670258E-3</v>
      </c>
      <c r="H88">
        <v>-1.3806681148707867E-2</v>
      </c>
      <c r="I88">
        <v>-1.3019007630646229E-2</v>
      </c>
      <c r="J88">
        <v>-4.0245577692985535E-2</v>
      </c>
      <c r="K88">
        <v>-1.7441842705011368E-2</v>
      </c>
      <c r="M88">
        <f t="shared" si="2"/>
        <v>-1.069396619321418E-2</v>
      </c>
      <c r="N88">
        <f t="shared" si="3"/>
        <v>0.98930603380678583</v>
      </c>
      <c r="O88">
        <f>PRODUCT($N$4:N88)-1</f>
        <v>-2.2845275878025761E-2</v>
      </c>
    </row>
    <row r="89" spans="1:15" x14ac:dyDescent="0.25">
      <c r="A89" s="29">
        <v>45051</v>
      </c>
      <c r="B89">
        <v>0.12155170738697052</v>
      </c>
      <c r="C89">
        <v>1.2515931157395244E-3</v>
      </c>
      <c r="D89">
        <v>9.2974705621600151E-3</v>
      </c>
      <c r="E89">
        <v>1.7857212573289871E-2</v>
      </c>
      <c r="F89">
        <v>2.3718316107988358E-2</v>
      </c>
      <c r="G89">
        <v>-3.3864640863612294E-4</v>
      </c>
      <c r="H89">
        <v>1.2159133329987526E-2</v>
      </c>
      <c r="I89">
        <v>7.2496920824050903E-2</v>
      </c>
      <c r="J89">
        <v>5.3545638918876648E-2</v>
      </c>
      <c r="K89">
        <v>2.6627192273736E-2</v>
      </c>
      <c r="M89">
        <f t="shared" si="2"/>
        <v>2.9789814276085631E-2</v>
      </c>
      <c r="N89">
        <f t="shared" si="3"/>
        <v>1.0297898142760857</v>
      </c>
      <c r="O89">
        <f>PRODUCT($N$4:N89)-1</f>
        <v>6.2639818725676033E-3</v>
      </c>
    </row>
    <row r="90" spans="1:15" x14ac:dyDescent="0.25">
      <c r="A90" s="29">
        <v>45054</v>
      </c>
      <c r="B90">
        <v>8.3781719207763672E-2</v>
      </c>
      <c r="C90">
        <v>4.999995231628418E-3</v>
      </c>
      <c r="D90">
        <v>3.241256345063448E-3</v>
      </c>
      <c r="E90">
        <v>-2.0467858761548996E-2</v>
      </c>
      <c r="F90">
        <v>-4.6337754465639591E-3</v>
      </c>
      <c r="G90">
        <v>4.0650041773915291E-3</v>
      </c>
      <c r="H90">
        <v>9.5719797536730766E-4</v>
      </c>
      <c r="I90">
        <v>-6.1107933521270752E-2</v>
      </c>
      <c r="J90">
        <v>-5.4945657029747963E-3</v>
      </c>
      <c r="K90">
        <v>2.1613640710711479E-3</v>
      </c>
      <c r="M90">
        <f t="shared" si="2"/>
        <v>-9.2214428949530525E-3</v>
      </c>
      <c r="N90">
        <f t="shared" si="3"/>
        <v>0.99077855710504692</v>
      </c>
      <c r="O90">
        <f>PRODUCT($N$4:N90)-1</f>
        <v>-3.0152239735183883E-3</v>
      </c>
    </row>
    <row r="91" spans="1:15" x14ac:dyDescent="0.25">
      <c r="A91" s="29">
        <v>45055</v>
      </c>
      <c r="B91">
        <v>3.4042518585920334E-2</v>
      </c>
      <c r="C91">
        <v>-9.9502392113208771E-3</v>
      </c>
      <c r="D91">
        <v>-3.2307845540344715E-3</v>
      </c>
      <c r="E91">
        <v>-2.9850290156900883E-3</v>
      </c>
      <c r="F91">
        <v>-1.3348980806767941E-2</v>
      </c>
      <c r="G91">
        <v>7.7598332427442074E-3</v>
      </c>
      <c r="H91">
        <v>9.0849405387416482E-4</v>
      </c>
      <c r="I91">
        <v>-2.7849061880260706E-3</v>
      </c>
      <c r="J91">
        <v>5.5249226279556751E-3</v>
      </c>
      <c r="K91">
        <v>-2.8756263200193644E-3</v>
      </c>
      <c r="M91">
        <f t="shared" si="2"/>
        <v>-2.1233436478168164E-3</v>
      </c>
      <c r="N91">
        <f t="shared" si="3"/>
        <v>0.99787665635218314</v>
      </c>
      <c r="O91">
        <f>PRODUCT($N$4:N91)-1</f>
        <v>-5.1321652646643123E-3</v>
      </c>
    </row>
    <row r="92" spans="1:15" x14ac:dyDescent="0.25">
      <c r="A92" s="29">
        <v>45056</v>
      </c>
      <c r="B92">
        <v>4.3895769864320755E-2</v>
      </c>
      <c r="C92">
        <v>1.1306552216410637E-2</v>
      </c>
      <c r="D92">
        <v>-2.2176264319568872E-3</v>
      </c>
      <c r="E92">
        <v>5.9870188124477863E-4</v>
      </c>
      <c r="F92">
        <v>3.9792903698980808E-3</v>
      </c>
      <c r="G92">
        <v>-5.0218119286000729E-3</v>
      </c>
      <c r="H92">
        <v>3.4729871898889542E-2</v>
      </c>
      <c r="I92">
        <v>4.7579547390341759E-3</v>
      </c>
      <c r="J92">
        <v>-1.236265804618597E-2</v>
      </c>
      <c r="K92">
        <v>-1.8024513497948647E-2</v>
      </c>
      <c r="M92">
        <f t="shared" si="2"/>
        <v>5.3468810676613821E-3</v>
      </c>
      <c r="N92">
        <f t="shared" si="3"/>
        <v>1.0053468810676613</v>
      </c>
      <c r="O92">
        <f>PRODUCT($N$4:N92)-1</f>
        <v>1.8727472570723158E-4</v>
      </c>
    </row>
    <row r="93" spans="1:15" x14ac:dyDescent="0.25">
      <c r="A93" s="29">
        <v>45057</v>
      </c>
      <c r="B93">
        <v>5.124833807349205E-2</v>
      </c>
      <c r="C93">
        <v>-3.4782633185386658E-2</v>
      </c>
      <c r="D93">
        <v>-1.5387270832434297E-3</v>
      </c>
      <c r="E93">
        <v>5.3860056214034557E-3</v>
      </c>
      <c r="F93">
        <v>8.493047789670527E-4</v>
      </c>
      <c r="G93">
        <v>-5.3835748694837093E-3</v>
      </c>
      <c r="H93">
        <v>1.3849851675331593E-3</v>
      </c>
      <c r="I93">
        <v>-1.389745157212019E-2</v>
      </c>
      <c r="J93">
        <v>4.1724247857928276E-3</v>
      </c>
      <c r="K93">
        <v>-2.2760607302188873E-2</v>
      </c>
      <c r="M93">
        <f t="shared" si="2"/>
        <v>-6.5400269688030283E-3</v>
      </c>
      <c r="N93">
        <f t="shared" si="3"/>
        <v>0.99345997303119693</v>
      </c>
      <c r="O93">
        <f>PRODUCT($N$4:N93)-1</f>
        <v>-6.3539770248525196E-3</v>
      </c>
    </row>
    <row r="94" spans="1:15" x14ac:dyDescent="0.25">
      <c r="A94" s="29">
        <v>45058</v>
      </c>
      <c r="B94">
        <v>-6.2500238418579102E-3</v>
      </c>
      <c r="C94">
        <v>2.9601031914353371E-2</v>
      </c>
      <c r="D94">
        <v>1.8835067749023438E-3</v>
      </c>
      <c r="E94">
        <v>-1.0118975304067135E-2</v>
      </c>
      <c r="F94">
        <v>-1.8713952740654349E-3</v>
      </c>
      <c r="G94">
        <v>-6.7654094891622663E-4</v>
      </c>
      <c r="H94">
        <v>1.028128620237112E-2</v>
      </c>
      <c r="I94">
        <v>-1.148343738168478E-2</v>
      </c>
      <c r="J94">
        <v>2.6315798982977867E-2</v>
      </c>
      <c r="K94">
        <v>0</v>
      </c>
      <c r="M94">
        <f t="shared" si="2"/>
        <v>2.2561168855507259E-3</v>
      </c>
      <c r="N94">
        <f t="shared" si="3"/>
        <v>1.0022561168855508</v>
      </c>
      <c r="O94">
        <f>PRODUCT($N$4:N94)-1</f>
        <v>-4.1121954541578631E-3</v>
      </c>
    </row>
    <row r="95" spans="1:15" x14ac:dyDescent="0.25">
      <c r="A95" s="29">
        <v>45061</v>
      </c>
      <c r="B95">
        <v>2.5157209485769272E-2</v>
      </c>
      <c r="C95">
        <v>6.2500238418579102E-3</v>
      </c>
      <c r="D95">
        <v>-2.2217954974621534E-3</v>
      </c>
      <c r="E95">
        <v>1.3922490179538727E-2</v>
      </c>
      <c r="F95">
        <v>-2.6703097391873598E-3</v>
      </c>
      <c r="G95">
        <v>1.997285895049572E-2</v>
      </c>
      <c r="H95">
        <v>8.7162340059876442E-3</v>
      </c>
      <c r="I95">
        <v>-2.2706089075654745E-3</v>
      </c>
      <c r="J95">
        <v>3.7112023681402206E-2</v>
      </c>
      <c r="K95">
        <v>-1.3523688539862633E-2</v>
      </c>
      <c r="M95">
        <f t="shared" si="2"/>
        <v>6.3857088373041517E-3</v>
      </c>
      <c r="N95">
        <f t="shared" si="3"/>
        <v>1.006385708837304</v>
      </c>
      <c r="O95">
        <f>PRODUCT($N$4:N95)-1</f>
        <v>2.2472541002938051E-3</v>
      </c>
    </row>
    <row r="96" spans="1:15" x14ac:dyDescent="0.25">
      <c r="A96" s="29">
        <v>45062</v>
      </c>
      <c r="B96">
        <v>-9.079752117395401E-2</v>
      </c>
      <c r="C96">
        <v>4.9689393490552902E-3</v>
      </c>
      <c r="D96">
        <v>-9.4210216775536537E-3</v>
      </c>
      <c r="E96">
        <v>0</v>
      </c>
      <c r="F96">
        <v>-2.569212019443512E-2</v>
      </c>
      <c r="G96">
        <v>9.6249887719750404E-3</v>
      </c>
      <c r="H96">
        <v>-2.3298922926187515E-2</v>
      </c>
      <c r="I96">
        <v>-3.2548259943723679E-2</v>
      </c>
      <c r="J96">
        <v>6.5063301008194685E-4</v>
      </c>
      <c r="K96">
        <v>7.6163205085322261E-4</v>
      </c>
      <c r="M96">
        <f t="shared" si="2"/>
        <v>-1.5374704368825666E-2</v>
      </c>
      <c r="N96">
        <f t="shared" si="3"/>
        <v>0.98462529563117429</v>
      </c>
      <c r="O96">
        <f>PRODUCT($N$4:N96)-1</f>
        <v>-1.3162001135965551E-2</v>
      </c>
    </row>
    <row r="97" spans="1:15" x14ac:dyDescent="0.25">
      <c r="A97" s="29">
        <v>45063</v>
      </c>
      <c r="B97">
        <v>5.5330678820610046E-2</v>
      </c>
      <c r="C97">
        <v>3.2138470560312271E-2</v>
      </c>
      <c r="D97">
        <v>7.0897429250180721E-3</v>
      </c>
      <c r="E97">
        <v>4.7761150635778904E-3</v>
      </c>
      <c r="F97">
        <v>6.3731293193995953E-3</v>
      </c>
      <c r="G97">
        <v>1.1505600996315479E-2</v>
      </c>
      <c r="H97">
        <v>-4.1548941284418106E-2</v>
      </c>
      <c r="I97">
        <v>8.7529356824234128E-4</v>
      </c>
      <c r="J97">
        <v>0.1079324334859848</v>
      </c>
      <c r="K97">
        <v>4.8706192523241043E-2</v>
      </c>
      <c r="M97">
        <f t="shared" si="2"/>
        <v>1.3844405903071417E-2</v>
      </c>
      <c r="N97">
        <f t="shared" si="3"/>
        <v>1.0138444059030713</v>
      </c>
      <c r="O97">
        <f>PRODUCT($N$4:N97)-1</f>
        <v>5.001846808827537E-4</v>
      </c>
    </row>
    <row r="98" spans="1:15" x14ac:dyDescent="0.25">
      <c r="A98" s="29">
        <v>45064</v>
      </c>
      <c r="B98">
        <v>1.6623994335532188E-2</v>
      </c>
      <c r="C98">
        <v>-1.1976093053817749E-2</v>
      </c>
      <c r="D98">
        <v>1.0817260481417179E-2</v>
      </c>
      <c r="E98">
        <v>-2.9708400834351778E-3</v>
      </c>
      <c r="F98">
        <v>-8.3081144839525223E-3</v>
      </c>
      <c r="G98">
        <v>9.4247320666909218E-3</v>
      </c>
      <c r="H98">
        <v>-6.9108479656279087E-3</v>
      </c>
      <c r="I98">
        <v>2.1859031403437257E-4</v>
      </c>
      <c r="J98">
        <v>1.7604916356503963E-3</v>
      </c>
      <c r="K98">
        <v>-1.4513428322970867E-3</v>
      </c>
      <c r="M98">
        <f t="shared" si="2"/>
        <v>-1.1661242775710485E-3</v>
      </c>
      <c r="N98">
        <f t="shared" si="3"/>
        <v>0.99883387572242899</v>
      </c>
      <c r="O98">
        <f>PRODUCT($N$4:N98)-1</f>
        <v>-6.6652287418789147E-4</v>
      </c>
    </row>
    <row r="99" spans="1:15" x14ac:dyDescent="0.25">
      <c r="A99" s="29">
        <v>45065</v>
      </c>
      <c r="B99">
        <v>2.0125767216086388E-2</v>
      </c>
      <c r="C99">
        <v>-2.7878731489181519E-2</v>
      </c>
      <c r="D99">
        <v>-1.1890555033460259E-3</v>
      </c>
      <c r="E99">
        <v>-7.1514202281832695E-3</v>
      </c>
      <c r="F99">
        <v>-1.3591933995485306E-2</v>
      </c>
      <c r="G99">
        <v>-5.4732798598706722E-3</v>
      </c>
      <c r="H99">
        <v>-5.8402051217854023E-4</v>
      </c>
      <c r="I99">
        <v>-8.7433692533522844E-4</v>
      </c>
      <c r="J99">
        <v>-3.6320969462394714E-2</v>
      </c>
      <c r="K99">
        <v>-1.8168604001402855E-2</v>
      </c>
      <c r="M99">
        <f t="shared" si="2"/>
        <v>-9.541911925547741E-3</v>
      </c>
      <c r="N99">
        <f t="shared" si="3"/>
        <v>0.99045808807445224</v>
      </c>
      <c r="O99">
        <f>PRODUCT($N$4:N99)-1</f>
        <v>-1.0202074897173841E-2</v>
      </c>
    </row>
    <row r="100" spans="1:15" x14ac:dyDescent="0.25">
      <c r="A100" s="29">
        <v>45068</v>
      </c>
      <c r="B100">
        <v>1.7262682318687439E-2</v>
      </c>
      <c r="C100">
        <v>5.1122173666954041E-2</v>
      </c>
      <c r="D100">
        <v>-2.0407980773597956E-3</v>
      </c>
      <c r="E100">
        <v>4.501800611615181E-2</v>
      </c>
      <c r="F100">
        <v>2.8509295079857111E-3</v>
      </c>
      <c r="G100">
        <v>1.0035654529929161E-2</v>
      </c>
      <c r="H100">
        <v>-6.4761252142488956E-3</v>
      </c>
      <c r="I100">
        <v>-9.2977304011583328E-3</v>
      </c>
      <c r="J100">
        <v>4.1945204138755798E-2</v>
      </c>
      <c r="K100">
        <v>1.480383425951004E-2</v>
      </c>
      <c r="M100">
        <f t="shared" si="2"/>
        <v>1.1479762930247805E-2</v>
      </c>
      <c r="N100">
        <f t="shared" si="3"/>
        <v>1.0114797629302479</v>
      </c>
      <c r="O100">
        <f>PRODUCT($N$4:N100)-1</f>
        <v>1.1605706318578157E-3</v>
      </c>
    </row>
    <row r="101" spans="1:15" x14ac:dyDescent="0.25">
      <c r="A101" s="29">
        <v>45069</v>
      </c>
      <c r="B101">
        <v>-1.6969738528132439E-2</v>
      </c>
      <c r="C101">
        <v>-1.067617442458868E-2</v>
      </c>
      <c r="D101">
        <v>-1.2056926265358925E-2</v>
      </c>
      <c r="E101">
        <v>0</v>
      </c>
      <c r="F101">
        <v>1.5931222587823868E-2</v>
      </c>
      <c r="G101">
        <v>-2.2435922175645828E-2</v>
      </c>
      <c r="H101">
        <v>-1.0096048004925251E-2</v>
      </c>
      <c r="I101">
        <v>-7.2871372103691101E-3</v>
      </c>
      <c r="J101">
        <v>5.3675618022680283E-2</v>
      </c>
      <c r="K101">
        <v>2.1881642751395702E-3</v>
      </c>
      <c r="M101">
        <f t="shared" si="2"/>
        <v>-2.9997329912574834E-3</v>
      </c>
      <c r="N101">
        <f t="shared" si="3"/>
        <v>0.99700026700874256</v>
      </c>
      <c r="O101">
        <f>PRODUCT($N$4:N101)-1</f>
        <v>-1.8426437614127433E-3</v>
      </c>
    </row>
    <row r="102" spans="1:15" x14ac:dyDescent="0.25">
      <c r="A102" s="29">
        <v>45070</v>
      </c>
      <c r="B102">
        <v>8.6313998326659203E-3</v>
      </c>
      <c r="C102">
        <v>-2.8776951134204865E-2</v>
      </c>
      <c r="D102">
        <v>-1.2778478674590588E-2</v>
      </c>
      <c r="E102">
        <v>-2.8144732117652893E-2</v>
      </c>
      <c r="F102">
        <v>-1.9179161638021469E-2</v>
      </c>
      <c r="G102">
        <v>-2.8524618595838547E-2</v>
      </c>
      <c r="H102">
        <v>-1.0941634885966778E-2</v>
      </c>
      <c r="I102">
        <v>-2.0464953035116196E-2</v>
      </c>
      <c r="J102">
        <v>-3.100772388279438E-2</v>
      </c>
      <c r="K102">
        <v>-7.2781869675964117E-4</v>
      </c>
      <c r="M102">
        <f t="shared" si="2"/>
        <v>-2.0503176022567401E-2</v>
      </c>
      <c r="N102">
        <f t="shared" si="3"/>
        <v>0.97949682397743265</v>
      </c>
      <c r="O102">
        <f>PRODUCT($N$4:N102)-1</f>
        <v>-2.2308039734592944E-2</v>
      </c>
    </row>
    <row r="103" spans="1:15" x14ac:dyDescent="0.25">
      <c r="A103" s="29">
        <v>45071</v>
      </c>
      <c r="B103">
        <v>-1.4669911935925484E-2</v>
      </c>
      <c r="C103">
        <v>-6.1728451400995255E-2</v>
      </c>
      <c r="D103">
        <v>-3.3233973663300276E-3</v>
      </c>
      <c r="E103">
        <v>-1.5957474708557129E-2</v>
      </c>
      <c r="F103">
        <v>1.6166426241397858E-2</v>
      </c>
      <c r="G103">
        <v>-6.7494268296286464E-4</v>
      </c>
      <c r="H103">
        <v>9.4107706099748611E-3</v>
      </c>
      <c r="I103">
        <v>2.0892517641186714E-2</v>
      </c>
      <c r="J103">
        <v>-1.4285714365541935E-2</v>
      </c>
      <c r="K103">
        <v>-5.098302848637104E-3</v>
      </c>
      <c r="M103">
        <f t="shared" si="2"/>
        <v>-1.9450164426891524E-3</v>
      </c>
      <c r="N103">
        <f t="shared" si="3"/>
        <v>0.99805498355731082</v>
      </c>
      <c r="O103">
        <f>PRODUCT($N$4:N103)-1</f>
        <v>-2.420966667319413E-2</v>
      </c>
    </row>
    <row r="104" spans="1:15" x14ac:dyDescent="0.25">
      <c r="A104" s="29">
        <v>45072</v>
      </c>
      <c r="B104">
        <v>1.1166153475642204E-2</v>
      </c>
      <c r="C104">
        <v>3.2894738018512726E-2</v>
      </c>
      <c r="D104">
        <v>2.2815209813416004E-3</v>
      </c>
      <c r="E104">
        <v>-8.4083722904324532E-3</v>
      </c>
      <c r="F104">
        <v>-4.0942677296698093E-3</v>
      </c>
      <c r="G104">
        <v>-2.0263888873159885E-3</v>
      </c>
      <c r="H104">
        <v>-2.8961053118109703E-2</v>
      </c>
      <c r="I104">
        <v>3.114211605861783E-3</v>
      </c>
      <c r="J104">
        <v>-1.7391702858731151E-3</v>
      </c>
      <c r="K104">
        <v>-1.4640925219282508E-3</v>
      </c>
      <c r="M104">
        <f t="shared" si="2"/>
        <v>1.6809914993325468E-3</v>
      </c>
      <c r="N104">
        <f t="shared" si="3"/>
        <v>1.0016809914993325</v>
      </c>
      <c r="O104">
        <f>PRODUCT($N$4:N104)-1</f>
        <v>-2.2569371417740958E-2</v>
      </c>
    </row>
    <row r="105" spans="1:15" x14ac:dyDescent="0.25">
      <c r="A105" s="29">
        <v>45076</v>
      </c>
      <c r="B105">
        <v>3.6810659803450108E-3</v>
      </c>
      <c r="C105">
        <v>-1.6560524702072144E-2</v>
      </c>
      <c r="D105">
        <v>5.0779357552528381E-3</v>
      </c>
      <c r="E105">
        <v>2.4227139074355364E-3</v>
      </c>
      <c r="F105">
        <v>5.7555395178496838E-3</v>
      </c>
      <c r="G105">
        <v>2.368868887424469E-2</v>
      </c>
      <c r="H105">
        <v>-1.7108375206589699E-2</v>
      </c>
      <c r="I105">
        <v>-2.0290518179535866E-2</v>
      </c>
      <c r="J105">
        <v>-2.2648049518465996E-2</v>
      </c>
      <c r="K105">
        <v>1.026388444006443E-2</v>
      </c>
      <c r="M105">
        <f t="shared" si="2"/>
        <v>-1.9729463178084004E-3</v>
      </c>
      <c r="N105">
        <f t="shared" si="3"/>
        <v>0.99802705368219158</v>
      </c>
      <c r="O105">
        <f>PRODUCT($N$4:N105)-1</f>
        <v>-2.4497789577315521E-2</v>
      </c>
    </row>
    <row r="106" spans="1:15" x14ac:dyDescent="0.25">
      <c r="A106" s="29">
        <v>45077</v>
      </c>
      <c r="B106">
        <v>-6.9682173430919647E-2</v>
      </c>
      <c r="C106">
        <v>6.2176171690225601E-2</v>
      </c>
      <c r="D106">
        <v>-2.4390269070863724E-2</v>
      </c>
      <c r="E106">
        <v>-1.5709869563579559E-2</v>
      </c>
      <c r="F106">
        <v>-2.4992693215608597E-2</v>
      </c>
      <c r="G106">
        <v>-7.9338764771819115E-3</v>
      </c>
      <c r="H106">
        <v>1.5483713708817959E-2</v>
      </c>
      <c r="I106">
        <v>-1.9805341958999634E-2</v>
      </c>
      <c r="J106">
        <v>-3.9215676486492157E-2</v>
      </c>
      <c r="K106">
        <v>-1.8867872655391693E-2</v>
      </c>
      <c r="M106">
        <f t="shared" si="2"/>
        <v>-8.3415036594219252E-3</v>
      </c>
      <c r="N106">
        <f t="shared" si="3"/>
        <v>0.99165849634057812</v>
      </c>
      <c r="O106">
        <f>PRODUCT($N$4:N106)-1</f>
        <v>-3.2634944835330471E-2</v>
      </c>
    </row>
    <row r="107" spans="1:15" x14ac:dyDescent="0.25">
      <c r="A107" s="29">
        <v>45078</v>
      </c>
      <c r="B107">
        <v>-2.233903668820858E-2</v>
      </c>
      <c r="C107">
        <v>3.7804931402206421E-2</v>
      </c>
      <c r="D107">
        <v>6.9642746821045876E-3</v>
      </c>
      <c r="E107">
        <v>1.8415455706417561E-3</v>
      </c>
      <c r="F107">
        <v>1.4134279452264309E-2</v>
      </c>
      <c r="G107">
        <v>-1.1662791483104229E-2</v>
      </c>
      <c r="H107">
        <v>-1.3815199490636587E-3</v>
      </c>
      <c r="I107">
        <v>1.2238742783665657E-2</v>
      </c>
      <c r="J107">
        <v>3.0303016304969788E-2</v>
      </c>
      <c r="K107">
        <v>3.4023601561784744E-2</v>
      </c>
      <c r="M107">
        <f t="shared" si="2"/>
        <v>1.0345861178998642E-2</v>
      </c>
      <c r="N107">
        <f t="shared" si="3"/>
        <v>1.0103458611789986</v>
      </c>
      <c r="O107">
        <f>PRODUCT($N$4:N107)-1</f>
        <v>-2.2626720265182421E-2</v>
      </c>
    </row>
    <row r="108" spans="1:15" x14ac:dyDescent="0.25">
      <c r="A108" s="29">
        <v>45079</v>
      </c>
      <c r="B108">
        <v>7.66129270195961E-2</v>
      </c>
      <c r="C108">
        <v>3.1727321445941925E-2</v>
      </c>
      <c r="D108">
        <v>2.8905853629112244E-2</v>
      </c>
      <c r="E108">
        <v>1.8382774433121085E-3</v>
      </c>
      <c r="F108">
        <v>1.9252315163612366E-2</v>
      </c>
      <c r="G108">
        <v>2.0566439256072044E-2</v>
      </c>
      <c r="H108">
        <v>4.7855697572231293E-2</v>
      </c>
      <c r="I108">
        <v>4.4599108397960663E-2</v>
      </c>
      <c r="J108">
        <v>8.4033593535423279E-2</v>
      </c>
      <c r="K108">
        <v>4.4349130243062973E-2</v>
      </c>
      <c r="M108">
        <f t="shared" si="2"/>
        <v>3.3781967549245194E-2</v>
      </c>
      <c r="N108">
        <f t="shared" si="3"/>
        <v>1.0337819675492452</v>
      </c>
      <c r="O108">
        <f>PRODUCT($N$4:N108)-1</f>
        <v>1.0390872154318664E-2</v>
      </c>
    </row>
    <row r="109" spans="1:15" x14ac:dyDescent="0.25">
      <c r="A109" s="29">
        <v>45082</v>
      </c>
      <c r="B109">
        <v>-1.2484441511332989E-2</v>
      </c>
      <c r="C109">
        <v>-3.7585414946079254E-2</v>
      </c>
      <c r="D109">
        <v>7.7559594064950943E-3</v>
      </c>
      <c r="E109">
        <v>8.5626533254981041E-3</v>
      </c>
      <c r="F109">
        <v>-1.7903681844472885E-2</v>
      </c>
      <c r="G109">
        <v>-2.6759212836623192E-2</v>
      </c>
      <c r="H109">
        <v>-2.4253051728010178E-2</v>
      </c>
      <c r="I109">
        <v>-4.5861341059207916E-3</v>
      </c>
      <c r="J109">
        <v>-2.4363158270716667E-2</v>
      </c>
      <c r="K109">
        <v>2.0547760650515556E-3</v>
      </c>
      <c r="M109">
        <f t="shared" si="2"/>
        <v>-1.7017740317112336E-2</v>
      </c>
      <c r="N109">
        <f t="shared" si="3"/>
        <v>0.98298225968288766</v>
      </c>
      <c r="O109">
        <f>PRODUCT($N$4:N109)-1</f>
        <v>-6.8036973267842082E-3</v>
      </c>
    </row>
    <row r="110" spans="1:15" x14ac:dyDescent="0.25">
      <c r="A110" s="29">
        <v>45083</v>
      </c>
      <c r="B110">
        <v>1.8331283703446388E-2</v>
      </c>
      <c r="C110">
        <v>7.6923146843910217E-2</v>
      </c>
      <c r="D110">
        <v>2.7364434208720922E-3</v>
      </c>
      <c r="E110">
        <v>0</v>
      </c>
      <c r="F110">
        <v>1.2094412930309772E-2</v>
      </c>
      <c r="G110">
        <v>2.8173858299851418E-2</v>
      </c>
      <c r="H110">
        <v>1.6687555238604546E-2</v>
      </c>
      <c r="I110">
        <v>2.073276974260807E-2</v>
      </c>
      <c r="J110">
        <v>2.383655309677124E-2</v>
      </c>
      <c r="K110">
        <v>4.0328104048967361E-2</v>
      </c>
      <c r="M110">
        <f t="shared" si="2"/>
        <v>2.6493379494956996E-2</v>
      </c>
      <c r="N110">
        <f t="shared" si="3"/>
        <v>1.0264933794949569</v>
      </c>
      <c r="O110">
        <f>PRODUCT($N$4:N110)-1</f>
        <v>1.9509429232925424E-2</v>
      </c>
    </row>
    <row r="111" spans="1:15" x14ac:dyDescent="0.25">
      <c r="A111" s="29">
        <v>45084</v>
      </c>
      <c r="B111">
        <v>1.4276817440986633E-2</v>
      </c>
      <c r="C111">
        <v>1.0988214053213596E-3</v>
      </c>
      <c r="D111">
        <v>1.8591167405247688E-2</v>
      </c>
      <c r="E111">
        <v>2.0012123510241508E-2</v>
      </c>
      <c r="F111">
        <v>2.2150993347167969E-2</v>
      </c>
      <c r="G111">
        <v>3.3014196902513504E-2</v>
      </c>
      <c r="H111">
        <v>1.5920719131827354E-2</v>
      </c>
      <c r="I111">
        <v>2.7189668267965317E-2</v>
      </c>
      <c r="J111">
        <v>5.1552016288042068E-2</v>
      </c>
      <c r="K111">
        <v>1.5768710523843765E-2</v>
      </c>
      <c r="M111">
        <f t="shared" si="2"/>
        <v>2.2277545639826715E-2</v>
      </c>
      <c r="N111">
        <f t="shared" si="3"/>
        <v>1.0222775456398268</v>
      </c>
      <c r="O111">
        <f>PRODUCT($N$4:N111)-1</f>
        <v>4.2221597072895634E-2</v>
      </c>
    </row>
    <row r="112" spans="1:15" x14ac:dyDescent="0.25">
      <c r="A112" s="29">
        <v>45085</v>
      </c>
      <c r="B112">
        <v>4.8959562554955482E-3</v>
      </c>
      <c r="C112">
        <v>-5.3787022829055786E-2</v>
      </c>
      <c r="D112">
        <v>-6.6979490220546722E-3</v>
      </c>
      <c r="E112">
        <v>1.6052346676588058E-2</v>
      </c>
      <c r="F112">
        <v>-1.7735959962010384E-2</v>
      </c>
      <c r="G112">
        <v>-1.949506439268589E-2</v>
      </c>
      <c r="H112">
        <v>-1.0868010111153126E-2</v>
      </c>
      <c r="I112">
        <v>-3.4526530653238297E-3</v>
      </c>
      <c r="J112">
        <v>2.1613065153360367E-2</v>
      </c>
      <c r="K112">
        <v>-9.0556498616933823E-3</v>
      </c>
      <c r="M112">
        <f t="shared" si="2"/>
        <v>-1.4815367306707619E-2</v>
      </c>
      <c r="N112">
        <f t="shared" si="3"/>
        <v>0.98518463269329237</v>
      </c>
      <c r="O112">
        <f>PRODUCT($N$4:N112)-1</f>
        <v>2.6780701297277165E-2</v>
      </c>
    </row>
    <row r="113" spans="1:15" x14ac:dyDescent="0.25">
      <c r="A113" s="29">
        <v>45086</v>
      </c>
      <c r="B113">
        <v>-7.3082116432487965E-3</v>
      </c>
      <c r="C113">
        <v>-1.3921100646257401E-2</v>
      </c>
      <c r="D113">
        <v>3.3716214238665998E-4</v>
      </c>
      <c r="E113">
        <v>3.5107936710119247E-3</v>
      </c>
      <c r="F113">
        <v>-1.2772945687174797E-2</v>
      </c>
      <c r="G113">
        <v>-2.9335059225559235E-2</v>
      </c>
      <c r="H113">
        <v>-1.7363974824547768E-2</v>
      </c>
      <c r="I113">
        <v>4.099646583199501E-3</v>
      </c>
      <c r="J113">
        <v>-1.2899897061288357E-2</v>
      </c>
      <c r="K113">
        <v>-1.5665782615542412E-2</v>
      </c>
      <c r="M113">
        <f t="shared" si="2"/>
        <v>-1.157375865874472E-2</v>
      </c>
      <c r="N113">
        <f t="shared" si="3"/>
        <v>0.98842624134125523</v>
      </c>
      <c r="O113">
        <f>PRODUCT($N$4:N113)-1</f>
        <v>1.4896989265005711E-2</v>
      </c>
    </row>
    <row r="114" spans="1:15" x14ac:dyDescent="0.25">
      <c r="A114" s="29">
        <v>45089</v>
      </c>
      <c r="B114">
        <v>1.8404979258775711E-2</v>
      </c>
      <c r="C114">
        <v>1.647062785923481E-2</v>
      </c>
      <c r="D114">
        <v>-7.7519225887954235E-3</v>
      </c>
      <c r="E114">
        <v>-7.5801261700689793E-3</v>
      </c>
      <c r="F114">
        <v>-6.5278797410428524E-3</v>
      </c>
      <c r="G114">
        <v>-2.3506246507167816E-3</v>
      </c>
      <c r="H114">
        <v>-5.5907508358359337E-3</v>
      </c>
      <c r="I114">
        <v>-3.6641382612287998E-3</v>
      </c>
      <c r="J114">
        <v>-7.3183164931833744E-3</v>
      </c>
      <c r="K114">
        <v>5.3050345741212368E-3</v>
      </c>
      <c r="M114">
        <f t="shared" si="2"/>
        <v>-7.8532557493142963E-4</v>
      </c>
      <c r="N114">
        <f t="shared" si="3"/>
        <v>0.99921467442506862</v>
      </c>
      <c r="O114">
        <f>PRODUCT($N$4:N114)-1</f>
        <v>1.4099964703415013E-2</v>
      </c>
    </row>
    <row r="115" spans="1:15" x14ac:dyDescent="0.25">
      <c r="A115" s="29">
        <v>45090</v>
      </c>
      <c r="B115">
        <v>1.8071553204208612E-3</v>
      </c>
      <c r="C115">
        <v>7.9861059784889221E-2</v>
      </c>
      <c r="D115">
        <v>6.2839491292834282E-3</v>
      </c>
      <c r="E115">
        <v>3.0552318319678307E-2</v>
      </c>
      <c r="F115">
        <v>4.9132886342704296E-3</v>
      </c>
      <c r="G115">
        <v>6.73189468216151E-4</v>
      </c>
      <c r="H115">
        <v>-1.425637025386095E-2</v>
      </c>
      <c r="I115">
        <v>1.5656251460313797E-2</v>
      </c>
      <c r="J115">
        <v>2.2116908803582191E-2</v>
      </c>
      <c r="K115">
        <v>1.1213725432753563E-2</v>
      </c>
      <c r="M115">
        <f t="shared" si="2"/>
        <v>1.6642248525700832E-2</v>
      </c>
      <c r="N115">
        <f t="shared" si="3"/>
        <v>1.0166422485257007</v>
      </c>
      <c r="O115">
        <f>PRODUCT($N$4:N115)-1</f>
        <v>3.0976868345913511E-2</v>
      </c>
    </row>
    <row r="116" spans="1:15" x14ac:dyDescent="0.25">
      <c r="A116" s="29">
        <v>45091</v>
      </c>
      <c r="B116">
        <v>-2.465423196554184E-2</v>
      </c>
      <c r="C116">
        <v>-1.5005395747721195E-2</v>
      </c>
      <c r="D116">
        <v>-1.9071748480200768E-2</v>
      </c>
      <c r="E116">
        <v>4.0478851646184921E-2</v>
      </c>
      <c r="F116">
        <v>2.7273828163743019E-2</v>
      </c>
      <c r="G116">
        <v>-9.1658309102058411E-3</v>
      </c>
      <c r="H116">
        <v>-2.3934394121170044E-2</v>
      </c>
      <c r="I116">
        <v>-2.1311867982149124E-2</v>
      </c>
      <c r="J116">
        <v>-3.0396711081266403E-2</v>
      </c>
      <c r="K116">
        <v>-9.784710593521595E-3</v>
      </c>
      <c r="M116">
        <f t="shared" si="2"/>
        <v>-5.2868039176289412E-3</v>
      </c>
      <c r="N116">
        <f t="shared" si="3"/>
        <v>0.99471319608237108</v>
      </c>
      <c r="O116">
        <f>PRODUCT($N$4:N116)-1</f>
        <v>2.5526295799357612E-2</v>
      </c>
    </row>
    <row r="117" spans="1:15" x14ac:dyDescent="0.25">
      <c r="A117" s="29">
        <v>45092</v>
      </c>
      <c r="B117">
        <v>2.2194860503077507E-2</v>
      </c>
      <c r="C117">
        <v>3.3732365816831589E-2</v>
      </c>
      <c r="D117">
        <v>1.2388183735311031E-2</v>
      </c>
      <c r="E117">
        <v>4.109589010477066E-2</v>
      </c>
      <c r="F117">
        <v>1.4565017074346542E-2</v>
      </c>
      <c r="G117">
        <v>-3.0885434243828058E-3</v>
      </c>
      <c r="H117">
        <v>-1.5651264402549714E-4</v>
      </c>
      <c r="I117">
        <v>-7.928118109703064E-3</v>
      </c>
      <c r="J117">
        <v>2.8692929074168205E-2</v>
      </c>
      <c r="K117">
        <v>0</v>
      </c>
      <c r="M117">
        <f t="shared" si="2"/>
        <v>9.6509985611881698E-3</v>
      </c>
      <c r="N117">
        <f t="shared" si="3"/>
        <v>1.0096509985611881</v>
      </c>
      <c r="O117">
        <f>PRODUCT($N$4:N117)-1</f>
        <v>3.5423648604577807E-2</v>
      </c>
    </row>
    <row r="118" spans="1:15" x14ac:dyDescent="0.25">
      <c r="A118" s="29">
        <v>45093</v>
      </c>
      <c r="B118">
        <v>-1.5681557357311249E-2</v>
      </c>
      <c r="C118">
        <v>-1.473687868565321E-2</v>
      </c>
      <c r="D118">
        <v>-4.5887227170169353E-3</v>
      </c>
      <c r="E118">
        <v>3.5263162106275558E-2</v>
      </c>
      <c r="F118">
        <v>-1.4129882911220193E-3</v>
      </c>
      <c r="G118">
        <v>5.4044805467128754E-2</v>
      </c>
      <c r="H118">
        <v>1.4089139876887202E-3</v>
      </c>
      <c r="I118">
        <v>2.0777886733412743E-2</v>
      </c>
      <c r="J118">
        <v>1.0329829528927803E-3</v>
      </c>
      <c r="K118">
        <v>-1.5151547268033028E-2</v>
      </c>
      <c r="M118">
        <f t="shared" si="2"/>
        <v>1.16996177482617E-2</v>
      </c>
      <c r="N118">
        <f t="shared" si="3"/>
        <v>1.0116996177482618</v>
      </c>
      <c r="O118">
        <f>PRODUCT($N$4:N118)-1</f>
        <v>4.753770950076186E-2</v>
      </c>
    </row>
    <row r="119" spans="1:15" x14ac:dyDescent="0.25">
      <c r="A119" s="29">
        <v>45097</v>
      </c>
      <c r="B119">
        <v>-1.4705868437886238E-2</v>
      </c>
      <c r="C119">
        <v>-1.923070102930069E-2</v>
      </c>
      <c r="D119">
        <v>-8.1953136250376701E-3</v>
      </c>
      <c r="E119">
        <v>-6.5582148730754852E-2</v>
      </c>
      <c r="F119">
        <v>-1.5508209355175495E-2</v>
      </c>
      <c r="G119">
        <v>6.8582324311137199E-3</v>
      </c>
      <c r="H119">
        <v>2.0426232367753983E-2</v>
      </c>
      <c r="I119">
        <v>1.2943609617650509E-2</v>
      </c>
      <c r="J119">
        <v>-9.2878434807062149E-3</v>
      </c>
      <c r="K119">
        <v>-2.073574997484684E-2</v>
      </c>
      <c r="M119">
        <f t="shared" si="2"/>
        <v>-5.4131068459662181E-3</v>
      </c>
      <c r="N119">
        <f t="shared" si="3"/>
        <v>0.99458689315403381</v>
      </c>
      <c r="O119">
        <f>PRODUCT($N$4:N119)-1</f>
        <v>4.1867275954055483E-2</v>
      </c>
    </row>
    <row r="120" spans="1:15" x14ac:dyDescent="0.25">
      <c r="A120" s="29">
        <v>45098</v>
      </c>
      <c r="B120">
        <v>5.2238814532756805E-2</v>
      </c>
      <c r="C120">
        <v>-7.6253428123891354E-3</v>
      </c>
      <c r="D120">
        <v>2.4100427981466055E-3</v>
      </c>
      <c r="E120">
        <v>6.5016932785511017E-3</v>
      </c>
      <c r="F120">
        <v>1.3912832364439964E-2</v>
      </c>
      <c r="G120">
        <v>1.3947463594377041E-2</v>
      </c>
      <c r="H120">
        <v>3.829852445051074E-3</v>
      </c>
      <c r="I120">
        <v>3.1018158420920372E-2</v>
      </c>
      <c r="J120">
        <v>-5.2084523485973477E-4</v>
      </c>
      <c r="K120">
        <v>-1.4344264753162861E-2</v>
      </c>
      <c r="M120">
        <f t="shared" si="2"/>
        <v>1.2862327574274772E-2</v>
      </c>
      <c r="N120">
        <f t="shared" si="3"/>
        <v>1.0128623275742747</v>
      </c>
      <c r="O120">
        <f>PRODUCT($N$4:N120)-1</f>
        <v>5.5268114146293845E-2</v>
      </c>
    </row>
    <row r="121" spans="1:15" x14ac:dyDescent="0.25">
      <c r="A121" s="29">
        <v>45099</v>
      </c>
      <c r="B121">
        <v>-2.0094571635127068E-2</v>
      </c>
      <c r="C121">
        <v>3.2931601162999868E-3</v>
      </c>
      <c r="D121">
        <v>-1.717039558570832E-4</v>
      </c>
      <c r="E121">
        <v>-6.4650555141270161E-3</v>
      </c>
      <c r="F121">
        <v>1.2474553659558296E-3</v>
      </c>
      <c r="G121">
        <v>1.7594344913959503E-2</v>
      </c>
      <c r="H121">
        <v>1.953401230275631E-2</v>
      </c>
      <c r="I121">
        <v>-2.8285874053835869E-2</v>
      </c>
      <c r="J121">
        <v>-1.9802035763859749E-2</v>
      </c>
      <c r="K121">
        <v>4.1579669341444969E-3</v>
      </c>
      <c r="M121">
        <f t="shared" si="2"/>
        <v>-2.0950235196318082E-3</v>
      </c>
      <c r="N121">
        <f t="shared" si="3"/>
        <v>0.99790497648036824</v>
      </c>
      <c r="O121">
        <f>PRODUCT($N$4:N121)-1</f>
        <v>5.3057302627639968E-2</v>
      </c>
    </row>
    <row r="122" spans="1:15" x14ac:dyDescent="0.25">
      <c r="A122" s="29">
        <v>45100</v>
      </c>
      <c r="B122">
        <v>-3.9806988090276718E-2</v>
      </c>
      <c r="C122">
        <v>-2.297593280673027E-2</v>
      </c>
      <c r="D122">
        <v>-5.4963878355920315E-3</v>
      </c>
      <c r="E122">
        <v>-2.611006423830986E-2</v>
      </c>
      <c r="F122">
        <v>-7.928469218313694E-3</v>
      </c>
      <c r="G122">
        <v>-3.7723951041698456E-2</v>
      </c>
      <c r="H122">
        <v>-8.9807744370773435E-4</v>
      </c>
      <c r="I122">
        <v>-1.9337635487318039E-2</v>
      </c>
      <c r="J122">
        <v>1.2227616272866726E-2</v>
      </c>
      <c r="K122">
        <v>4.8309625126421452E-3</v>
      </c>
      <c r="M122">
        <f t="shared" si="2"/>
        <v>-1.7588934915777753E-2</v>
      </c>
      <c r="N122">
        <f t="shared" si="3"/>
        <v>0.98241106508422227</v>
      </c>
      <c r="O122">
        <f>PRODUCT($N$4:N122)-1</f>
        <v>3.4535146269137895E-2</v>
      </c>
    </row>
    <row r="123" spans="1:15" x14ac:dyDescent="0.25">
      <c r="A123" s="29">
        <v>45103</v>
      </c>
      <c r="B123">
        <v>1.3819051906466484E-2</v>
      </c>
      <c r="C123">
        <v>-1.5677530318498611E-2</v>
      </c>
      <c r="D123">
        <v>7.2538540698587894E-3</v>
      </c>
      <c r="E123">
        <v>-1.4525152742862701E-2</v>
      </c>
      <c r="F123">
        <v>7.7634472399950027E-3</v>
      </c>
      <c r="G123">
        <v>2.613522345200181E-3</v>
      </c>
      <c r="H123">
        <v>-3.9252899587154388E-2</v>
      </c>
      <c r="I123">
        <v>2.622194355353713E-3</v>
      </c>
      <c r="J123">
        <v>-2.6260502636432648E-2</v>
      </c>
      <c r="K123">
        <v>-8.2418154925107956E-3</v>
      </c>
      <c r="M123">
        <f t="shared" si="2"/>
        <v>-3.2588637009549485E-3</v>
      </c>
      <c r="N123">
        <f t="shared" si="3"/>
        <v>0.99674113629904504</v>
      </c>
      <c r="O123">
        <f>PRODUCT($N$4:N123)-1</f>
        <v>3.1163737233599331E-2</v>
      </c>
    </row>
    <row r="124" spans="1:15" x14ac:dyDescent="0.25">
      <c r="A124" s="29">
        <v>45104</v>
      </c>
      <c r="B124">
        <v>-1.9826499745249748E-2</v>
      </c>
      <c r="C124">
        <v>2.7303729206323624E-2</v>
      </c>
      <c r="D124">
        <v>1.0802487842738628E-2</v>
      </c>
      <c r="E124">
        <v>3.117920458316803E-2</v>
      </c>
      <c r="F124">
        <v>1.2631760910153389E-2</v>
      </c>
      <c r="G124">
        <v>-6.8426518701016903E-3</v>
      </c>
      <c r="H124">
        <v>1.4918364584445953E-2</v>
      </c>
      <c r="I124">
        <v>8.3691086620092392E-3</v>
      </c>
      <c r="J124">
        <v>1.0786703787744045E-3</v>
      </c>
      <c r="K124">
        <v>6.9253664696589112E-4</v>
      </c>
      <c r="M124">
        <f t="shared" si="2"/>
        <v>8.8136874861865049E-3</v>
      </c>
      <c r="N124">
        <f t="shared" si="3"/>
        <v>1.0088136874861866</v>
      </c>
      <c r="O124">
        <f>PRODUCT($N$4:N124)-1</f>
        <v>4.025209216066461E-2</v>
      </c>
    </row>
    <row r="125" spans="1:15" x14ac:dyDescent="0.25">
      <c r="A125" s="29">
        <v>45105</v>
      </c>
      <c r="B125">
        <v>-8.8495193049311638E-3</v>
      </c>
      <c r="C125">
        <v>2.6578154414892197E-2</v>
      </c>
      <c r="D125">
        <v>-1.2383367866277695E-2</v>
      </c>
      <c r="E125">
        <v>4.3980167247354984E-3</v>
      </c>
      <c r="F125">
        <v>4.4751260429620743E-4</v>
      </c>
      <c r="G125">
        <v>-3.0511820688843727E-2</v>
      </c>
      <c r="H125">
        <v>-9.4750635325908661E-3</v>
      </c>
      <c r="I125">
        <v>-1.193071436136961E-2</v>
      </c>
      <c r="J125">
        <v>-2.9094774276018143E-2</v>
      </c>
      <c r="K125">
        <v>6.2283845618367195E-3</v>
      </c>
      <c r="M125">
        <f t="shared" si="2"/>
        <v>-6.5167038604956691E-3</v>
      </c>
      <c r="N125">
        <f t="shared" si="3"/>
        <v>0.99348329613950437</v>
      </c>
      <c r="O125">
        <f>PRODUCT($N$4:N125)-1</f>
        <v>3.3473077335792523E-2</v>
      </c>
    </row>
    <row r="126" spans="1:15" x14ac:dyDescent="0.25">
      <c r="A126" s="29">
        <v>45106</v>
      </c>
      <c r="B126">
        <v>5.3571436554193497E-2</v>
      </c>
      <c r="C126">
        <v>-2.5890044867992401E-2</v>
      </c>
      <c r="D126">
        <v>1.5286832116544247E-2</v>
      </c>
      <c r="E126">
        <v>-1.5325707383453846E-2</v>
      </c>
      <c r="F126">
        <v>2.024039626121521E-2</v>
      </c>
      <c r="G126">
        <v>3.6886639893054962E-2</v>
      </c>
      <c r="H126">
        <v>6.1013856902718544E-3</v>
      </c>
      <c r="I126">
        <v>3.1499690376222134E-3</v>
      </c>
      <c r="J126">
        <v>1.7203077673912048E-2</v>
      </c>
      <c r="K126">
        <v>1.1691889725625515E-2</v>
      </c>
      <c r="M126">
        <f t="shared" si="2"/>
        <v>1.2017275865878174E-2</v>
      </c>
      <c r="N126">
        <f t="shared" si="3"/>
        <v>1.0120172758658781</v>
      </c>
      <c r="O126">
        <f>PRODUCT($N$4:N126)-1</f>
        <v>4.5892608406094659E-2</v>
      </c>
    </row>
    <row r="127" spans="1:15" x14ac:dyDescent="0.25">
      <c r="A127" s="29">
        <v>45107</v>
      </c>
      <c r="B127">
        <v>2.4212473072111607E-3</v>
      </c>
      <c r="C127">
        <v>3.4330058842897415E-2</v>
      </c>
      <c r="D127">
        <v>4.5677628368139267E-3</v>
      </c>
      <c r="E127">
        <v>5.5586649104952812E-3</v>
      </c>
      <c r="F127">
        <v>-7.8917210921645164E-3</v>
      </c>
      <c r="G127">
        <v>-1.2075683102011681E-2</v>
      </c>
      <c r="H127">
        <v>-5.5504254996776581E-3</v>
      </c>
      <c r="I127">
        <v>-7.6408139429986477E-3</v>
      </c>
      <c r="J127">
        <v>-3.6006540060043335E-2</v>
      </c>
      <c r="K127">
        <v>-1.4955830760300159E-2</v>
      </c>
      <c r="M127">
        <f t="shared" si="2"/>
        <v>-2.8552115109691202E-3</v>
      </c>
      <c r="N127">
        <f t="shared" si="3"/>
        <v>0.99714478848903088</v>
      </c>
      <c r="O127">
        <f>PRODUCT($N$4:N127)-1</f>
        <v>4.2906363791336055E-2</v>
      </c>
    </row>
    <row r="128" spans="1:15" x14ac:dyDescent="0.25">
      <c r="A128" s="29">
        <v>45110</v>
      </c>
      <c r="B128">
        <v>3.1400993466377258E-2</v>
      </c>
      <c r="C128">
        <v>-2.2483943030238152E-2</v>
      </c>
      <c r="D128">
        <v>5.7258359156548977E-3</v>
      </c>
      <c r="E128">
        <v>-2.0453335717320442E-2</v>
      </c>
      <c r="F128">
        <v>7.6230727136135101E-3</v>
      </c>
      <c r="G128">
        <v>-6.607352988794446E-4</v>
      </c>
      <c r="H128">
        <v>1.2506450526416302E-2</v>
      </c>
      <c r="I128">
        <v>1.0652907192707062E-2</v>
      </c>
      <c r="J128">
        <v>1.867571659386158E-2</v>
      </c>
      <c r="K128">
        <v>1.0352006182074547E-2</v>
      </c>
      <c r="M128">
        <f t="shared" si="2"/>
        <v>3.4551132992267889E-3</v>
      </c>
      <c r="N128">
        <f t="shared" si="3"/>
        <v>1.0034551132992269</v>
      </c>
      <c r="O128">
        <f>PRODUCT($N$4:N128)-1</f>
        <v>4.6509723438719952E-2</v>
      </c>
    </row>
    <row r="129" spans="1:15" x14ac:dyDescent="0.25">
      <c r="A129" s="29">
        <v>45112</v>
      </c>
      <c r="B129">
        <v>1.6393482685089111E-2</v>
      </c>
      <c r="C129">
        <v>-2.0810572430491447E-2</v>
      </c>
      <c r="D129">
        <v>-8.3729153266176581E-4</v>
      </c>
      <c r="E129">
        <v>1.6365740448236465E-2</v>
      </c>
      <c r="F129">
        <v>-1.6007883474230766E-2</v>
      </c>
      <c r="G129">
        <v>-3.1404983252286911E-2</v>
      </c>
      <c r="H129">
        <v>-6.2270378693938255E-3</v>
      </c>
      <c r="I129">
        <v>-2.5881897658109665E-2</v>
      </c>
      <c r="J129">
        <v>-1.0555584914982319E-2</v>
      </c>
      <c r="K129">
        <v>3.4152483567595482E-3</v>
      </c>
      <c r="M129">
        <f t="shared" si="2"/>
        <v>-1.6470410277651466E-2</v>
      </c>
      <c r="N129">
        <f t="shared" si="3"/>
        <v>0.9835295897223485</v>
      </c>
      <c r="O129">
        <f>PRODUCT($N$4:N129)-1</f>
        <v>2.9273278934132563E-2</v>
      </c>
    </row>
    <row r="130" spans="1:15" x14ac:dyDescent="0.25">
      <c r="A130" s="29">
        <v>45113</v>
      </c>
      <c r="B130">
        <v>-1.4976970851421356E-2</v>
      </c>
      <c r="C130">
        <v>-3.2438475638628006E-2</v>
      </c>
      <c r="D130">
        <v>4.8600793816149235E-3</v>
      </c>
      <c r="E130">
        <v>3.8867127150297165E-3</v>
      </c>
      <c r="F130">
        <v>-2.5071713607758284E-3</v>
      </c>
      <c r="G130">
        <v>-1.5017018653452396E-2</v>
      </c>
      <c r="H130">
        <v>9.7587285563349724E-4</v>
      </c>
      <c r="I130">
        <v>-1.1249148286879063E-2</v>
      </c>
      <c r="J130">
        <v>-2.302076667547226E-2</v>
      </c>
      <c r="K130">
        <v>-7.4880640022456646E-3</v>
      </c>
      <c r="M130">
        <f t="shared" si="2"/>
        <v>-1.1125070314425686E-2</v>
      </c>
      <c r="N130">
        <f t="shared" si="3"/>
        <v>0.98887492968557433</v>
      </c>
      <c r="O130">
        <f>PRODUCT($N$4:N130)-1</f>
        <v>1.7822541333230912E-2</v>
      </c>
    </row>
    <row r="131" spans="1:15" x14ac:dyDescent="0.25">
      <c r="A131" s="29">
        <v>45114</v>
      </c>
      <c r="B131">
        <v>1.8713431432843208E-2</v>
      </c>
      <c r="C131">
        <v>5.4335292428731918E-2</v>
      </c>
      <c r="D131">
        <v>8.1721432507038116E-3</v>
      </c>
      <c r="E131">
        <v>-3.8716646376997232E-3</v>
      </c>
      <c r="F131">
        <v>3.1836871057748795E-3</v>
      </c>
      <c r="G131">
        <v>1.3166983611881733E-2</v>
      </c>
      <c r="H131">
        <v>-2.1961100399494171E-2</v>
      </c>
      <c r="I131">
        <v>2.3296147584915161E-2</v>
      </c>
      <c r="J131">
        <v>1.0919570922851563E-2</v>
      </c>
      <c r="K131">
        <v>7.5445715337991714E-3</v>
      </c>
      <c r="M131">
        <f t="shared" si="2"/>
        <v>1.4910396485550146E-2</v>
      </c>
      <c r="N131">
        <f t="shared" si="3"/>
        <v>1.0149103964855501</v>
      </c>
      <c r="O131">
        <f>PRODUCT($N$4:N131)-1</f>
        <v>3.2998678976439599E-2</v>
      </c>
    </row>
    <row r="132" spans="1:15" x14ac:dyDescent="0.25">
      <c r="A132" s="29">
        <v>45117</v>
      </c>
      <c r="B132">
        <v>-8.0367047339677811E-3</v>
      </c>
      <c r="C132">
        <v>-4.3859607540071011E-3</v>
      </c>
      <c r="D132">
        <v>-1.5053761191666126E-2</v>
      </c>
      <c r="E132">
        <v>2.2209333255887032E-3</v>
      </c>
      <c r="F132">
        <v>6.7368559539318085E-3</v>
      </c>
      <c r="G132">
        <v>-1.2311922386288643E-2</v>
      </c>
      <c r="H132">
        <v>1.0859829373657703E-2</v>
      </c>
      <c r="I132">
        <v>7.8356396406888962E-3</v>
      </c>
      <c r="J132">
        <v>-1.7623620107769966E-2</v>
      </c>
      <c r="K132">
        <v>-3.4506688825786114E-3</v>
      </c>
      <c r="M132">
        <f t="shared" si="2"/>
        <v>-6.3833961620021382E-4</v>
      </c>
      <c r="N132">
        <f t="shared" si="3"/>
        <v>0.99936166038379981</v>
      </c>
      <c r="O132">
        <f>PRODUCT($N$4:N132)-1</f>
        <v>3.2339274996166401E-2</v>
      </c>
    </row>
    <row r="133" spans="1:15" x14ac:dyDescent="0.25">
      <c r="A133" s="29">
        <v>45118</v>
      </c>
      <c r="B133">
        <v>1.5046308748424053E-2</v>
      </c>
      <c r="C133">
        <v>0.12444934993982315</v>
      </c>
      <c r="D133">
        <v>1.6795432195067406E-2</v>
      </c>
      <c r="E133">
        <v>-2.216011518612504E-3</v>
      </c>
      <c r="F133">
        <v>2.5163076817989349E-2</v>
      </c>
      <c r="G133">
        <v>-1.5581678599119186E-2</v>
      </c>
      <c r="H133">
        <v>6.383698433637619E-3</v>
      </c>
      <c r="I133">
        <v>-6.3035887433215976E-4</v>
      </c>
      <c r="J133">
        <v>1.793978363275528E-2</v>
      </c>
      <c r="K133">
        <v>1.0387851856648922E-2</v>
      </c>
      <c r="M133">
        <f t="shared" ref="M133:M196" si="4">SUMPRODUCT($B$2:$K$2,B133:K133)</f>
        <v>2.1685371754199784E-2</v>
      </c>
      <c r="N133">
        <f t="shared" ref="N133:N196" si="5">1+M133</f>
        <v>1.0216853717541998</v>
      </c>
      <c r="O133">
        <f>PRODUCT($N$4:N133)-1</f>
        <v>5.4725935950919347E-2</v>
      </c>
    </row>
    <row r="134" spans="1:15" x14ac:dyDescent="0.25">
      <c r="A134" s="29">
        <v>45119</v>
      </c>
      <c r="B134">
        <v>3.420721972361207E-3</v>
      </c>
      <c r="C134">
        <v>1.371208019554615E-2</v>
      </c>
      <c r="D134">
        <v>-1.4866229612380266E-3</v>
      </c>
      <c r="E134">
        <v>1.6102110967040062E-2</v>
      </c>
      <c r="F134">
        <v>-3.6682996433228254E-3</v>
      </c>
      <c r="G134">
        <v>4.7836814075708389E-2</v>
      </c>
      <c r="H134">
        <v>2.0627810154110193E-3</v>
      </c>
      <c r="I134">
        <v>1.9659325480461121E-2</v>
      </c>
      <c r="J134">
        <v>2.4445725604891777E-2</v>
      </c>
      <c r="K134">
        <v>6.1686187982559204E-3</v>
      </c>
      <c r="M134">
        <f t="shared" si="4"/>
        <v>1.5551821006196589E-2</v>
      </c>
      <c r="N134">
        <f t="shared" si="5"/>
        <v>1.0155518210061967</v>
      </c>
      <c r="O134">
        <f>PRODUCT($N$4:N134)-1</f>
        <v>7.1128844917421219E-2</v>
      </c>
    </row>
    <row r="135" spans="1:15" x14ac:dyDescent="0.25">
      <c r="A135" s="29">
        <v>45120</v>
      </c>
      <c r="B135">
        <v>1.1363571509718895E-2</v>
      </c>
      <c r="C135">
        <v>4.0579717606306076E-2</v>
      </c>
      <c r="D135">
        <v>6.617190083488822E-4</v>
      </c>
      <c r="E135">
        <v>-5.4643978364765644E-3</v>
      </c>
      <c r="F135">
        <v>-3.3569501247256994E-3</v>
      </c>
      <c r="G135">
        <v>-1.946968212723732E-2</v>
      </c>
      <c r="H135">
        <v>2.4188216775655746E-3</v>
      </c>
      <c r="I135">
        <v>4.2272778227925301E-3</v>
      </c>
      <c r="J135">
        <v>1.3318521901965141E-2</v>
      </c>
      <c r="K135">
        <v>6.8114954046905041E-4</v>
      </c>
      <c r="M135">
        <f t="shared" si="4"/>
        <v>2.9287638352062588E-3</v>
      </c>
      <c r="N135">
        <f t="shared" si="5"/>
        <v>1.0029287638352062</v>
      </c>
      <c r="O135">
        <f>PRODUCT($N$4:N135)-1</f>
        <v>7.4265928341261667E-2</v>
      </c>
    </row>
    <row r="136" spans="1:15" x14ac:dyDescent="0.25">
      <c r="A136" s="29">
        <v>45121</v>
      </c>
      <c r="B136">
        <v>2.2472424898296595E-3</v>
      </c>
      <c r="C136">
        <v>-1.8570526735857129E-3</v>
      </c>
      <c r="D136">
        <v>-1.7358291894197464E-2</v>
      </c>
      <c r="E136">
        <v>-1.6483578830957413E-2</v>
      </c>
      <c r="F136">
        <v>-4.1832141578197479E-3</v>
      </c>
      <c r="G136">
        <v>-1.7117425799369812E-2</v>
      </c>
      <c r="H136">
        <v>3.5219226032495499E-2</v>
      </c>
      <c r="I136">
        <v>2.1047180518507957E-2</v>
      </c>
      <c r="J136">
        <v>-1.3143470510840416E-2</v>
      </c>
      <c r="K136">
        <v>-1.3614690862596035E-2</v>
      </c>
      <c r="M136">
        <f t="shared" si="4"/>
        <v>1.3726611658411274E-4</v>
      </c>
      <c r="N136">
        <f t="shared" si="5"/>
        <v>1.0001372661165842</v>
      </c>
      <c r="O136">
        <f>PRODUCT($N$4:N136)-1</f>
        <v>7.4413388653423729E-2</v>
      </c>
    </row>
    <row r="137" spans="1:15" x14ac:dyDescent="0.25">
      <c r="A137" s="29">
        <v>45124</v>
      </c>
      <c r="B137">
        <v>1.1210804805159569E-2</v>
      </c>
      <c r="C137">
        <v>1.3953452929854393E-2</v>
      </c>
      <c r="D137">
        <v>1.1271904222667217E-2</v>
      </c>
      <c r="E137">
        <v>5.5866134352982044E-3</v>
      </c>
      <c r="F137">
        <v>4.3645297409966588E-4</v>
      </c>
      <c r="G137">
        <v>1.5674008056521416E-2</v>
      </c>
      <c r="H137">
        <v>3.3078745007514954E-2</v>
      </c>
      <c r="I137">
        <v>4.3941706418991089E-2</v>
      </c>
      <c r="J137">
        <v>1.4428425580263138E-2</v>
      </c>
      <c r="K137">
        <v>6.2111909501254559E-3</v>
      </c>
      <c r="M137">
        <f t="shared" si="4"/>
        <v>1.7779971374225177E-2</v>
      </c>
      <c r="N137">
        <f t="shared" si="5"/>
        <v>1.0177799713742253</v>
      </c>
      <c r="O137">
        <f>PRODUCT($N$4:N137)-1</f>
        <v>9.3516427947766045E-2</v>
      </c>
    </row>
    <row r="138" spans="1:15" x14ac:dyDescent="0.25">
      <c r="A138" s="29">
        <v>45125</v>
      </c>
      <c r="B138">
        <v>9.9777374416589737E-3</v>
      </c>
      <c r="C138">
        <v>-1.9266059622168541E-2</v>
      </c>
      <c r="D138">
        <v>3.826310858130455E-3</v>
      </c>
      <c r="E138">
        <v>1.2777752242982388E-2</v>
      </c>
      <c r="F138">
        <v>2.6120586320757866E-2</v>
      </c>
      <c r="G138">
        <v>1.3374464586377144E-2</v>
      </c>
      <c r="H138">
        <v>5.0405794754624367E-3</v>
      </c>
      <c r="I138">
        <v>1.0402637533843517E-2</v>
      </c>
      <c r="J138">
        <v>5.0875183194875717E-2</v>
      </c>
      <c r="K138">
        <v>1.303158700466156E-2</v>
      </c>
      <c r="M138">
        <f t="shared" si="4"/>
        <v>1.1666831404347901E-2</v>
      </c>
      <c r="N138">
        <f t="shared" si="5"/>
        <v>1.011666831404348</v>
      </c>
      <c r="O138">
        <f>PRODUCT($N$4:N138)-1</f>
        <v>0.1062742997505175</v>
      </c>
    </row>
    <row r="139" spans="1:15" x14ac:dyDescent="0.25">
      <c r="A139" s="29">
        <v>45126</v>
      </c>
      <c r="B139">
        <v>4.3907752260565758E-3</v>
      </c>
      <c r="C139">
        <v>-1.1225434020161629E-2</v>
      </c>
      <c r="D139">
        <v>4.9718138761818409E-3</v>
      </c>
      <c r="E139">
        <v>-2.7422714629210532E-4</v>
      </c>
      <c r="F139">
        <v>3.7519250065088272E-2</v>
      </c>
      <c r="G139">
        <v>7.7834674157202244E-3</v>
      </c>
      <c r="H139">
        <v>-2.0920924842357635E-2</v>
      </c>
      <c r="I139">
        <v>-1.3155432417988777E-2</v>
      </c>
      <c r="J139">
        <v>5.1015175879001617E-2</v>
      </c>
      <c r="K139">
        <v>1.6926201060414314E-2</v>
      </c>
      <c r="M139">
        <f t="shared" si="4"/>
        <v>7.1504352452433969E-3</v>
      </c>
      <c r="N139">
        <f t="shared" si="5"/>
        <v>1.0071504352452434</v>
      </c>
      <c r="O139">
        <f>PRODUCT($N$4:N139)-1</f>
        <v>0.11418464249436044</v>
      </c>
    </row>
    <row r="140" spans="1:15" x14ac:dyDescent="0.25">
      <c r="A140" s="29">
        <v>45127</v>
      </c>
      <c r="B140">
        <v>-8.7431613355875015E-3</v>
      </c>
      <c r="C140">
        <v>-2.8382143005728722E-2</v>
      </c>
      <c r="D140">
        <v>1.9459107890725136E-2</v>
      </c>
      <c r="E140">
        <v>3.4842260181903839E-2</v>
      </c>
      <c r="F140">
        <v>-1.628844253718853E-2</v>
      </c>
      <c r="G140">
        <v>2.2498322650790215E-2</v>
      </c>
      <c r="H140">
        <v>3.2539751380681992E-2</v>
      </c>
      <c r="I140">
        <v>-1.1108906008303165E-2</v>
      </c>
      <c r="J140">
        <v>-3.962353803217411E-3</v>
      </c>
      <c r="K140">
        <v>-2.6631767395883799E-3</v>
      </c>
      <c r="M140">
        <f t="shared" si="4"/>
        <v>-1.6229348416848307E-3</v>
      </c>
      <c r="N140">
        <f t="shared" si="5"/>
        <v>0.99837706515831515</v>
      </c>
      <c r="O140">
        <f>PRODUCT($N$4:N140)-1</f>
        <v>0.11237639341798622</v>
      </c>
    </row>
    <row r="141" spans="1:15" x14ac:dyDescent="0.25">
      <c r="A141" s="29">
        <v>45128</v>
      </c>
      <c r="B141">
        <v>2.2051222622394562E-3</v>
      </c>
      <c r="C141">
        <v>-1.9474269822239876E-2</v>
      </c>
      <c r="D141">
        <v>-5.1763132214546204E-3</v>
      </c>
      <c r="E141">
        <v>-1.9088048487901688E-2</v>
      </c>
      <c r="F141">
        <v>1.8432663753628731E-2</v>
      </c>
      <c r="G141">
        <v>-1.9704883452504873E-3</v>
      </c>
      <c r="H141">
        <v>9.1660879552364349E-3</v>
      </c>
      <c r="I141">
        <v>-1.2992105446755886E-2</v>
      </c>
      <c r="J141">
        <v>-2.4863250553607941E-2</v>
      </c>
      <c r="K141">
        <v>-5.340449046343565E-3</v>
      </c>
      <c r="M141">
        <f t="shared" si="4"/>
        <v>-2.8756524803961749E-3</v>
      </c>
      <c r="N141">
        <f t="shared" si="5"/>
        <v>0.99712434751960377</v>
      </c>
      <c r="O141">
        <f>PRODUCT($N$4:N141)-1</f>
        <v>0.10917758548311962</v>
      </c>
    </row>
    <row r="142" spans="1:15" x14ac:dyDescent="0.25">
      <c r="A142" s="29">
        <v>45131</v>
      </c>
      <c r="B142">
        <v>3.3003319054841995E-2</v>
      </c>
      <c r="C142">
        <v>-1.390262134373188E-2</v>
      </c>
      <c r="D142">
        <v>-3.2521068351343274E-4</v>
      </c>
      <c r="E142">
        <v>-1.0270299389958382E-2</v>
      </c>
      <c r="F142">
        <v>1.4060024172067642E-2</v>
      </c>
      <c r="G142">
        <v>1.0858832858502865E-2</v>
      </c>
      <c r="H142">
        <v>-1.4045601710677147E-2</v>
      </c>
      <c r="I142">
        <v>8.4124943241477013E-3</v>
      </c>
      <c r="J142">
        <v>3.6715924739837646E-2</v>
      </c>
      <c r="K142">
        <v>1.1409400962293148E-2</v>
      </c>
      <c r="M142">
        <f t="shared" si="4"/>
        <v>6.7159874839047432E-3</v>
      </c>
      <c r="N142">
        <f t="shared" si="5"/>
        <v>1.0067159874839047</v>
      </c>
      <c r="O142">
        <f>PRODUCT($N$4:N142)-1</f>
        <v>0.11662680826465177</v>
      </c>
    </row>
    <row r="143" spans="1:15" x14ac:dyDescent="0.25">
      <c r="A143" s="29">
        <v>45132</v>
      </c>
      <c r="B143">
        <v>5.3247320465743542E-3</v>
      </c>
      <c r="C143">
        <v>-3.0212171841412783E-3</v>
      </c>
      <c r="D143">
        <v>-7.8074098564684391E-3</v>
      </c>
      <c r="E143">
        <v>-6.5537374466657639E-3</v>
      </c>
      <c r="F143">
        <v>7.1594142355024815E-3</v>
      </c>
      <c r="G143">
        <v>-3.2552829361520708E-4</v>
      </c>
      <c r="H143">
        <v>1.3770878314971924E-2</v>
      </c>
      <c r="I143">
        <v>-7.0664561353623867E-3</v>
      </c>
      <c r="J143">
        <v>-4.0334466844797134E-2</v>
      </c>
      <c r="K143">
        <v>-2.1897805854678154E-2</v>
      </c>
      <c r="M143">
        <f t="shared" si="4"/>
        <v>-2.1602724705881253E-3</v>
      </c>
      <c r="N143">
        <f t="shared" si="5"/>
        <v>0.99783972752941186</v>
      </c>
      <c r="O143">
        <f>PRODUCT($N$4:N143)-1</f>
        <v>0.1142145901108369</v>
      </c>
    </row>
    <row r="144" spans="1:15" x14ac:dyDescent="0.25">
      <c r="A144" s="29">
        <v>45133</v>
      </c>
      <c r="B144">
        <v>1.6949238255620003E-2</v>
      </c>
      <c r="C144">
        <v>3.8383852690458298E-2</v>
      </c>
      <c r="D144">
        <v>1.0327886790037155E-2</v>
      </c>
      <c r="E144">
        <v>8.7960334494709969E-3</v>
      </c>
      <c r="F144">
        <v>1.5368479304015636E-2</v>
      </c>
      <c r="G144">
        <v>2.0840160548686981E-2</v>
      </c>
      <c r="H144">
        <v>-3.236687183380127E-2</v>
      </c>
      <c r="I144">
        <v>-7.9076638212427497E-4</v>
      </c>
      <c r="J144">
        <v>5.79189732670784E-2</v>
      </c>
      <c r="K144">
        <v>-3.7313446402549744E-2</v>
      </c>
      <c r="M144">
        <f t="shared" si="4"/>
        <v>1.1943327203200169E-2</v>
      </c>
      <c r="N144">
        <f t="shared" si="5"/>
        <v>1.0119433272032001</v>
      </c>
      <c r="O144">
        <f>PRODUCT($N$4:N144)-1</f>
        <v>0.12752201953511011</v>
      </c>
    </row>
    <row r="145" spans="1:15" x14ac:dyDescent="0.25">
      <c r="A145" s="29">
        <v>45134</v>
      </c>
      <c r="B145">
        <v>1.8749931827187538E-2</v>
      </c>
      <c r="C145">
        <v>-1.7509665340185165E-2</v>
      </c>
      <c r="D145">
        <v>6.6526015289127827E-3</v>
      </c>
      <c r="E145">
        <v>-7.0845265872776508E-3</v>
      </c>
      <c r="F145">
        <v>-1.3410250656306744E-2</v>
      </c>
      <c r="G145">
        <v>-4.4657508842647076E-3</v>
      </c>
      <c r="H145">
        <v>-1.5974529087543488E-3</v>
      </c>
      <c r="I145">
        <v>-1.0584624484181404E-2</v>
      </c>
      <c r="J145">
        <v>1.0174467228353024E-2</v>
      </c>
      <c r="K145">
        <v>2.1142133045941591E-3</v>
      </c>
      <c r="M145">
        <f t="shared" si="4"/>
        <v>-7.0395126546518774E-3</v>
      </c>
      <c r="N145">
        <f t="shared" si="5"/>
        <v>0.99296048734534814</v>
      </c>
      <c r="O145">
        <f>PRODUCT($N$4:N145)-1</f>
        <v>0.11958481401019405</v>
      </c>
    </row>
    <row r="146" spans="1:15" x14ac:dyDescent="0.25">
      <c r="A146" s="29">
        <v>45135</v>
      </c>
      <c r="B146">
        <v>1.0225182631984353E-3</v>
      </c>
      <c r="C146">
        <v>2.5742501020431519E-2</v>
      </c>
      <c r="D146">
        <v>2.4177581071853638E-3</v>
      </c>
      <c r="E146">
        <v>5.4884953424334526E-3</v>
      </c>
      <c r="F146">
        <v>2.7135038748383522E-2</v>
      </c>
      <c r="G146">
        <v>2.1467480808496475E-2</v>
      </c>
      <c r="H146">
        <v>-1.0084857232868671E-2</v>
      </c>
      <c r="I146">
        <v>2.9994001612067223E-2</v>
      </c>
      <c r="J146">
        <v>7.6738535426557064E-3</v>
      </c>
      <c r="K146">
        <v>-6.3291243277490139E-3</v>
      </c>
      <c r="M146">
        <f t="shared" si="4"/>
        <v>1.8851051723207748E-2</v>
      </c>
      <c r="N146">
        <f t="shared" si="5"/>
        <v>1.0188510517232077</v>
      </c>
      <c r="O146">
        <f>PRODUCT($N$4:N146)-1</f>
        <v>0.14069016524761802</v>
      </c>
    </row>
    <row r="147" spans="1:15" x14ac:dyDescent="0.25">
      <c r="A147" s="29">
        <v>45138</v>
      </c>
      <c r="B147">
        <v>-1.3278868049383163E-2</v>
      </c>
      <c r="C147">
        <v>6.7568197846412659E-3</v>
      </c>
      <c r="D147">
        <v>7.396734319627285E-3</v>
      </c>
      <c r="E147">
        <v>6.004400085657835E-3</v>
      </c>
      <c r="F147">
        <v>-7.7843284234404564E-3</v>
      </c>
      <c r="G147">
        <v>9.4103245064616203E-3</v>
      </c>
      <c r="H147">
        <v>1.9101699581369758E-3</v>
      </c>
      <c r="I147">
        <v>2.1743405610322952E-2</v>
      </c>
      <c r="J147">
        <v>-1.4279241440817714E-3</v>
      </c>
      <c r="K147">
        <v>-1.2738875113427639E-2</v>
      </c>
      <c r="M147">
        <f t="shared" si="4"/>
        <v>4.7621517148205466E-3</v>
      </c>
      <c r="N147">
        <f t="shared" si="5"/>
        <v>1.0047621517148206</v>
      </c>
      <c r="O147">
        <f>PRODUCT($N$4:N147)-1</f>
        <v>0.14612230487413091</v>
      </c>
    </row>
    <row r="148" spans="1:15" x14ac:dyDescent="0.25">
      <c r="A148" s="29">
        <v>45139</v>
      </c>
      <c r="B148">
        <v>-3.1055624131113291E-3</v>
      </c>
      <c r="C148">
        <v>-3.930966928601265E-2</v>
      </c>
      <c r="D148">
        <v>4.9480856396257877E-3</v>
      </c>
      <c r="E148">
        <v>-1.1394519358873367E-2</v>
      </c>
      <c r="F148">
        <v>-3.432741214055568E-4</v>
      </c>
      <c r="G148">
        <v>-1.6469879075884819E-2</v>
      </c>
      <c r="H148">
        <v>3.9108479395508766E-3</v>
      </c>
      <c r="I148">
        <v>1.1590358801186085E-2</v>
      </c>
      <c r="J148">
        <v>-1.9065304659307003E-3</v>
      </c>
      <c r="K148">
        <v>-1.7921147868037224E-2</v>
      </c>
      <c r="M148">
        <f t="shared" si="4"/>
        <v>-6.7530592061858302E-3</v>
      </c>
      <c r="N148">
        <f t="shared" si="5"/>
        <v>0.99324694079381415</v>
      </c>
      <c r="O148">
        <f>PRODUCT($N$4:N148)-1</f>
        <v>0.13838247309178575</v>
      </c>
    </row>
    <row r="149" spans="1:15" x14ac:dyDescent="0.25">
      <c r="A149" s="29">
        <v>45140</v>
      </c>
      <c r="B149">
        <v>3.4267906099557877E-2</v>
      </c>
      <c r="C149">
        <v>-4.9900389276444912E-3</v>
      </c>
      <c r="D149">
        <v>-1.4294814318418503E-3</v>
      </c>
      <c r="E149">
        <v>1.4270045794546604E-2</v>
      </c>
      <c r="F149">
        <v>5.003209225833416E-3</v>
      </c>
      <c r="G149">
        <v>-3.7598755210638046E-2</v>
      </c>
      <c r="H149">
        <v>5.5074002593755722E-2</v>
      </c>
      <c r="I149">
        <v>5.6346313795074821E-4</v>
      </c>
      <c r="J149">
        <v>-9.5513166161254048E-4</v>
      </c>
      <c r="K149">
        <v>2.9197053518146276E-3</v>
      </c>
      <c r="M149">
        <f t="shared" si="4"/>
        <v>-2.9015307396388669E-4</v>
      </c>
      <c r="N149">
        <f t="shared" si="5"/>
        <v>0.99970984692603615</v>
      </c>
      <c r="O149">
        <f>PRODUCT($N$4:N149)-1</f>
        <v>0.13805216791787167</v>
      </c>
    </row>
    <row r="150" spans="1:15" x14ac:dyDescent="0.25">
      <c r="A150" s="29">
        <v>45141</v>
      </c>
      <c r="B150">
        <v>-1.9076263532042503E-2</v>
      </c>
      <c r="C150">
        <v>0.44232696294784546</v>
      </c>
      <c r="D150">
        <v>7.1576391346752644E-3</v>
      </c>
      <c r="E150">
        <v>1.5692690387368202E-2</v>
      </c>
      <c r="F150">
        <v>1.8400147557258606E-2</v>
      </c>
      <c r="G150">
        <v>1.9369671121239662E-2</v>
      </c>
      <c r="H150">
        <v>-2.676883339881897E-2</v>
      </c>
      <c r="I150">
        <v>-2.2667551413178444E-2</v>
      </c>
      <c r="J150">
        <v>2.8680706396698952E-2</v>
      </c>
      <c r="K150">
        <v>-7.2781869675964117E-4</v>
      </c>
      <c r="M150">
        <f t="shared" si="4"/>
        <v>6.0260265189140211E-2</v>
      </c>
      <c r="N150">
        <f t="shared" si="5"/>
        <v>1.0602602651891402</v>
      </c>
      <c r="O150">
        <f>PRODUCT($N$4:N150)-1</f>
        <v>0.20663149335567854</v>
      </c>
    </row>
    <row r="151" spans="1:15" x14ac:dyDescent="0.25">
      <c r="A151" s="29">
        <v>45142</v>
      </c>
      <c r="B151">
        <v>-1.842377707362175E-2</v>
      </c>
      <c r="C151">
        <v>2.9207237064838409E-2</v>
      </c>
      <c r="D151">
        <v>-6.3171433284878731E-3</v>
      </c>
      <c r="E151">
        <v>-1.4917457476258278E-2</v>
      </c>
      <c r="F151">
        <v>-8.3557693287730217E-3</v>
      </c>
      <c r="G151">
        <v>-1.6747135668992996E-2</v>
      </c>
      <c r="H151">
        <v>1.2614424340426922E-2</v>
      </c>
      <c r="I151">
        <v>-5.8823529630899429E-2</v>
      </c>
      <c r="J151">
        <v>1.0813330300152302E-2</v>
      </c>
      <c r="K151">
        <v>-2.1849770564585924E-3</v>
      </c>
      <c r="M151">
        <f t="shared" si="4"/>
        <v>-1.3080029798223081E-2</v>
      </c>
      <c r="N151">
        <f t="shared" si="5"/>
        <v>0.98691997020177691</v>
      </c>
      <c r="O151">
        <f>PRODUCT($N$4:N151)-1</f>
        <v>0.19084871746711185</v>
      </c>
    </row>
    <row r="152" spans="1:15" x14ac:dyDescent="0.25">
      <c r="A152" s="29">
        <v>45145</v>
      </c>
      <c r="B152">
        <v>3.3368058502674103E-2</v>
      </c>
      <c r="C152">
        <v>-2.0945973694324493E-2</v>
      </c>
      <c r="D152">
        <v>9.2180836945772171E-3</v>
      </c>
      <c r="E152">
        <v>-4.3266587890684605E-3</v>
      </c>
      <c r="F152">
        <v>3.0023977160453796E-3</v>
      </c>
      <c r="G152">
        <v>2.9806742444634438E-2</v>
      </c>
      <c r="H152">
        <v>8.8512124493718147E-3</v>
      </c>
      <c r="I152">
        <v>-3.6224521696567535E-2</v>
      </c>
      <c r="J152">
        <v>2.325545996427536E-3</v>
      </c>
      <c r="K152">
        <v>6.5693543292582035E-3</v>
      </c>
      <c r="M152">
        <f t="shared" si="4"/>
        <v>-1.4576868994968261E-3</v>
      </c>
      <c r="N152">
        <f t="shared" si="5"/>
        <v>0.99854231310050312</v>
      </c>
      <c r="O152">
        <f>PRODUCT($N$4:N152)-1</f>
        <v>0.18911283289237746</v>
      </c>
    </row>
    <row r="153" spans="1:15" x14ac:dyDescent="0.25">
      <c r="A153" s="29">
        <v>45146</v>
      </c>
      <c r="B153">
        <v>1.6145292669534683E-2</v>
      </c>
      <c r="C153">
        <v>-1.1732234619557858E-2</v>
      </c>
      <c r="D153">
        <v>1.7322930507361889E-3</v>
      </c>
      <c r="E153">
        <v>3.8022648077458143E-3</v>
      </c>
      <c r="F153">
        <v>-9.7527476027607918E-3</v>
      </c>
      <c r="G153">
        <v>-6.6794208250939846E-3</v>
      </c>
      <c r="H153">
        <v>-3.7137605249881744E-4</v>
      </c>
      <c r="I153">
        <v>2.0539995282888412E-2</v>
      </c>
      <c r="J153">
        <v>5.5684847757220268E-3</v>
      </c>
      <c r="K153">
        <v>-2.3205198347568512E-2</v>
      </c>
      <c r="M153">
        <f t="shared" si="4"/>
        <v>-6.4612422682197503E-4</v>
      </c>
      <c r="N153">
        <f t="shared" si="5"/>
        <v>0.99935387577317802</v>
      </c>
      <c r="O153">
        <f>PRODUCT($N$4:N153)-1</f>
        <v>0.18834451828262089</v>
      </c>
    </row>
    <row r="154" spans="1:15" x14ac:dyDescent="0.25">
      <c r="A154" s="29">
        <v>45147</v>
      </c>
      <c r="B154">
        <v>-3.6742791533470154E-2</v>
      </c>
      <c r="C154">
        <v>-1.3268127106130123E-2</v>
      </c>
      <c r="D154">
        <v>-6.9171898066997528E-3</v>
      </c>
      <c r="E154">
        <v>5.0324693322181702E-2</v>
      </c>
      <c r="F154">
        <v>-8.1424349918961525E-3</v>
      </c>
      <c r="G154">
        <v>-1.2807879829779267E-3</v>
      </c>
      <c r="H154">
        <v>2.6469755917787552E-2</v>
      </c>
      <c r="I154">
        <v>-1.6184225678443909E-2</v>
      </c>
      <c r="J154">
        <v>-1.615137979388237E-2</v>
      </c>
      <c r="K154">
        <v>-5.9391180984675884E-3</v>
      </c>
      <c r="M154">
        <f t="shared" si="4"/>
        <v>-5.7209283781060986E-3</v>
      </c>
      <c r="N154">
        <f t="shared" si="5"/>
        <v>0.99427907162189388</v>
      </c>
      <c r="O154">
        <f>PRODUCT($N$4:N154)-1</f>
        <v>0.18154608440501097</v>
      </c>
    </row>
    <row r="155" spans="1:15" x14ac:dyDescent="0.25">
      <c r="A155" s="29">
        <v>45148</v>
      </c>
      <c r="B155">
        <v>0</v>
      </c>
      <c r="C155">
        <v>4.2462465353310108E-3</v>
      </c>
      <c r="D155">
        <v>-3.6409616004675627E-3</v>
      </c>
      <c r="E155">
        <v>-2.7820659801363945E-2</v>
      </c>
      <c r="F155">
        <v>-4.964826162904501E-3</v>
      </c>
      <c r="G155">
        <v>-6.4124580239877105E-4</v>
      </c>
      <c r="H155">
        <v>5.5193686857819557E-3</v>
      </c>
      <c r="I155">
        <v>-5.0617246888577938E-3</v>
      </c>
      <c r="J155">
        <v>-2.063792385160923E-2</v>
      </c>
      <c r="K155">
        <v>-1.3442890718579292E-2</v>
      </c>
      <c r="M155">
        <f t="shared" si="4"/>
        <v>-3.8899015099228911E-3</v>
      </c>
      <c r="N155">
        <f t="shared" si="5"/>
        <v>0.99611009849007714</v>
      </c>
      <c r="O155">
        <f>PRODUCT($N$4:N155)-1</f>
        <v>0.17694998650724059</v>
      </c>
    </row>
    <row r="156" spans="1:15" x14ac:dyDescent="0.25">
      <c r="A156" s="29">
        <v>45149</v>
      </c>
      <c r="B156">
        <v>2.0619030110538006E-3</v>
      </c>
      <c r="C156">
        <v>9.8661277443170547E-3</v>
      </c>
      <c r="D156">
        <v>7.6263034716248512E-3</v>
      </c>
      <c r="E156">
        <v>1.6958117485046387E-2</v>
      </c>
      <c r="F156">
        <v>3.6557924468070269E-3</v>
      </c>
      <c r="G156">
        <v>-6.4165727235376835E-4</v>
      </c>
      <c r="H156">
        <v>-9.8983722273260355E-4</v>
      </c>
      <c r="I156">
        <v>2.8617305215448141E-3</v>
      </c>
      <c r="J156">
        <v>3.3046003431081772E-2</v>
      </c>
      <c r="K156">
        <v>-4.5420452952384949E-3</v>
      </c>
      <c r="M156">
        <f t="shared" si="4"/>
        <v>4.6871230228650489E-3</v>
      </c>
      <c r="N156">
        <f t="shared" si="5"/>
        <v>1.0046871230228651</v>
      </c>
      <c r="O156">
        <f>PRODUCT($N$4:N156)-1</f>
        <v>0.18246649588575936</v>
      </c>
    </row>
    <row r="157" spans="1:15" x14ac:dyDescent="0.25">
      <c r="A157" s="29">
        <v>45152</v>
      </c>
      <c r="B157">
        <v>-4.1152224875986576E-3</v>
      </c>
      <c r="C157">
        <v>-3.3496130257844925E-2</v>
      </c>
      <c r="D157">
        <v>-7.568583358079195E-3</v>
      </c>
      <c r="E157">
        <v>-2.3970801383256912E-2</v>
      </c>
      <c r="F157">
        <v>-4.0362635627388954E-3</v>
      </c>
      <c r="G157">
        <v>-5.4574664682149887E-3</v>
      </c>
      <c r="H157">
        <v>-1.0223333723843098E-2</v>
      </c>
      <c r="I157">
        <v>1.712106354534626E-2</v>
      </c>
      <c r="J157">
        <v>-1.8080638721585274E-2</v>
      </c>
      <c r="K157">
        <v>-3.8022233638912439E-3</v>
      </c>
      <c r="M157">
        <f t="shared" si="4"/>
        <v>-5.8628588368902328E-3</v>
      </c>
      <c r="N157">
        <f t="shared" si="5"/>
        <v>0.99413714116310981</v>
      </c>
      <c r="O157">
        <f>PRODUCT($N$4:N157)-1</f>
        <v>0.17553386174102892</v>
      </c>
    </row>
    <row r="158" spans="1:15" x14ac:dyDescent="0.25">
      <c r="A158" s="29">
        <v>45153</v>
      </c>
      <c r="B158">
        <v>-3.8223128765821457E-2</v>
      </c>
      <c r="C158">
        <v>3.1046884134411812E-2</v>
      </c>
      <c r="D158">
        <v>-8.3810007199645042E-3</v>
      </c>
      <c r="E158">
        <v>-1.8259942531585693E-2</v>
      </c>
      <c r="F158">
        <v>-1.3838109560310841E-2</v>
      </c>
      <c r="G158">
        <v>-3.357001394033432E-2</v>
      </c>
      <c r="H158">
        <v>2.279653400182724E-2</v>
      </c>
      <c r="I158">
        <v>-1.8079778179526329E-2</v>
      </c>
      <c r="J158">
        <v>-2.502363920211792E-2</v>
      </c>
      <c r="K158">
        <v>-3.6641258746385574E-2</v>
      </c>
      <c r="M158">
        <f t="shared" si="4"/>
        <v>-1.2029257314645046E-2</v>
      </c>
      <c r="N158">
        <f t="shared" si="5"/>
        <v>0.98797074268535501</v>
      </c>
      <c r="O158">
        <f>PRODUCT($N$4:N158)-1</f>
        <v>0.16139306243606777</v>
      </c>
    </row>
    <row r="159" spans="1:15" x14ac:dyDescent="0.25">
      <c r="A159" s="29">
        <v>45154</v>
      </c>
      <c r="B159">
        <v>0</v>
      </c>
      <c r="C159">
        <v>-2.3109238594770432E-2</v>
      </c>
      <c r="D159">
        <v>1.4434667536988854E-3</v>
      </c>
      <c r="E159">
        <v>1.0940856300294399E-2</v>
      </c>
      <c r="F159">
        <v>-3.4278824925422668E-2</v>
      </c>
      <c r="G159">
        <v>8.350033313035965E-3</v>
      </c>
      <c r="H159">
        <v>7.2515564970672131E-3</v>
      </c>
      <c r="I159">
        <v>7.4073753785341978E-4</v>
      </c>
      <c r="J159">
        <v>-1.9854715093970299E-2</v>
      </c>
      <c r="K159">
        <v>-1.6640257090330124E-2</v>
      </c>
      <c r="M159">
        <f t="shared" si="4"/>
        <v>-9.3752789603443708E-3</v>
      </c>
      <c r="N159">
        <f t="shared" si="5"/>
        <v>0.9906247210396556</v>
      </c>
      <c r="O159">
        <f>PRODUCT($N$4:N159)-1</f>
        <v>0.15050467849312099</v>
      </c>
    </row>
    <row r="160" spans="1:15" x14ac:dyDescent="0.25">
      <c r="A160" s="29">
        <v>45155</v>
      </c>
      <c r="B160">
        <v>2.577870711684227E-2</v>
      </c>
      <c r="C160">
        <v>-1.2186385691165924E-2</v>
      </c>
      <c r="D160">
        <v>-1.329272985458374E-2</v>
      </c>
      <c r="E160">
        <v>-2.1103862673044205E-2</v>
      </c>
      <c r="F160">
        <v>-1.3751914724707603E-2</v>
      </c>
      <c r="G160">
        <v>-8.2808872684836388E-3</v>
      </c>
      <c r="H160">
        <v>7.9498550621792674E-4</v>
      </c>
      <c r="I160">
        <v>-3.5317756235599518E-2</v>
      </c>
      <c r="J160">
        <v>3.9525656029582024E-3</v>
      </c>
      <c r="K160">
        <v>2.4174068123102188E-2</v>
      </c>
      <c r="M160">
        <f t="shared" si="4"/>
        <v>-1.2303945389443202E-2</v>
      </c>
      <c r="N160">
        <f t="shared" si="5"/>
        <v>0.98769605461055676</v>
      </c>
      <c r="O160">
        <f>PRODUCT($N$4:N160)-1</f>
        <v>0.1363489317586426</v>
      </c>
    </row>
    <row r="161" spans="1:15" x14ac:dyDescent="0.25">
      <c r="A161" s="29">
        <v>45156</v>
      </c>
      <c r="B161">
        <v>-1.3612576760351658E-2</v>
      </c>
      <c r="C161">
        <v>8.7082646787166595E-3</v>
      </c>
      <c r="D161">
        <v>-3.246300620958209E-4</v>
      </c>
      <c r="E161">
        <v>-5.5279368534684181E-3</v>
      </c>
      <c r="F161">
        <v>5.0512570887804031E-3</v>
      </c>
      <c r="G161">
        <v>-3.406815230846405E-2</v>
      </c>
      <c r="H161">
        <v>-2.2684140130877495E-2</v>
      </c>
      <c r="I161">
        <v>1.5291027724742889E-2</v>
      </c>
      <c r="J161">
        <v>-3.1988169997930527E-2</v>
      </c>
      <c r="K161">
        <v>-3.9339251816272736E-3</v>
      </c>
      <c r="M161">
        <f t="shared" si="4"/>
        <v>-4.6180617054912857E-3</v>
      </c>
      <c r="N161">
        <f t="shared" si="5"/>
        <v>0.99538193829450872</v>
      </c>
      <c r="O161">
        <f>PRODUCT($N$4:N161)-1</f>
        <v>0.13110120227281219</v>
      </c>
    </row>
    <row r="162" spans="1:15" x14ac:dyDescent="0.25">
      <c r="A162" s="29">
        <v>45159</v>
      </c>
      <c r="B162">
        <v>8.4925610572099686E-3</v>
      </c>
      <c r="C162">
        <v>1.3669103384017944E-2</v>
      </c>
      <c r="D162">
        <v>1.7860141815617681E-3</v>
      </c>
      <c r="E162">
        <v>-1.0561453178524971E-2</v>
      </c>
      <c r="F162">
        <v>3.1935533042997122E-3</v>
      </c>
      <c r="G162">
        <v>-2.4204596411436796E-3</v>
      </c>
      <c r="H162">
        <v>-1.1469827964901924E-2</v>
      </c>
      <c r="I162">
        <v>3.5627728793770075E-3</v>
      </c>
      <c r="J162">
        <v>-2.084391750395298E-2</v>
      </c>
      <c r="K162">
        <v>-1.7377588897943497E-2</v>
      </c>
      <c r="M162">
        <f t="shared" si="4"/>
        <v>4.1477208357218215E-4</v>
      </c>
      <c r="N162">
        <f t="shared" si="5"/>
        <v>1.0004147720835721</v>
      </c>
      <c r="O162">
        <f>PRODUCT($N$4:N162)-1</f>
        <v>0.13157035147520979</v>
      </c>
    </row>
    <row r="163" spans="1:15" x14ac:dyDescent="0.25">
      <c r="A163" s="29">
        <v>45160</v>
      </c>
      <c r="B163">
        <v>-2.3157922551035881E-2</v>
      </c>
      <c r="C163">
        <v>1.9872231408953667E-2</v>
      </c>
      <c r="D163">
        <v>-5.1863808184862137E-3</v>
      </c>
      <c r="E163">
        <v>3.370863851159811E-3</v>
      </c>
      <c r="F163">
        <v>-6.1579830944538116E-3</v>
      </c>
      <c r="G163">
        <v>-9.3587683513760567E-3</v>
      </c>
      <c r="H163">
        <v>-7.4003487825393677E-3</v>
      </c>
      <c r="I163">
        <v>-3.517831489443779E-2</v>
      </c>
      <c r="J163">
        <v>-2.2845301777124405E-2</v>
      </c>
      <c r="K163">
        <v>-1.0450094006955624E-2</v>
      </c>
      <c r="M163">
        <f t="shared" si="4"/>
        <v>-1.0294771678853336E-2</v>
      </c>
      <c r="N163">
        <f t="shared" si="5"/>
        <v>0.98970522832114671</v>
      </c>
      <c r="O163">
        <f>PRODUCT($N$4:N163)-1</f>
        <v>0.11992109306821264</v>
      </c>
    </row>
    <row r="164" spans="1:15" x14ac:dyDescent="0.25">
      <c r="A164" s="29">
        <v>45161</v>
      </c>
      <c r="B164">
        <v>1.2931022793054581E-2</v>
      </c>
      <c r="C164">
        <v>8.2115538418292999E-2</v>
      </c>
      <c r="D164">
        <v>9.4492994248867035E-3</v>
      </c>
      <c r="E164">
        <v>1.5677422285079956E-2</v>
      </c>
      <c r="F164">
        <v>5.7761295465752482E-4</v>
      </c>
      <c r="G164">
        <v>-1.0497091570869088E-3</v>
      </c>
      <c r="H164">
        <v>7.4094557203352451E-3</v>
      </c>
      <c r="I164">
        <v>3.0105356127023697E-2</v>
      </c>
      <c r="J164">
        <v>0</v>
      </c>
      <c r="K164">
        <v>-2.4370986502617598E-3</v>
      </c>
      <c r="M164">
        <f t="shared" si="4"/>
        <v>1.8639341297237575E-2</v>
      </c>
      <c r="N164">
        <f t="shared" si="5"/>
        <v>1.0186393412972377</v>
      </c>
      <c r="O164">
        <f>PRODUCT($N$4:N164)-1</f>
        <v>0.1407956845478866</v>
      </c>
    </row>
    <row r="165" spans="1:15" x14ac:dyDescent="0.25">
      <c r="A165" s="29">
        <v>45162</v>
      </c>
      <c r="B165">
        <v>-2.0744649693369865E-2</v>
      </c>
      <c r="C165">
        <v>-5.1446955651044846E-2</v>
      </c>
      <c r="D165">
        <v>2.0981451962143183E-3</v>
      </c>
      <c r="E165">
        <v>-8.8202785700559616E-3</v>
      </c>
      <c r="F165">
        <v>-6.2450929544866085E-3</v>
      </c>
      <c r="G165">
        <v>1.2259207665920258E-2</v>
      </c>
      <c r="H165">
        <v>-2.5399714708328247E-2</v>
      </c>
      <c r="I165">
        <v>-2.5815881788730621E-2</v>
      </c>
      <c r="J165">
        <v>3.7194313481450081E-3</v>
      </c>
      <c r="K165">
        <v>1.3029303401708603E-2</v>
      </c>
      <c r="M165">
        <f t="shared" si="4"/>
        <v>-1.3293615868740715E-2</v>
      </c>
      <c r="N165">
        <f t="shared" si="5"/>
        <v>0.98670638413125933</v>
      </c>
      <c r="O165">
        <f>PRODUCT($N$4:N165)-1</f>
        <v>0.12563038493279</v>
      </c>
    </row>
    <row r="166" spans="1:15" x14ac:dyDescent="0.25">
      <c r="A166" s="29">
        <v>45163</v>
      </c>
      <c r="B166">
        <v>3.0961418524384499E-2</v>
      </c>
      <c r="C166">
        <v>0</v>
      </c>
      <c r="D166">
        <v>-4.8314992454834282E-4</v>
      </c>
      <c r="E166">
        <v>2.2247449960559607E-3</v>
      </c>
      <c r="F166">
        <v>-8.9775929227471352E-3</v>
      </c>
      <c r="G166">
        <v>9.6886055544018745E-3</v>
      </c>
      <c r="H166">
        <v>2.4889836087822914E-2</v>
      </c>
      <c r="I166">
        <v>1.1666679754853249E-2</v>
      </c>
      <c r="J166">
        <v>-1.2175730429589748E-2</v>
      </c>
      <c r="K166">
        <v>1.6077539185062051E-3</v>
      </c>
      <c r="M166">
        <f t="shared" si="4"/>
        <v>4.7349083911164564E-3</v>
      </c>
      <c r="N166">
        <f t="shared" si="5"/>
        <v>1.0047349083911166</v>
      </c>
      <c r="O166">
        <f>PRODUCT($N$4:N166)-1</f>
        <v>0.13096014168770398</v>
      </c>
    </row>
    <row r="167" spans="1:15" x14ac:dyDescent="0.25">
      <c r="A167" s="29">
        <v>45166</v>
      </c>
      <c r="B167">
        <v>-1.1591112241148949E-2</v>
      </c>
      <c r="C167">
        <v>-4.3389853090047836E-2</v>
      </c>
      <c r="D167">
        <v>2.7392550837248564E-3</v>
      </c>
      <c r="E167">
        <v>1.0543763637542725E-2</v>
      </c>
      <c r="F167">
        <v>-4.4761607423424721E-3</v>
      </c>
      <c r="G167">
        <v>-7.5394525192677975E-3</v>
      </c>
      <c r="H167">
        <v>-1.0976418852806091E-2</v>
      </c>
      <c r="I167">
        <v>1.3179244706407189E-3</v>
      </c>
      <c r="J167">
        <v>1.3397642411291599E-2</v>
      </c>
      <c r="K167">
        <v>6.4205396920442581E-3</v>
      </c>
      <c r="M167">
        <f t="shared" si="4"/>
        <v>-7.6683854818592485E-3</v>
      </c>
      <c r="N167">
        <f t="shared" si="5"/>
        <v>0.99233161451814078</v>
      </c>
      <c r="O167">
        <f>PRODUCT($N$4:N167)-1</f>
        <v>0.12228750335662464</v>
      </c>
    </row>
    <row r="168" spans="1:15" x14ac:dyDescent="0.25">
      <c r="A168" s="29">
        <v>45167</v>
      </c>
      <c r="B168">
        <v>1.2793164700269699E-2</v>
      </c>
      <c r="C168">
        <v>2.4096397683024406E-2</v>
      </c>
      <c r="D168">
        <v>6.4279150683432817E-4</v>
      </c>
      <c r="E168">
        <v>-1.0159224271774292E-2</v>
      </c>
      <c r="F168">
        <v>1.1990098282694817E-2</v>
      </c>
      <c r="G168">
        <v>5.1796110346913338E-3</v>
      </c>
      <c r="H168">
        <v>3.4219906665384769E-3</v>
      </c>
      <c r="I168">
        <v>3.257649764418602E-2</v>
      </c>
      <c r="J168">
        <v>4.2305616661906242E-3</v>
      </c>
      <c r="K168">
        <v>3.1897895969450474E-3</v>
      </c>
      <c r="M168">
        <f t="shared" si="4"/>
        <v>1.3882005304376083E-2</v>
      </c>
      <c r="N168">
        <f t="shared" si="5"/>
        <v>1.013882005304376</v>
      </c>
      <c r="O168">
        <f>PRODUCT($N$4:N168)-1</f>
        <v>0.13786710443125627</v>
      </c>
    </row>
    <row r="169" spans="1:15" x14ac:dyDescent="0.25">
      <c r="A169" s="29">
        <v>45168</v>
      </c>
      <c r="B169">
        <v>9.473700076341629E-3</v>
      </c>
      <c r="C169">
        <v>3.5294134169816971E-2</v>
      </c>
      <c r="D169">
        <v>-3.3723956439644098E-3</v>
      </c>
      <c r="E169">
        <v>-7.4896104633808136E-3</v>
      </c>
      <c r="F169">
        <v>5.0248438492417336E-3</v>
      </c>
      <c r="G169">
        <v>7.2139841504395008E-3</v>
      </c>
      <c r="H169">
        <v>7.051010150462389E-3</v>
      </c>
      <c r="I169">
        <v>3.1868161750026047E-4</v>
      </c>
      <c r="J169">
        <v>-1.9483882933855057E-2</v>
      </c>
      <c r="K169">
        <v>-1.0333872400224209E-2</v>
      </c>
      <c r="M169">
        <f t="shared" si="4"/>
        <v>6.3309308239831823E-3</v>
      </c>
      <c r="N169">
        <f t="shared" si="5"/>
        <v>1.0063309308239832</v>
      </c>
      <c r="O169">
        <f>PRODUCT($N$4:N169)-1</f>
        <v>0.14507086235629663</v>
      </c>
    </row>
    <row r="170" spans="1:15" x14ac:dyDescent="0.25">
      <c r="A170" s="29">
        <v>45169</v>
      </c>
      <c r="B170">
        <v>2.3983268067240715E-2</v>
      </c>
      <c r="C170">
        <v>-1.0026712901890278E-2</v>
      </c>
      <c r="D170">
        <v>4.8338348278775811E-4</v>
      </c>
      <c r="E170">
        <v>1.1179473251104355E-2</v>
      </c>
      <c r="F170">
        <v>-1.1209881864488125E-2</v>
      </c>
      <c r="G170">
        <v>-2.4215521290898323E-2</v>
      </c>
      <c r="H170">
        <v>-9.4728507101535797E-3</v>
      </c>
      <c r="I170">
        <v>4.460060503333807E-3</v>
      </c>
      <c r="J170">
        <v>1.0741076432168484E-2</v>
      </c>
      <c r="K170">
        <v>-3.2128484454005957E-3</v>
      </c>
      <c r="M170">
        <f t="shared" si="4"/>
        <v>-6.1647532785864502E-3</v>
      </c>
      <c r="N170">
        <f t="shared" si="5"/>
        <v>0.99383524672141355</v>
      </c>
      <c r="O170">
        <f>PRODUCT($N$4:N170)-1</f>
        <v>0.1380117830033718</v>
      </c>
    </row>
    <row r="171" spans="1:15" x14ac:dyDescent="0.25">
      <c r="A171" s="29">
        <v>45170</v>
      </c>
      <c r="B171">
        <v>9.1649852693080902E-3</v>
      </c>
      <c r="C171">
        <v>1.0128265246748924E-2</v>
      </c>
      <c r="D171">
        <v>3.3821724355220795E-3</v>
      </c>
      <c r="E171">
        <v>8.8446568697690964E-3</v>
      </c>
      <c r="F171">
        <v>2.049175463616848E-2</v>
      </c>
      <c r="G171">
        <v>2.0971500780433416E-3</v>
      </c>
      <c r="H171">
        <v>-4.2873639613389969E-2</v>
      </c>
      <c r="I171">
        <v>4.1230607777833939E-2</v>
      </c>
      <c r="J171">
        <v>2.4973498657345772E-2</v>
      </c>
      <c r="K171">
        <v>3.5455320030450821E-2</v>
      </c>
      <c r="M171">
        <f t="shared" si="4"/>
        <v>1.4656346678966722E-2</v>
      </c>
      <c r="N171">
        <f t="shared" si="5"/>
        <v>1.0146563466789666</v>
      </c>
      <c r="O171">
        <f>PRODUCT($N$4:N171)-1</f>
        <v>0.1546908782198182</v>
      </c>
    </row>
    <row r="172" spans="1:15" x14ac:dyDescent="0.25">
      <c r="A172" s="29">
        <v>45174</v>
      </c>
      <c r="B172">
        <v>1.1099960654973984E-2</v>
      </c>
      <c r="C172">
        <v>-4.0107234381139278E-3</v>
      </c>
      <c r="D172">
        <v>-9.1492729261517525E-3</v>
      </c>
      <c r="E172">
        <v>-2.7396841906011105E-3</v>
      </c>
      <c r="F172">
        <v>-2.4096360430121422E-2</v>
      </c>
      <c r="G172">
        <v>-2.7206161990761757E-2</v>
      </c>
      <c r="H172">
        <v>-1.9018210470676422E-2</v>
      </c>
      <c r="I172">
        <v>-2.0103674381971359E-2</v>
      </c>
      <c r="J172">
        <v>-4.6656373888254166E-3</v>
      </c>
      <c r="K172">
        <v>-3.1128447502851486E-2</v>
      </c>
      <c r="M172">
        <f t="shared" si="4"/>
        <v>-1.7511010290142074E-2</v>
      </c>
      <c r="N172">
        <f t="shared" si="5"/>
        <v>0.98248898970985787</v>
      </c>
      <c r="O172">
        <f>PRODUCT($N$4:N172)-1</f>
        <v>0.13447107436937777</v>
      </c>
    </row>
    <row r="173" spans="1:15" x14ac:dyDescent="0.25">
      <c r="A173" s="29">
        <v>45175</v>
      </c>
      <c r="B173">
        <v>-3.992107231169939E-3</v>
      </c>
      <c r="C173">
        <v>-5.3691226057708263E-3</v>
      </c>
      <c r="D173">
        <v>-1.6196859360206872E-4</v>
      </c>
      <c r="E173">
        <v>-8.2418415695428848E-3</v>
      </c>
      <c r="F173">
        <v>-8.1770019605755806E-3</v>
      </c>
      <c r="G173">
        <v>-1.4341702917590737E-3</v>
      </c>
      <c r="H173">
        <v>1.8009170889854431E-2</v>
      </c>
      <c r="I173">
        <v>1.4299127273261547E-2</v>
      </c>
      <c r="J173">
        <v>-3.5416681319475174E-2</v>
      </c>
      <c r="K173">
        <v>-2.1686706691980362E-2</v>
      </c>
      <c r="M173">
        <f t="shared" si="4"/>
        <v>-1.4095732298499614E-3</v>
      </c>
      <c r="N173">
        <f t="shared" si="5"/>
        <v>0.99859042677015009</v>
      </c>
      <c r="O173">
        <f>PRODUCT($N$4:N173)-1</f>
        <v>0.13287195431290755</v>
      </c>
    </row>
    <row r="174" spans="1:15" x14ac:dyDescent="0.25">
      <c r="A174" s="29">
        <v>45176</v>
      </c>
      <c r="B174">
        <v>-4.0080123580992222E-3</v>
      </c>
      <c r="C174">
        <v>-2.3616695776581764E-2</v>
      </c>
      <c r="D174">
        <v>5.3466949611902237E-3</v>
      </c>
      <c r="E174">
        <v>1.939060352742672E-2</v>
      </c>
      <c r="F174">
        <v>2.5864625349640846E-3</v>
      </c>
      <c r="G174">
        <v>1.0412890464067459E-2</v>
      </c>
      <c r="H174">
        <v>-1.1745336465537548E-2</v>
      </c>
      <c r="I174">
        <v>7.968047633767128E-3</v>
      </c>
      <c r="J174">
        <v>8.6393002420663834E-3</v>
      </c>
      <c r="K174">
        <v>4.1050277650356293E-3</v>
      </c>
      <c r="M174">
        <f t="shared" si="4"/>
        <v>1.4328711113852002E-3</v>
      </c>
      <c r="N174">
        <f t="shared" si="5"/>
        <v>1.0014328711113851</v>
      </c>
      <c r="O174">
        <f>PRODUCT($N$4:N174)-1</f>
        <v>0.13449521380914087</v>
      </c>
    </row>
    <row r="175" spans="1:15" x14ac:dyDescent="0.25">
      <c r="A175" s="29">
        <v>45177</v>
      </c>
      <c r="B175">
        <v>1.0060592321678996E-3</v>
      </c>
      <c r="C175">
        <v>-1.1057348921895027E-2</v>
      </c>
      <c r="D175">
        <v>6.1241108924150467E-3</v>
      </c>
      <c r="E175">
        <v>8.152153342962265E-3</v>
      </c>
      <c r="F175">
        <v>-7.6856533996760845E-3</v>
      </c>
      <c r="G175">
        <v>-1.7768030520528555E-3</v>
      </c>
      <c r="H175">
        <v>-6.6516706719994545E-3</v>
      </c>
      <c r="I175">
        <v>-1.9786492921411991E-3</v>
      </c>
      <c r="J175">
        <v>1.1777264997363091E-2</v>
      </c>
      <c r="K175">
        <v>6.5413638949394226E-3</v>
      </c>
      <c r="M175">
        <f t="shared" si="4"/>
        <v>-2.9784156853296701E-3</v>
      </c>
      <c r="N175">
        <f t="shared" si="5"/>
        <v>0.99702158431467036</v>
      </c>
      <c r="O175">
        <f>PRODUCT($N$4:N175)-1</f>
        <v>0.13111621546940033</v>
      </c>
    </row>
    <row r="176" spans="1:15" x14ac:dyDescent="0.25">
      <c r="A176" s="29">
        <v>45180</v>
      </c>
      <c r="B176">
        <v>-9.0452414005994797E-3</v>
      </c>
      <c r="C176">
        <v>-2.7952452655881643E-3</v>
      </c>
      <c r="D176">
        <v>7.3682377114892006E-3</v>
      </c>
      <c r="E176">
        <v>-1.5633370727300644E-2</v>
      </c>
      <c r="F176">
        <v>-2.4915058165788651E-3</v>
      </c>
      <c r="G176">
        <v>1.9223887473344803E-2</v>
      </c>
      <c r="H176">
        <v>-7.0409053005278111E-3</v>
      </c>
      <c r="I176">
        <v>-1.2810681015253067E-2</v>
      </c>
      <c r="J176">
        <v>6.3492506742477417E-3</v>
      </c>
      <c r="K176">
        <v>-5.6864861398935318E-3</v>
      </c>
      <c r="M176">
        <f t="shared" si="4"/>
        <v>-1.1960273916848067E-3</v>
      </c>
      <c r="N176">
        <f t="shared" si="5"/>
        <v>0.99880397260831522</v>
      </c>
      <c r="O176">
        <f>PRODUCT($N$4:N176)-1</f>
        <v>0.12976336949252021</v>
      </c>
    </row>
    <row r="177" spans="1:15" x14ac:dyDescent="0.25">
      <c r="A177" s="29">
        <v>45181</v>
      </c>
      <c r="B177">
        <v>-1.1156152002513409E-2</v>
      </c>
      <c r="C177">
        <v>-4.0644768625497818E-2</v>
      </c>
      <c r="D177">
        <v>1.7808916047215462E-2</v>
      </c>
      <c r="E177">
        <v>4.3811569921672344E-3</v>
      </c>
      <c r="F177">
        <v>-1.2271241284906864E-2</v>
      </c>
      <c r="G177">
        <v>2.0258467644453049E-2</v>
      </c>
      <c r="H177">
        <v>-1.7503837123513222E-2</v>
      </c>
      <c r="I177">
        <v>-2.7653401717543602E-2</v>
      </c>
      <c r="J177">
        <v>3.6803204566240311E-3</v>
      </c>
      <c r="K177">
        <v>0</v>
      </c>
      <c r="M177">
        <f t="shared" si="4"/>
        <v>-1.0563636904008905E-2</v>
      </c>
      <c r="N177">
        <f t="shared" si="5"/>
        <v>0.98943636309599114</v>
      </c>
      <c r="O177">
        <f>PRODUCT($N$4:N177)-1</f>
        <v>0.11782895946975169</v>
      </c>
    </row>
    <row r="178" spans="1:15" x14ac:dyDescent="0.25">
      <c r="A178" s="29">
        <v>45182</v>
      </c>
      <c r="B178">
        <v>2.1538466215133667E-2</v>
      </c>
      <c r="C178">
        <v>-2.2644227370619774E-2</v>
      </c>
      <c r="D178">
        <v>-3.1245236750692129E-3</v>
      </c>
      <c r="E178">
        <v>-6.5431208349764347E-3</v>
      </c>
      <c r="F178">
        <v>4.0899358689785004E-2</v>
      </c>
      <c r="G178">
        <v>9.5002055168151855E-3</v>
      </c>
      <c r="H178">
        <v>-5.0469366833567619E-3</v>
      </c>
      <c r="I178">
        <v>-2.7168719097971916E-2</v>
      </c>
      <c r="J178">
        <v>-1.466740109026432E-2</v>
      </c>
      <c r="K178">
        <v>-1.3888895511627197E-2</v>
      </c>
      <c r="M178">
        <f t="shared" si="4"/>
        <v>1.2914471576119415E-3</v>
      </c>
      <c r="N178">
        <f t="shared" si="5"/>
        <v>1.001291447157612</v>
      </c>
      <c r="O178">
        <f>PRODUCT($N$4:N178)-1</f>
        <v>0.11927257650215517</v>
      </c>
    </row>
    <row r="179" spans="1:15" x14ac:dyDescent="0.25">
      <c r="A179" s="29">
        <v>45183</v>
      </c>
      <c r="B179">
        <v>4.0160603821277618E-3</v>
      </c>
      <c r="C179">
        <v>5.9790676459670067E-3</v>
      </c>
      <c r="D179">
        <v>1.144020538777113E-2</v>
      </c>
      <c r="E179">
        <v>3.0186671763658524E-2</v>
      </c>
      <c r="F179">
        <v>7.0239584892988205E-3</v>
      </c>
      <c r="G179">
        <v>6.5135597251355648E-3</v>
      </c>
      <c r="H179">
        <v>9.2827528715133667E-3</v>
      </c>
      <c r="I179">
        <v>-4.7362553887069225E-3</v>
      </c>
      <c r="J179">
        <v>1.2227616272866726E-2</v>
      </c>
      <c r="K179">
        <v>2.3198070004582405E-2</v>
      </c>
      <c r="M179">
        <f t="shared" si="4"/>
        <v>6.4501684222378793E-3</v>
      </c>
      <c r="N179">
        <f t="shared" si="5"/>
        <v>1.0064501684222378</v>
      </c>
      <c r="O179">
        <f>PRODUCT($N$4:N179)-1</f>
        <v>0.12649207313098598</v>
      </c>
    </row>
    <row r="180" spans="1:15" x14ac:dyDescent="0.25">
      <c r="A180" s="29">
        <v>45184</v>
      </c>
      <c r="B180">
        <v>-3.1999967992305756E-2</v>
      </c>
      <c r="C180">
        <v>-1.8573550507426262E-2</v>
      </c>
      <c r="D180">
        <v>-4.4933515600860119E-3</v>
      </c>
      <c r="E180">
        <v>-1.0122564621269703E-2</v>
      </c>
      <c r="F180">
        <v>1.9299391657114029E-2</v>
      </c>
      <c r="G180">
        <v>-1.2602208182215691E-2</v>
      </c>
      <c r="H180">
        <v>2.613480668514967E-3</v>
      </c>
      <c r="I180">
        <v>-9.8453497048467398E-4</v>
      </c>
      <c r="J180">
        <v>-2.4159714579582214E-2</v>
      </c>
      <c r="K180">
        <v>-2.10526492446661E-2</v>
      </c>
      <c r="M180">
        <f t="shared" si="4"/>
        <v>-4.1223831008527128E-3</v>
      </c>
      <c r="N180">
        <f t="shared" si="5"/>
        <v>0.99587761689914733</v>
      </c>
      <c r="O180">
        <f>PRODUCT($N$4:N180)-1</f>
        <v>0.12184824124546623</v>
      </c>
    </row>
    <row r="181" spans="1:15" x14ac:dyDescent="0.25">
      <c r="A181" s="29">
        <v>45187</v>
      </c>
      <c r="B181">
        <v>-9.2975357547402382E-3</v>
      </c>
      <c r="C181">
        <v>-4.9205116927623749E-2</v>
      </c>
      <c r="D181">
        <v>4.8248646780848503E-3</v>
      </c>
      <c r="E181">
        <v>1.1840651743113995E-2</v>
      </c>
      <c r="F181">
        <v>-1.0292381193721667E-4</v>
      </c>
      <c r="G181">
        <v>-1.8282189965248108E-2</v>
      </c>
      <c r="H181">
        <v>8.0198707291856408E-4</v>
      </c>
      <c r="I181">
        <v>-1.6429263632744551E-4</v>
      </c>
      <c r="J181">
        <v>0</v>
      </c>
      <c r="K181">
        <v>-2.0678246393799782E-2</v>
      </c>
      <c r="M181">
        <f t="shared" si="4"/>
        <v>-1.0240347535029115E-2</v>
      </c>
      <c r="N181">
        <f t="shared" si="5"/>
        <v>0.98975965246497088</v>
      </c>
      <c r="O181">
        <f>PRODUCT($N$4:N181)-1</f>
        <v>0.11036012537355155</v>
      </c>
    </row>
    <row r="182" spans="1:15" x14ac:dyDescent="0.25">
      <c r="A182" s="29">
        <v>45188</v>
      </c>
      <c r="B182">
        <v>-4.1710073128342628E-3</v>
      </c>
      <c r="C182">
        <v>6.3694203272461891E-3</v>
      </c>
      <c r="D182">
        <v>8.0545898526906967E-3</v>
      </c>
      <c r="E182">
        <v>-1.5957407653331757E-2</v>
      </c>
      <c r="F182">
        <v>-9.7252205014228821E-3</v>
      </c>
      <c r="G182">
        <v>-4.5677851885557175E-3</v>
      </c>
      <c r="H182">
        <v>-1.5126416459679604E-2</v>
      </c>
      <c r="I182">
        <v>1.4785634353756905E-2</v>
      </c>
      <c r="J182">
        <v>1.076450920663774E-3</v>
      </c>
      <c r="K182">
        <v>-7.6013640500605106E-3</v>
      </c>
      <c r="M182">
        <f t="shared" si="4"/>
        <v>-9.9317328513804184E-4</v>
      </c>
      <c r="N182">
        <f t="shared" si="5"/>
        <v>0.99900682671486196</v>
      </c>
      <c r="O182">
        <f>PRODUCT($N$4:N182)-1</f>
        <v>0.10925734536014797</v>
      </c>
    </row>
    <row r="183" spans="1:15" x14ac:dyDescent="0.25">
      <c r="A183" s="29">
        <v>45189</v>
      </c>
      <c r="B183">
        <v>1.2565433047711849E-2</v>
      </c>
      <c r="C183">
        <v>-3.9557111449539661E-3</v>
      </c>
      <c r="D183">
        <v>-1.6902367351576686E-3</v>
      </c>
      <c r="E183">
        <v>-4.8648728989064693E-3</v>
      </c>
      <c r="F183">
        <v>6.3912482000887394E-3</v>
      </c>
      <c r="G183">
        <v>-3.1768498010933399E-3</v>
      </c>
      <c r="H183">
        <v>1.0883381590247154E-2</v>
      </c>
      <c r="I183">
        <v>-8.9039858430624008E-3</v>
      </c>
      <c r="J183">
        <v>0</v>
      </c>
      <c r="K183">
        <v>-8.5106706246733665E-3</v>
      </c>
      <c r="M183">
        <f t="shared" si="4"/>
        <v>-7.8189658257033011E-4</v>
      </c>
      <c r="N183">
        <f t="shared" si="5"/>
        <v>0.99921810341742967</v>
      </c>
      <c r="O183">
        <f>PRODUCT($N$4:N183)-1</f>
        <v>0.10839002083261984</v>
      </c>
    </row>
    <row r="184" spans="1:15" x14ac:dyDescent="0.25">
      <c r="A184" s="29">
        <v>45190</v>
      </c>
      <c r="B184">
        <v>2.1716652438044548E-2</v>
      </c>
      <c r="C184">
        <v>-7.6250992715358734E-2</v>
      </c>
      <c r="D184">
        <v>-1.2005521915853024E-2</v>
      </c>
      <c r="E184">
        <v>-5.9750466607511044E-3</v>
      </c>
      <c r="F184">
        <v>-1.920686662197113E-2</v>
      </c>
      <c r="G184">
        <v>-6.7280642688274384E-3</v>
      </c>
      <c r="H184">
        <v>-3.8184896111488342E-2</v>
      </c>
      <c r="I184">
        <v>-7.4158787727355957E-2</v>
      </c>
      <c r="J184">
        <v>-5.3763645701110363E-3</v>
      </c>
      <c r="K184">
        <v>6.0086394660174847E-3</v>
      </c>
      <c r="M184">
        <f t="shared" si="4"/>
        <v>-3.2726684984485152E-2</v>
      </c>
      <c r="N184">
        <f t="shared" si="5"/>
        <v>0.96727331501551483</v>
      </c>
      <c r="O184">
        <f>PRODUCT($N$4:N184)-1</f>
        <v>7.2116089780883685E-2</v>
      </c>
    </row>
    <row r="185" spans="1:15" x14ac:dyDescent="0.25">
      <c r="A185" s="29">
        <v>45191</v>
      </c>
      <c r="B185">
        <v>1.0121399536728859E-2</v>
      </c>
      <c r="C185">
        <v>-1.6337106004357338E-2</v>
      </c>
      <c r="D185">
        <v>4.8293746076524258E-3</v>
      </c>
      <c r="E185">
        <v>-6.0107541503384709E-4</v>
      </c>
      <c r="F185">
        <v>-2.4742113891988993E-3</v>
      </c>
      <c r="G185">
        <v>8.5562095046043396E-3</v>
      </c>
      <c r="H185">
        <v>-2.3014289326965809E-3</v>
      </c>
      <c r="I185">
        <v>4.763592965900898E-3</v>
      </c>
      <c r="J185">
        <v>-1.1351302266120911E-2</v>
      </c>
      <c r="K185">
        <v>-1.8771354109048843E-2</v>
      </c>
      <c r="M185">
        <f t="shared" si="4"/>
        <v>-9.9776004524918275E-4</v>
      </c>
      <c r="N185">
        <f t="shared" si="5"/>
        <v>0.99900223995475079</v>
      </c>
      <c r="O185">
        <f>PRODUCT($N$4:N185)-1</f>
        <v>7.1046375182631571E-2</v>
      </c>
    </row>
    <row r="186" spans="1:15" x14ac:dyDescent="0.25">
      <c r="A186" s="29">
        <v>45194</v>
      </c>
      <c r="B186">
        <v>-1.0019313776865602E-3</v>
      </c>
      <c r="C186">
        <v>6.9930837489664555E-3</v>
      </c>
      <c r="D186">
        <v>2.9457742348313332E-3</v>
      </c>
      <c r="E186">
        <v>-7.6001938432455063E-3</v>
      </c>
      <c r="F186">
        <v>5.1190098747611046E-3</v>
      </c>
      <c r="G186">
        <v>2.8278515674173832E-3</v>
      </c>
      <c r="H186">
        <v>3.4601467195898294E-3</v>
      </c>
      <c r="I186">
        <v>2.4582860060036182E-3</v>
      </c>
      <c r="J186">
        <v>5.4673850536346436E-3</v>
      </c>
      <c r="K186">
        <v>8.6956853047013283E-3</v>
      </c>
      <c r="M186">
        <f t="shared" si="4"/>
        <v>3.623035271005875E-3</v>
      </c>
      <c r="N186">
        <f t="shared" si="5"/>
        <v>1.0036230352710058</v>
      </c>
      <c r="O186">
        <f>PRODUCT($N$4:N186)-1</f>
        <v>7.4926813976801121E-2</v>
      </c>
    </row>
    <row r="187" spans="1:15" x14ac:dyDescent="0.25">
      <c r="A187" s="29">
        <v>45195</v>
      </c>
      <c r="B187">
        <v>-3.2096352428197861E-2</v>
      </c>
      <c r="C187">
        <v>-2.17013880610466E-2</v>
      </c>
      <c r="D187">
        <v>-1.1902987025678158E-2</v>
      </c>
      <c r="E187">
        <v>-7.1624885313212872E-3</v>
      </c>
      <c r="F187">
        <v>-2.0896833389997482E-2</v>
      </c>
      <c r="G187">
        <v>-1.0927083902060986E-2</v>
      </c>
      <c r="H187">
        <v>-9.9261850118637085E-4</v>
      </c>
      <c r="I187">
        <v>-2.7325300499796867E-2</v>
      </c>
      <c r="J187">
        <v>-1.3050558976829052E-2</v>
      </c>
      <c r="K187">
        <v>-3.7068989127874374E-2</v>
      </c>
      <c r="M187">
        <f t="shared" si="4"/>
        <v>-1.8959857289397617E-2</v>
      </c>
      <c r="N187">
        <f t="shared" si="5"/>
        <v>0.98104014271060236</v>
      </c>
      <c r="O187">
        <f>PRODUCT($N$4:N187)-1</f>
        <v>5.454635498725402E-2</v>
      </c>
    </row>
    <row r="188" spans="1:15" x14ac:dyDescent="0.25">
      <c r="A188" s="29">
        <v>45196</v>
      </c>
      <c r="B188">
        <v>-2.2797856479883194E-2</v>
      </c>
      <c r="C188">
        <v>8.8724709348753095E-4</v>
      </c>
      <c r="D188">
        <v>-1.8773300107568502E-3</v>
      </c>
      <c r="E188">
        <v>6.6592078655958176E-3</v>
      </c>
      <c r="F188">
        <v>-4.7726267948746681E-3</v>
      </c>
      <c r="G188">
        <v>-1.1404123157262802E-2</v>
      </c>
      <c r="H188">
        <v>2.4632558226585388E-2</v>
      </c>
      <c r="I188">
        <v>2.4131104350090027E-2</v>
      </c>
      <c r="J188">
        <v>0</v>
      </c>
      <c r="K188">
        <v>-7.1620345115661621E-3</v>
      </c>
      <c r="M188">
        <f t="shared" si="4"/>
        <v>2.5784838353284344E-3</v>
      </c>
      <c r="N188">
        <f t="shared" si="5"/>
        <v>1.0025784838353284</v>
      </c>
      <c r="O188">
        <f>PRODUCT($N$4:N188)-1</f>
        <v>5.7265485717193254E-2</v>
      </c>
    </row>
    <row r="189" spans="1:15" x14ac:dyDescent="0.25">
      <c r="A189" s="29">
        <v>45197</v>
      </c>
      <c r="B189">
        <v>1.8027579411864281E-2</v>
      </c>
      <c r="C189">
        <v>1.9503571093082428E-2</v>
      </c>
      <c r="D189">
        <v>1.4106606831774116E-3</v>
      </c>
      <c r="E189">
        <v>-7.7177174389362335E-3</v>
      </c>
      <c r="F189">
        <v>4.2567411437630653E-3</v>
      </c>
      <c r="G189">
        <v>2.9560191556811333E-2</v>
      </c>
      <c r="H189">
        <v>1.4802007004618645E-2</v>
      </c>
      <c r="I189">
        <v>1.1077916249632835E-2</v>
      </c>
      <c r="J189">
        <v>0</v>
      </c>
      <c r="K189">
        <v>-1.8034677486866713E-3</v>
      </c>
      <c r="M189">
        <f t="shared" si="4"/>
        <v>1.2430152237974461E-2</v>
      </c>
      <c r="N189">
        <f t="shared" si="5"/>
        <v>1.0124301522379744</v>
      </c>
      <c r="O189">
        <f>PRODUCT($N$4:N189)-1</f>
        <v>7.0407456660613876E-2</v>
      </c>
    </row>
    <row r="190" spans="1:15" x14ac:dyDescent="0.25">
      <c r="A190" s="29">
        <v>45198</v>
      </c>
      <c r="B190">
        <v>9.3749165534973145E-3</v>
      </c>
      <c r="C190">
        <v>-1.2173943221569061E-2</v>
      </c>
      <c r="D190">
        <v>-9.0780723839998245E-3</v>
      </c>
      <c r="E190">
        <v>8.3333123475313187E-3</v>
      </c>
      <c r="F190">
        <v>1.1481914669275284E-2</v>
      </c>
      <c r="G190">
        <v>-1.8557380884885788E-2</v>
      </c>
      <c r="H190">
        <v>-1.0914461687207222E-2</v>
      </c>
      <c r="I190">
        <v>-1.0956540703773499E-2</v>
      </c>
      <c r="J190">
        <v>7.1625933051109314E-3</v>
      </c>
      <c r="K190">
        <v>-1.08400983735919E-2</v>
      </c>
      <c r="M190">
        <f t="shared" si="4"/>
        <v>-5.1460302286705515E-3</v>
      </c>
      <c r="N190">
        <f t="shared" si="5"/>
        <v>0.99485396977132945</v>
      </c>
      <c r="O190">
        <f>PRODUCT($N$4:N190)-1</f>
        <v>6.4899107531644074E-2</v>
      </c>
    </row>
    <row r="191" spans="1:15" x14ac:dyDescent="0.25">
      <c r="A191" s="29">
        <v>45201</v>
      </c>
      <c r="B191">
        <v>-2.8895743191242218E-2</v>
      </c>
      <c r="C191">
        <v>2.1126825362443924E-2</v>
      </c>
      <c r="D191">
        <v>-1.5953280031681061E-2</v>
      </c>
      <c r="E191">
        <v>-9.3663958832621574E-3</v>
      </c>
      <c r="F191">
        <v>-5.8349571190774441E-3</v>
      </c>
      <c r="G191">
        <v>-8.2055460661649704E-3</v>
      </c>
      <c r="H191">
        <v>6.8650199100375175E-3</v>
      </c>
      <c r="I191">
        <v>2.8134314343333244E-3</v>
      </c>
      <c r="J191">
        <v>-4.3763634748756886E-3</v>
      </c>
      <c r="K191">
        <v>-1.6438297927379608E-2</v>
      </c>
      <c r="M191">
        <f t="shared" si="4"/>
        <v>-1.938509297339022E-3</v>
      </c>
      <c r="N191">
        <f t="shared" si="5"/>
        <v>0.99806149070266093</v>
      </c>
      <c r="O191">
        <f>PRODUCT($N$4:N191)-1</f>
        <v>6.2834790710965871E-2</v>
      </c>
    </row>
    <row r="192" spans="1:15" x14ac:dyDescent="0.25">
      <c r="A192" s="29">
        <v>45202</v>
      </c>
      <c r="B192">
        <v>-1.2752379290759563E-2</v>
      </c>
      <c r="C192">
        <v>-5.9482801705598831E-2</v>
      </c>
      <c r="D192">
        <v>-7.7046477235853672E-3</v>
      </c>
      <c r="E192">
        <v>1.1123724980279803E-3</v>
      </c>
      <c r="F192">
        <v>-3.2547253649681807E-3</v>
      </c>
      <c r="G192">
        <v>1.7986024031415582E-3</v>
      </c>
      <c r="H192">
        <v>-1.5101037919521332E-2</v>
      </c>
      <c r="I192">
        <v>-2.7704682201147079E-2</v>
      </c>
      <c r="J192">
        <v>-1.6483578830957413E-2</v>
      </c>
      <c r="K192">
        <v>-2.9712222516536713E-2</v>
      </c>
      <c r="M192">
        <f t="shared" si="4"/>
        <v>-1.7396193518093295E-2</v>
      </c>
      <c r="N192">
        <f t="shared" si="5"/>
        <v>0.98260380648190671</v>
      </c>
      <c r="O192">
        <f>PRODUCT($N$4:N192)-1</f>
        <v>4.4345511013995642E-2</v>
      </c>
    </row>
    <row r="193" spans="1:15" x14ac:dyDescent="0.25">
      <c r="A193" s="29">
        <v>45203</v>
      </c>
      <c r="B193">
        <v>1.2917103245854378E-2</v>
      </c>
      <c r="C193">
        <v>0</v>
      </c>
      <c r="D193">
        <v>1.1970262974500656E-2</v>
      </c>
      <c r="E193">
        <v>-9.4444490969181061E-3</v>
      </c>
      <c r="F193">
        <v>2.7300987858325243E-3</v>
      </c>
      <c r="G193">
        <v>-5.3859828040003777E-3</v>
      </c>
      <c r="H193">
        <v>7.3842494748532772E-3</v>
      </c>
      <c r="I193">
        <v>1.4247085899114609E-2</v>
      </c>
      <c r="J193">
        <v>7.8213019296526909E-3</v>
      </c>
      <c r="K193">
        <v>2.8707878664135933E-3</v>
      </c>
      <c r="M193">
        <f t="shared" si="4"/>
        <v>4.0469709697928498E-3</v>
      </c>
      <c r="N193">
        <f t="shared" si="5"/>
        <v>1.0040469709697928</v>
      </c>
      <c r="O193">
        <f>PRODUCT($N$4:N193)-1</f>
        <v>4.8571946979502734E-2</v>
      </c>
    </row>
    <row r="194" spans="1:15" x14ac:dyDescent="0.25">
      <c r="A194" s="29">
        <v>45204</v>
      </c>
      <c r="B194">
        <v>6.3762404024600983E-3</v>
      </c>
      <c r="C194">
        <v>-1.4665430411696434E-2</v>
      </c>
      <c r="D194">
        <v>4.1559832170605659E-3</v>
      </c>
      <c r="E194">
        <v>-8.412766270339489E-3</v>
      </c>
      <c r="F194">
        <v>-6.5129254944622517E-3</v>
      </c>
      <c r="G194">
        <v>1.6606464982032776E-2</v>
      </c>
      <c r="H194">
        <v>3.410527715459466E-3</v>
      </c>
      <c r="I194">
        <v>-4.0896753780543804E-3</v>
      </c>
      <c r="J194">
        <v>1.6629034653306007E-3</v>
      </c>
      <c r="K194">
        <v>2.1946649998426437E-2</v>
      </c>
      <c r="M194">
        <f t="shared" si="4"/>
        <v>7.2801864879115208E-5</v>
      </c>
      <c r="N194">
        <f t="shared" si="5"/>
        <v>1.000072801864879</v>
      </c>
      <c r="O194">
        <f>PRODUCT($N$4:N194)-1</f>
        <v>4.8648284972702571E-2</v>
      </c>
    </row>
    <row r="195" spans="1:15" x14ac:dyDescent="0.25">
      <c r="A195" s="29">
        <v>45205</v>
      </c>
      <c r="B195">
        <v>-1.0559903457760811E-3</v>
      </c>
      <c r="C195">
        <v>3.3488340675830841E-2</v>
      </c>
      <c r="D195">
        <v>7.1633360348641872E-3</v>
      </c>
      <c r="E195">
        <v>9.6153886988759041E-3</v>
      </c>
      <c r="F195">
        <v>2.8479245956987143E-3</v>
      </c>
      <c r="G195">
        <v>8.1675974652171135E-3</v>
      </c>
      <c r="H195">
        <v>2.7851084247231483E-2</v>
      </c>
      <c r="I195">
        <v>2.2674530744552612E-2</v>
      </c>
      <c r="J195">
        <v>-3.8738071452826262E-3</v>
      </c>
      <c r="K195">
        <v>1.1363625526428223E-2</v>
      </c>
      <c r="M195">
        <f t="shared" si="4"/>
        <v>1.3895437153206942E-2</v>
      </c>
      <c r="N195">
        <f t="shared" si="5"/>
        <v>1.013895437153207</v>
      </c>
      <c r="O195">
        <f>PRODUCT($N$4:N195)-1</f>
        <v>6.3219711312358928E-2</v>
      </c>
    </row>
    <row r="196" spans="1:15" x14ac:dyDescent="0.25">
      <c r="A196" s="29">
        <v>45208</v>
      </c>
      <c r="B196">
        <v>-3.1712190248072147E-3</v>
      </c>
      <c r="C196">
        <v>2.7003318537026644E-3</v>
      </c>
      <c r="D196">
        <v>6.3220751471817493E-3</v>
      </c>
      <c r="E196">
        <v>-7.8432094305753708E-3</v>
      </c>
      <c r="F196">
        <v>1.6717543825507164E-2</v>
      </c>
      <c r="G196">
        <v>1.2328298762440681E-2</v>
      </c>
      <c r="H196">
        <v>-5.4291798733174801E-4</v>
      </c>
      <c r="I196">
        <v>7.6816068030893803E-3</v>
      </c>
      <c r="J196">
        <v>-3.8888719864189625E-3</v>
      </c>
      <c r="K196">
        <v>1.779022254049778E-2</v>
      </c>
      <c r="M196">
        <f t="shared" si="4"/>
        <v>8.0964966728599621E-3</v>
      </c>
      <c r="N196">
        <f t="shared" si="5"/>
        <v>1.0080964966728601</v>
      </c>
      <c r="O196">
        <f>PRODUCT($N$4:N196)-1</f>
        <v>7.1828066167518578E-2</v>
      </c>
    </row>
    <row r="197" spans="1:15" x14ac:dyDescent="0.25">
      <c r="A197" s="29">
        <v>45209</v>
      </c>
      <c r="B197">
        <v>2.4390194565057755E-2</v>
      </c>
      <c r="C197">
        <v>3.3213634043931961E-2</v>
      </c>
      <c r="D197">
        <v>-2.3558617103844881E-3</v>
      </c>
      <c r="E197">
        <v>2.2586628329008818E-3</v>
      </c>
      <c r="F197">
        <v>9.3807578086853027E-3</v>
      </c>
      <c r="G197">
        <v>-4.8712384887039661E-3</v>
      </c>
      <c r="H197">
        <v>1.2987678870558739E-2</v>
      </c>
      <c r="I197">
        <v>1.3686712831258774E-2</v>
      </c>
      <c r="J197">
        <v>1.5616217628121376E-2</v>
      </c>
      <c r="K197">
        <v>-9.1998424613848329E-4</v>
      </c>
      <c r="M197">
        <f t="shared" ref="M197:M253" si="6">SUMPRODUCT($B$2:$K$2,B197:K197)</f>
        <v>1.0749893890556951E-2</v>
      </c>
      <c r="N197">
        <f t="shared" ref="N197:N253" si="7">1+M197</f>
        <v>1.010749893890557</v>
      </c>
      <c r="O197">
        <f>PRODUCT($N$4:N197)-1</f>
        <v>8.3350104147740245E-2</v>
      </c>
    </row>
    <row r="198" spans="1:15" x14ac:dyDescent="0.25">
      <c r="A198" s="29">
        <v>45210</v>
      </c>
      <c r="B198">
        <v>-4.5548610389232635E-2</v>
      </c>
      <c r="C198">
        <v>-4.3440652079880238E-3</v>
      </c>
      <c r="D198">
        <v>1.2122173793613911E-2</v>
      </c>
      <c r="E198">
        <v>8.4506822749972343E-3</v>
      </c>
      <c r="F198">
        <v>1.1643062345683575E-2</v>
      </c>
      <c r="G198">
        <v>9.4405757263302803E-3</v>
      </c>
      <c r="H198">
        <v>-2.8762292116880417E-2</v>
      </c>
      <c r="I198">
        <v>9.4001553952693939E-3</v>
      </c>
      <c r="J198">
        <v>2.7458071708679199E-3</v>
      </c>
      <c r="K198">
        <v>-1.3812120072543621E-2</v>
      </c>
      <c r="M198">
        <f t="shared" si="6"/>
        <v>2.0709911988543773E-3</v>
      </c>
      <c r="N198">
        <f t="shared" si="7"/>
        <v>1.0020709911988543</v>
      </c>
      <c r="O198">
        <f>PRODUCT($N$4:N198)-1</f>
        <v>8.5593712678708078E-2</v>
      </c>
    </row>
    <row r="199" spans="1:15" x14ac:dyDescent="0.25">
      <c r="A199" s="29">
        <v>45211</v>
      </c>
      <c r="B199">
        <v>-1.0846235090866685E-3</v>
      </c>
      <c r="C199">
        <v>-3.2286204397678375E-2</v>
      </c>
      <c r="D199">
        <v>-1.0732655413448811E-2</v>
      </c>
      <c r="E199">
        <v>-5.0279414281249046E-3</v>
      </c>
      <c r="F199">
        <v>-4.5416476204991341E-3</v>
      </c>
      <c r="G199">
        <v>-8.65950807929039E-3</v>
      </c>
      <c r="H199">
        <v>2.8760785236954689E-2</v>
      </c>
      <c r="I199">
        <v>-2.7768425643444061E-2</v>
      </c>
      <c r="J199">
        <v>-8.214656263589859E-3</v>
      </c>
      <c r="K199">
        <v>-1.307192724198103E-2</v>
      </c>
      <c r="M199">
        <f t="shared" si="6"/>
        <v>-1.1791993157276554E-2</v>
      </c>
      <c r="N199">
        <f t="shared" si="7"/>
        <v>0.98820800684272347</v>
      </c>
      <c r="O199">
        <f>PRODUCT($N$4:N199)-1</f>
        <v>7.2792399047218348E-2</v>
      </c>
    </row>
    <row r="200" spans="1:15" x14ac:dyDescent="0.25">
      <c r="A200" s="29">
        <v>45212</v>
      </c>
      <c r="B200">
        <v>2.0629703998565674E-2</v>
      </c>
      <c r="C200">
        <v>2.7051155921071768E-3</v>
      </c>
      <c r="D200">
        <v>3.3019324764609337E-3</v>
      </c>
      <c r="E200">
        <v>-1.6844427213072777E-2</v>
      </c>
      <c r="F200">
        <v>-7.6213250868022442E-3</v>
      </c>
      <c r="G200">
        <v>3.8784019649028778E-2</v>
      </c>
      <c r="H200">
        <v>-1.0392295196652412E-2</v>
      </c>
      <c r="I200">
        <v>-2.1943544968962669E-2</v>
      </c>
      <c r="J200">
        <v>-3.2026499509811401E-2</v>
      </c>
      <c r="K200">
        <v>-2.8381962329149246E-3</v>
      </c>
      <c r="M200">
        <f t="shared" si="6"/>
        <v>-6.1082475982937731E-4</v>
      </c>
      <c r="N200">
        <f t="shared" si="7"/>
        <v>0.99938917524017057</v>
      </c>
      <c r="O200">
        <f>PRODUCT($N$4:N200)-1</f>
        <v>7.2137110887723566E-2</v>
      </c>
    </row>
    <row r="201" spans="1:15" x14ac:dyDescent="0.25">
      <c r="A201" s="29">
        <v>45215</v>
      </c>
      <c r="B201">
        <v>-1.5957407653331757E-2</v>
      </c>
      <c r="C201">
        <v>8.0935386940836906E-3</v>
      </c>
      <c r="D201">
        <v>1.3477460481226444E-2</v>
      </c>
      <c r="E201">
        <v>-9.1376267373561859E-3</v>
      </c>
      <c r="F201">
        <v>2.8054933995008469E-2</v>
      </c>
      <c r="G201">
        <v>3.229064866900444E-2</v>
      </c>
      <c r="H201">
        <v>3.6484026350080967E-3</v>
      </c>
      <c r="I201">
        <v>2.6175236329436302E-2</v>
      </c>
      <c r="J201">
        <v>1.5402084216475487E-2</v>
      </c>
      <c r="K201">
        <v>1.992410235106945E-2</v>
      </c>
      <c r="M201">
        <f t="shared" si="6"/>
        <v>1.9429545700957323E-2</v>
      </c>
      <c r="N201">
        <f t="shared" si="7"/>
        <v>1.0194295457009572</v>
      </c>
      <c r="O201">
        <f>PRODUCT($N$4:N201)-1</f>
        <v>9.2968247881408894E-2</v>
      </c>
    </row>
    <row r="202" spans="1:15" x14ac:dyDescent="0.25">
      <c r="A202" s="29">
        <v>45216</v>
      </c>
      <c r="B202">
        <v>1.6216175630688667E-2</v>
      </c>
      <c r="C202">
        <v>1.2488880194723606E-2</v>
      </c>
      <c r="D202">
        <v>1.2834418565034866E-2</v>
      </c>
      <c r="E202">
        <v>-6.9164745509624481E-3</v>
      </c>
      <c r="F202">
        <v>-3.9130211807787418E-3</v>
      </c>
      <c r="G202">
        <v>1.9224507734179497E-2</v>
      </c>
      <c r="H202">
        <v>1.0806403588503599E-3</v>
      </c>
      <c r="I202">
        <v>-5.379166454076767E-3</v>
      </c>
      <c r="J202">
        <v>2.696637436747551E-2</v>
      </c>
      <c r="K202">
        <v>1.3023287989199162E-2</v>
      </c>
      <c r="M202">
        <f t="shared" si="6"/>
        <v>5.7006099086298646E-3</v>
      </c>
      <c r="N202">
        <f t="shared" si="7"/>
        <v>1.0057006099086299</v>
      </c>
      <c r="O202">
        <f>PRODUCT($N$4:N202)-1</f>
        <v>9.9198833505099504E-2</v>
      </c>
    </row>
    <row r="203" spans="1:15" x14ac:dyDescent="0.25">
      <c r="A203" s="29">
        <v>45217</v>
      </c>
      <c r="B203">
        <v>9.5744850113987923E-3</v>
      </c>
      <c r="C203">
        <v>-1.4977979473769665E-2</v>
      </c>
      <c r="D203">
        <v>-8.3969933912158012E-3</v>
      </c>
      <c r="E203">
        <v>-3.4822674933820963E-3</v>
      </c>
      <c r="F203">
        <v>-8.8464856147766113E-2</v>
      </c>
      <c r="G203">
        <v>-1.1828671209514141E-2</v>
      </c>
      <c r="H203">
        <v>-6.869787466712296E-4</v>
      </c>
      <c r="I203">
        <v>-6.2805280089378357E-2</v>
      </c>
      <c r="J203">
        <v>-2.6805238798260689E-2</v>
      </c>
      <c r="K203">
        <v>-2.9384816065430641E-2</v>
      </c>
      <c r="M203">
        <f t="shared" si="6"/>
        <v>-3.8444723104487495E-2</v>
      </c>
      <c r="N203">
        <f t="shared" si="7"/>
        <v>0.96155527689551246</v>
      </c>
      <c r="O203">
        <f>PRODUCT($N$4:N203)-1</f>
        <v>5.6940438714220276E-2</v>
      </c>
    </row>
    <row r="204" spans="1:15" x14ac:dyDescent="0.25">
      <c r="A204" s="29">
        <v>45218</v>
      </c>
      <c r="B204">
        <v>-2.212856151163578E-2</v>
      </c>
      <c r="C204">
        <v>-1.0733442381024361E-2</v>
      </c>
      <c r="D204">
        <v>-1.3394844718277454E-2</v>
      </c>
      <c r="E204">
        <v>-1.2813005596399307E-2</v>
      </c>
      <c r="F204">
        <v>7.8356405720114708E-4</v>
      </c>
      <c r="G204">
        <v>-1.2617256492376328E-2</v>
      </c>
      <c r="H204">
        <v>-5.6469133123755455E-3</v>
      </c>
      <c r="I204">
        <v>-1.6195137053728104E-2</v>
      </c>
      <c r="J204">
        <v>-9.5559339970350266E-3</v>
      </c>
      <c r="K204">
        <v>-2.3651845753192902E-2</v>
      </c>
      <c r="M204">
        <f t="shared" si="6"/>
        <v>-1.0379149376360808E-2</v>
      </c>
      <c r="N204">
        <f t="shared" si="7"/>
        <v>0.98962085062363925</v>
      </c>
      <c r="O204">
        <f>PRODUCT($N$4:N204)-1</f>
        <v>4.5970296018889023E-2</v>
      </c>
    </row>
    <row r="205" spans="1:15" x14ac:dyDescent="0.25">
      <c r="A205" s="29">
        <v>45219</v>
      </c>
      <c r="B205">
        <v>3.5560335963964462E-2</v>
      </c>
      <c r="C205">
        <v>-1.2658257968723774E-2</v>
      </c>
      <c r="D205">
        <v>-1.7634224146604538E-2</v>
      </c>
      <c r="E205">
        <v>-2.5368748232722282E-2</v>
      </c>
      <c r="F205">
        <v>-1.4204984530806541E-2</v>
      </c>
      <c r="G205">
        <v>-7.5360266491770744E-3</v>
      </c>
      <c r="H205">
        <v>-1.7975306138396263E-2</v>
      </c>
      <c r="I205">
        <v>6.0548665933310986E-3</v>
      </c>
      <c r="J205">
        <v>-2.2701561450958252E-2</v>
      </c>
      <c r="K205">
        <v>-3.585270419716835E-2</v>
      </c>
      <c r="M205">
        <f t="shared" si="6"/>
        <v>-8.8384479087198851E-3</v>
      </c>
      <c r="N205">
        <f t="shared" si="7"/>
        <v>0.9911615520912801</v>
      </c>
      <c r="O205">
        <f>PRODUCT($N$4:N205)-1</f>
        <v>3.6725542043457793E-2</v>
      </c>
    </row>
    <row r="206" spans="1:15" x14ac:dyDescent="0.25">
      <c r="A206" s="29">
        <v>45222</v>
      </c>
      <c r="B206">
        <v>2.0812130533158779E-3</v>
      </c>
      <c r="C206">
        <v>-1.2820543721318245E-2</v>
      </c>
      <c r="D206">
        <v>-1.0007959790527821E-2</v>
      </c>
      <c r="E206">
        <v>1.3922490179538727E-2</v>
      </c>
      <c r="F206">
        <v>-2.0366547629237175E-2</v>
      </c>
      <c r="G206">
        <v>-2.773192897439003E-2</v>
      </c>
      <c r="H206">
        <v>-1.3627711683511734E-2</v>
      </c>
      <c r="I206">
        <v>6.9588632322847843E-3</v>
      </c>
      <c r="J206">
        <v>-1.1033602058887482E-2</v>
      </c>
      <c r="K206">
        <v>-1.1055242270231247E-2</v>
      </c>
      <c r="M206">
        <f t="shared" si="6"/>
        <v>-1.1341215071321154E-2</v>
      </c>
      <c r="N206">
        <f t="shared" si="7"/>
        <v>0.98865878492867887</v>
      </c>
      <c r="O206">
        <f>PRODUCT($N$4:N206)-1</f>
        <v>2.49678147012109E-2</v>
      </c>
    </row>
    <row r="207" spans="1:15" x14ac:dyDescent="0.25">
      <c r="A207" s="29">
        <v>45223</v>
      </c>
      <c r="B207">
        <v>1.5576284378767014E-2</v>
      </c>
      <c r="C207">
        <v>3.3395234495401382E-2</v>
      </c>
      <c r="D207">
        <v>1.5564846806228161E-2</v>
      </c>
      <c r="E207">
        <v>-1.7313487827777863E-2</v>
      </c>
      <c r="F207">
        <v>-5.7878776715369895E-5</v>
      </c>
      <c r="G207">
        <v>7.1306987665593624E-3</v>
      </c>
      <c r="H207">
        <v>-8.411899209022522E-3</v>
      </c>
      <c r="I207">
        <v>-6.1636501923203468E-3</v>
      </c>
      <c r="J207">
        <v>-4.1691191494464874E-2</v>
      </c>
      <c r="K207">
        <v>1.2195110321044922E-2</v>
      </c>
      <c r="M207">
        <f t="shared" si="6"/>
        <v>3.181043819105645E-3</v>
      </c>
      <c r="N207">
        <f t="shared" si="7"/>
        <v>1.0031810438191056</v>
      </c>
      <c r="O207">
        <f>PRODUCT($N$4:N207)-1</f>
        <v>2.8228282232948265E-2</v>
      </c>
    </row>
    <row r="208" spans="1:15" x14ac:dyDescent="0.25">
      <c r="A208" s="29">
        <v>45224</v>
      </c>
      <c r="B208">
        <v>-8.1799514591693878E-3</v>
      </c>
      <c r="C208">
        <v>-8.7073631584644318E-2</v>
      </c>
      <c r="D208">
        <v>8.0581186339259148E-3</v>
      </c>
      <c r="E208">
        <v>3.949000034481287E-3</v>
      </c>
      <c r="F208">
        <v>-1.5231394208967686E-2</v>
      </c>
      <c r="G208">
        <v>1.5171974897384644E-2</v>
      </c>
      <c r="H208">
        <v>-2.6735437568277121E-3</v>
      </c>
      <c r="I208">
        <v>2.4431699421256781E-3</v>
      </c>
      <c r="J208">
        <v>2.5735300034284592E-2</v>
      </c>
      <c r="K208">
        <v>-5.020099226385355E-3</v>
      </c>
      <c r="M208">
        <f t="shared" si="6"/>
        <v>-1.0756828412524731E-2</v>
      </c>
      <c r="N208">
        <f t="shared" si="7"/>
        <v>0.98924317158747532</v>
      </c>
      <c r="O208">
        <f>PRODUCT($N$4:N208)-1</f>
        <v>1.7167807032063553E-2</v>
      </c>
    </row>
    <row r="209" spans="1:15" x14ac:dyDescent="0.25">
      <c r="A209" s="29">
        <v>45225</v>
      </c>
      <c r="B209">
        <v>1.8556732684373856E-2</v>
      </c>
      <c r="C209">
        <v>5.8996523730456829E-3</v>
      </c>
      <c r="D209">
        <v>2.8213213663548231E-3</v>
      </c>
      <c r="E209">
        <v>3.328308928757906E-3</v>
      </c>
      <c r="F209">
        <v>-1.3290958479046822E-2</v>
      </c>
      <c r="G209">
        <v>9.9630618933588266E-4</v>
      </c>
      <c r="H209">
        <v>-1.3454998843371868E-2</v>
      </c>
      <c r="I209">
        <v>8.9988661929965019E-3</v>
      </c>
      <c r="J209">
        <v>2.6881765574216843E-2</v>
      </c>
      <c r="K209">
        <v>3.2290585339069366E-2</v>
      </c>
      <c r="M209">
        <f t="shared" si="6"/>
        <v>2.2200327509488407E-3</v>
      </c>
      <c r="N209">
        <f t="shared" si="7"/>
        <v>1.0022200327509487</v>
      </c>
      <c r="O209">
        <f>PRODUCT($N$4:N209)-1</f>
        <v>1.9425952876885422E-2</v>
      </c>
    </row>
    <row r="210" spans="1:15" x14ac:dyDescent="0.25">
      <c r="A210" s="29">
        <v>45226</v>
      </c>
      <c r="B210">
        <v>-1.0121689410880208E-3</v>
      </c>
      <c r="C210">
        <v>7.8202225267887115E-3</v>
      </c>
      <c r="D210">
        <v>-1.813066378235817E-2</v>
      </c>
      <c r="E210">
        <v>-2.7141179889440536E-2</v>
      </c>
      <c r="F210">
        <v>-1.0728352703154087E-2</v>
      </c>
      <c r="G210">
        <v>-1.6257457435131073E-2</v>
      </c>
      <c r="H210">
        <v>-5.434463731944561E-3</v>
      </c>
      <c r="I210">
        <v>-1.4863994438201189E-3</v>
      </c>
      <c r="J210">
        <v>-2.3851066827774048E-2</v>
      </c>
      <c r="K210">
        <v>5.8651440776884556E-3</v>
      </c>
      <c r="M210">
        <f t="shared" si="6"/>
        <v>-7.4962272333397644E-3</v>
      </c>
      <c r="N210">
        <f t="shared" si="7"/>
        <v>0.99250377276666024</v>
      </c>
      <c r="O210">
        <f>PRODUCT($N$4:N210)-1</f>
        <v>1.1784104286556296E-2</v>
      </c>
    </row>
    <row r="211" spans="1:15" x14ac:dyDescent="0.25">
      <c r="A211" s="29">
        <v>45229</v>
      </c>
      <c r="B211">
        <v>-2.0262922625988722E-3</v>
      </c>
      <c r="C211">
        <v>-9.6995424246415496E-4</v>
      </c>
      <c r="D211">
        <v>1.7510444158688188E-3</v>
      </c>
      <c r="E211">
        <v>2.2287718951702118E-2</v>
      </c>
      <c r="F211">
        <v>2.2472653537988663E-2</v>
      </c>
      <c r="G211">
        <v>2.3271519690752029E-2</v>
      </c>
      <c r="H211">
        <v>-5.5692614987492561E-3</v>
      </c>
      <c r="I211">
        <v>1.3397792354226112E-2</v>
      </c>
      <c r="J211">
        <v>1.191808725707233E-3</v>
      </c>
      <c r="K211">
        <v>3.3041801303625107E-2</v>
      </c>
      <c r="M211">
        <f t="shared" si="6"/>
        <v>1.3502834774936443E-2</v>
      </c>
      <c r="N211">
        <f t="shared" si="7"/>
        <v>1.0135028347749364</v>
      </c>
      <c r="O211">
        <f>PRODUCT($N$4:N211)-1</f>
        <v>2.5446057874644712E-2</v>
      </c>
    </row>
    <row r="212" spans="1:15" x14ac:dyDescent="0.25">
      <c r="A212" s="29">
        <v>45230</v>
      </c>
      <c r="B212">
        <v>-1.5228483825922012E-2</v>
      </c>
      <c r="C212">
        <v>1.4563069678843021E-2</v>
      </c>
      <c r="D212">
        <v>1.7161954194307327E-2</v>
      </c>
      <c r="E212">
        <v>-1.3917936943471432E-2</v>
      </c>
      <c r="F212">
        <v>1.27275250852108E-2</v>
      </c>
      <c r="G212">
        <v>1.7798252403736115E-2</v>
      </c>
      <c r="H212">
        <v>2.4673735722899437E-2</v>
      </c>
      <c r="I212">
        <v>3.672504099085927E-4</v>
      </c>
      <c r="J212">
        <v>0</v>
      </c>
      <c r="K212">
        <v>1.5992481261491776E-2</v>
      </c>
      <c r="M212">
        <f t="shared" si="6"/>
        <v>9.8735977956754054E-3</v>
      </c>
      <c r="N212">
        <f t="shared" si="7"/>
        <v>1.0098735977956754</v>
      </c>
      <c r="O212">
        <f>PRODUCT($N$4:N212)-1</f>
        <v>3.5570899811259826E-2</v>
      </c>
    </row>
    <row r="213" spans="1:15" x14ac:dyDescent="0.25">
      <c r="A213" s="29">
        <v>45231</v>
      </c>
      <c r="B213">
        <v>-2.2680440917611122E-2</v>
      </c>
      <c r="C213">
        <v>-4.497610405087471E-2</v>
      </c>
      <c r="D213">
        <v>1.7809707671403885E-2</v>
      </c>
      <c r="E213">
        <v>-3.0756875639781356E-4</v>
      </c>
      <c r="F213">
        <v>6.2838299199938774E-3</v>
      </c>
      <c r="G213">
        <v>0.21599741280078888</v>
      </c>
      <c r="H213">
        <v>5.2077677100896835E-3</v>
      </c>
      <c r="I213">
        <v>3.7444952875375748E-2</v>
      </c>
      <c r="J213">
        <v>3.3928669989109039E-2</v>
      </c>
      <c r="K213">
        <v>1.4814800582826138E-2</v>
      </c>
      <c r="M213">
        <f t="shared" si="6"/>
        <v>4.3690634488616049E-2</v>
      </c>
      <c r="N213">
        <f t="shared" si="7"/>
        <v>1.0436906344886161</v>
      </c>
      <c r="O213">
        <f>PRODUCT($N$4:N213)-1</f>
        <v>8.0815649481960961E-2</v>
      </c>
    </row>
    <row r="214" spans="1:15" x14ac:dyDescent="0.25">
      <c r="A214" s="29">
        <v>45232</v>
      </c>
      <c r="B214">
        <v>-2.1096523851156235E-3</v>
      </c>
      <c r="C214">
        <v>8.9178398251533508E-2</v>
      </c>
      <c r="D214">
        <v>-1.5352472837548703E-4</v>
      </c>
      <c r="E214">
        <v>7.2900734841823578E-2</v>
      </c>
      <c r="F214">
        <v>-2.8331323992460966E-3</v>
      </c>
      <c r="G214">
        <v>-1.4380849897861481E-2</v>
      </c>
      <c r="H214">
        <v>2.8725346550345421E-2</v>
      </c>
      <c r="I214">
        <v>5.3078420460224152E-3</v>
      </c>
      <c r="J214">
        <v>5.9297565370798111E-2</v>
      </c>
      <c r="K214">
        <v>1.4598526060581207E-2</v>
      </c>
      <c r="M214">
        <f t="shared" si="6"/>
        <v>1.735692959235902E-2</v>
      </c>
      <c r="N214">
        <f t="shared" si="7"/>
        <v>1.017356929592359</v>
      </c>
      <c r="O214">
        <f>PRODUCT($N$4:N214)-1</f>
        <v>9.9575290612339051E-2</v>
      </c>
    </row>
    <row r="215" spans="1:15" x14ac:dyDescent="0.25">
      <c r="A215" s="29">
        <v>45233</v>
      </c>
      <c r="B215">
        <v>1.0571066522970796E-3</v>
      </c>
      <c r="C215">
        <v>3.6798581480979919E-2</v>
      </c>
      <c r="D215">
        <v>9.9785309284925461E-3</v>
      </c>
      <c r="E215">
        <v>1.5481567941606045E-2</v>
      </c>
      <c r="F215">
        <v>1.8728954717516899E-2</v>
      </c>
      <c r="G215">
        <v>-1.5401235781610012E-2</v>
      </c>
      <c r="H215">
        <v>-4.5375400222837925E-3</v>
      </c>
      <c r="I215">
        <v>1.8479395657777786E-2</v>
      </c>
      <c r="J215">
        <v>2.9201140627264977E-2</v>
      </c>
      <c r="K215">
        <v>1.9784197211265564E-2</v>
      </c>
      <c r="M215">
        <f t="shared" si="6"/>
        <v>1.2564767363974596E-2</v>
      </c>
      <c r="N215">
        <f t="shared" si="7"/>
        <v>1.0125647673639746</v>
      </c>
      <c r="O215">
        <f>PRODUCT($N$4:N215)-1</f>
        <v>0.11339119833805777</v>
      </c>
    </row>
    <row r="216" spans="1:15" x14ac:dyDescent="0.25">
      <c r="A216" s="29">
        <v>45236</v>
      </c>
      <c r="B216">
        <v>1.1615592055022717E-2</v>
      </c>
      <c r="C216">
        <v>5.3238212130963802E-3</v>
      </c>
      <c r="D216">
        <v>-5.9279431588947773E-3</v>
      </c>
      <c r="E216">
        <v>-4.5172176323831081E-3</v>
      </c>
      <c r="F216">
        <v>-4.8949890770018101E-3</v>
      </c>
      <c r="G216">
        <v>9.6048926934599876E-3</v>
      </c>
      <c r="H216">
        <v>-4.6082856133580208E-3</v>
      </c>
      <c r="I216">
        <v>-3.1104253139346838E-3</v>
      </c>
      <c r="J216">
        <v>-5.3534412290900946E-4</v>
      </c>
      <c r="K216">
        <v>-9.7002303227782249E-3</v>
      </c>
      <c r="M216">
        <f t="shared" si="6"/>
        <v>2.7566738685039379E-5</v>
      </c>
      <c r="N216">
        <f t="shared" si="7"/>
        <v>1.0000275667386851</v>
      </c>
      <c r="O216">
        <f>PRODUCT($N$4:N216)-1</f>
        <v>0.11342189090227661</v>
      </c>
    </row>
    <row r="217" spans="1:15" x14ac:dyDescent="0.25">
      <c r="A217" s="29">
        <v>45237</v>
      </c>
      <c r="B217">
        <v>-8.3507224917411804E-3</v>
      </c>
      <c r="C217">
        <v>6.1341542750597E-2</v>
      </c>
      <c r="D217">
        <v>3.057590511161834E-4</v>
      </c>
      <c r="E217">
        <v>-1.7015758203342557E-3</v>
      </c>
      <c r="F217">
        <v>5.1476486260071397E-4</v>
      </c>
      <c r="G217">
        <v>6.7953248508274555E-3</v>
      </c>
      <c r="H217">
        <v>-4.6296203508973122E-3</v>
      </c>
      <c r="I217">
        <v>1.9587468355894089E-2</v>
      </c>
      <c r="J217">
        <v>-1.1783572845160961E-2</v>
      </c>
      <c r="K217">
        <v>-3.561884630471468E-3</v>
      </c>
      <c r="M217">
        <f t="shared" si="6"/>
        <v>1.1929392101568029E-2</v>
      </c>
      <c r="N217">
        <f t="shared" si="7"/>
        <v>1.011929392101568</v>
      </c>
      <c r="O217">
        <f>PRODUCT($N$4:N217)-1</f>
        <v>0.1267043372133192</v>
      </c>
    </row>
    <row r="218" spans="1:15" x14ac:dyDescent="0.25">
      <c r="A218" s="29">
        <v>45238</v>
      </c>
      <c r="B218">
        <v>9.473700076341629E-3</v>
      </c>
      <c r="C218">
        <v>0.10519753396511078</v>
      </c>
      <c r="D218">
        <v>-7.3371408507227898E-3</v>
      </c>
      <c r="E218">
        <v>1.3068155385553837E-2</v>
      </c>
      <c r="F218">
        <v>4.5736241736449301E-4</v>
      </c>
      <c r="G218">
        <v>-1.079917699098587E-2</v>
      </c>
      <c r="H218">
        <v>-3.8423142395913601E-3</v>
      </c>
      <c r="I218">
        <v>-4.0802084840834141E-3</v>
      </c>
      <c r="J218">
        <v>-1.9512226805090904E-2</v>
      </c>
      <c r="K218">
        <v>0</v>
      </c>
      <c r="M218">
        <f t="shared" si="6"/>
        <v>1.0681256371868871E-2</v>
      </c>
      <c r="N218">
        <f t="shared" si="7"/>
        <v>1.0106812563718688</v>
      </c>
      <c r="O218">
        <f>PRODUCT($N$4:N218)-1</f>
        <v>0.13873895509439116</v>
      </c>
    </row>
    <row r="219" spans="1:15" x14ac:dyDescent="0.25">
      <c r="A219" s="29">
        <v>45239</v>
      </c>
      <c r="B219">
        <v>-1.7726806923747063E-2</v>
      </c>
      <c r="C219">
        <v>3.7622416857630014E-3</v>
      </c>
      <c r="D219">
        <v>4.773599561303854E-3</v>
      </c>
      <c r="E219">
        <v>2.3555809631943703E-2</v>
      </c>
      <c r="F219">
        <v>-1.6114316880702972E-2</v>
      </c>
      <c r="G219">
        <v>-8.4606325253844261E-3</v>
      </c>
      <c r="H219">
        <v>-2.6898030191659927E-3</v>
      </c>
      <c r="I219">
        <v>-1.9289877265691757E-2</v>
      </c>
      <c r="J219">
        <v>-1.6583705320954323E-2</v>
      </c>
      <c r="K219">
        <v>-6.2555582262575626E-3</v>
      </c>
      <c r="M219">
        <f t="shared" si="6"/>
        <v>-9.090713102853561E-3</v>
      </c>
      <c r="N219">
        <f t="shared" si="7"/>
        <v>0.99090928689714641</v>
      </c>
      <c r="O219">
        <f>PRODUCT($N$4:N219)-1</f>
        <v>0.12838700595458485</v>
      </c>
    </row>
    <row r="220" spans="1:15" x14ac:dyDescent="0.25">
      <c r="A220" s="29">
        <v>45240</v>
      </c>
      <c r="B220">
        <v>-7.4309655465185642E-3</v>
      </c>
      <c r="C220">
        <v>3.4482762217521667E-2</v>
      </c>
      <c r="D220">
        <v>9.8084202036261559E-3</v>
      </c>
      <c r="E220">
        <v>2.1918308921158314E-3</v>
      </c>
      <c r="F220">
        <v>1.1993554420769215E-2</v>
      </c>
      <c r="G220">
        <v>-7.4318866245448589E-3</v>
      </c>
      <c r="H220">
        <v>1.2365823611617088E-2</v>
      </c>
      <c r="I220">
        <v>2.1932085976004601E-2</v>
      </c>
      <c r="J220">
        <v>2.1360266953706741E-2</v>
      </c>
      <c r="K220">
        <v>8.9928405359387398E-3</v>
      </c>
      <c r="M220">
        <f t="shared" si="6"/>
        <v>1.2469659670811612E-2</v>
      </c>
      <c r="N220">
        <f t="shared" si="7"/>
        <v>1.0124696596708116</v>
      </c>
      <c r="O220">
        <f>PRODUCT($N$4:N220)-1</f>
        <v>0.14245760789580464</v>
      </c>
    </row>
    <row r="221" spans="1:15" x14ac:dyDescent="0.25">
      <c r="A221" s="29">
        <v>45243</v>
      </c>
      <c r="B221">
        <v>3.2085275743156672E-3</v>
      </c>
      <c r="C221">
        <v>-6.5217502415180206E-3</v>
      </c>
      <c r="D221">
        <v>1.2141725746914744E-3</v>
      </c>
      <c r="E221">
        <v>2.4056784808635712E-2</v>
      </c>
      <c r="F221">
        <v>-1.093098777346313E-3</v>
      </c>
      <c r="G221">
        <v>-9.7061088308691978E-3</v>
      </c>
      <c r="H221">
        <v>1.4677782543003559E-2</v>
      </c>
      <c r="I221">
        <v>4.9395491369068623E-3</v>
      </c>
      <c r="J221">
        <v>3.3021168783307076E-3</v>
      </c>
      <c r="K221">
        <v>9.8038911819458008E-3</v>
      </c>
      <c r="M221">
        <f t="shared" si="6"/>
        <v>8.6036332582258034E-4</v>
      </c>
      <c r="N221">
        <f t="shared" si="7"/>
        <v>1.0008603633258226</v>
      </c>
      <c r="O221">
        <f>PRODUCT($N$4:N221)-1</f>
        <v>0.14344053652294519</v>
      </c>
    </row>
    <row r="222" spans="1:15" x14ac:dyDescent="0.25">
      <c r="A222" s="29">
        <v>45244</v>
      </c>
      <c r="B222">
        <v>1.8123675137758255E-2</v>
      </c>
      <c r="C222">
        <v>5.1787018775939941E-2</v>
      </c>
      <c r="D222">
        <v>7.1244686841964722E-3</v>
      </c>
      <c r="E222">
        <v>2.0288333296775818E-2</v>
      </c>
      <c r="F222">
        <v>2.8220893815159798E-2</v>
      </c>
      <c r="G222">
        <v>2.7163295075297356E-2</v>
      </c>
      <c r="H222">
        <v>6.1181046068668365E-2</v>
      </c>
      <c r="I222">
        <v>8.5762672126293182E-2</v>
      </c>
      <c r="J222">
        <v>9.8738409578800201E-2</v>
      </c>
      <c r="K222">
        <v>7.8552544116973877E-2</v>
      </c>
      <c r="M222">
        <f t="shared" si="6"/>
        <v>4.819447920435501E-2</v>
      </c>
      <c r="N222">
        <f t="shared" si="7"/>
        <v>1.0481944792043549</v>
      </c>
      <c r="O222">
        <f>PRODUCT($N$4:N222)-1</f>
        <v>0.19854805768181683</v>
      </c>
    </row>
    <row r="223" spans="1:15" x14ac:dyDescent="0.25">
      <c r="A223" s="29">
        <v>45245</v>
      </c>
      <c r="B223">
        <v>5.2356221713125706E-3</v>
      </c>
      <c r="C223">
        <v>4.1608507744967937E-3</v>
      </c>
      <c r="D223">
        <v>1.3545504771173E-3</v>
      </c>
      <c r="E223">
        <v>-8.421044796705246E-3</v>
      </c>
      <c r="F223">
        <v>1.9100451841950417E-2</v>
      </c>
      <c r="G223">
        <v>-8.996778167784214E-3</v>
      </c>
      <c r="H223">
        <v>-1.3351386412978172E-2</v>
      </c>
      <c r="I223">
        <v>-4.6830978244543076E-3</v>
      </c>
      <c r="J223">
        <v>-5.4917926900088787E-3</v>
      </c>
      <c r="K223">
        <v>-2.373158372938633E-2</v>
      </c>
      <c r="M223">
        <f t="shared" si="6"/>
        <v>1.4748696712592541E-5</v>
      </c>
      <c r="N223">
        <f t="shared" si="7"/>
        <v>1.0000147486967126</v>
      </c>
      <c r="O223">
        <f>PRODUCT($N$4:N223)-1</f>
        <v>0.19856573470361494</v>
      </c>
    </row>
    <row r="224" spans="1:15" x14ac:dyDescent="0.25">
      <c r="A224" s="29">
        <v>45246</v>
      </c>
      <c r="B224">
        <v>-2.0833809394389391E-3</v>
      </c>
      <c r="C224">
        <v>-2.5552479550242424E-2</v>
      </c>
      <c r="D224">
        <v>7.9663125798106194E-3</v>
      </c>
      <c r="E224">
        <v>-2.7070075273513794E-2</v>
      </c>
      <c r="F224">
        <v>-1.7972981557250023E-2</v>
      </c>
      <c r="G224">
        <v>-7.9779122024774551E-3</v>
      </c>
      <c r="H224">
        <v>6.6713429987430573E-3</v>
      </c>
      <c r="I224">
        <v>-1.9918391481041908E-2</v>
      </c>
      <c r="J224">
        <v>-2.1084340289235115E-2</v>
      </c>
      <c r="K224">
        <v>-1.5926280990242958E-2</v>
      </c>
      <c r="M224">
        <f t="shared" si="6"/>
        <v>-1.4549650278299337E-2</v>
      </c>
      <c r="N224">
        <f t="shared" si="7"/>
        <v>0.98545034972170065</v>
      </c>
      <c r="O224">
        <f>PRODUCT($N$4:N224)-1</f>
        <v>0.18112702242812451</v>
      </c>
    </row>
    <row r="225" spans="1:15" x14ac:dyDescent="0.25">
      <c r="A225" s="29">
        <v>45247</v>
      </c>
      <c r="B225">
        <v>5.2192267030477524E-3</v>
      </c>
      <c r="C225">
        <v>1.4883064664900303E-2</v>
      </c>
      <c r="D225">
        <v>-8.9468475198373199E-4</v>
      </c>
      <c r="E225">
        <v>-7.0921527221798897E-3</v>
      </c>
      <c r="F225">
        <v>-3.3021566923707724E-3</v>
      </c>
      <c r="G225">
        <v>0</v>
      </c>
      <c r="H225">
        <v>5.8751646429300308E-3</v>
      </c>
      <c r="I225">
        <v>4.6406961046159267E-3</v>
      </c>
      <c r="J225">
        <v>0</v>
      </c>
      <c r="K225">
        <v>2.0442910492420197E-2</v>
      </c>
      <c r="M225">
        <f t="shared" si="6"/>
        <v>3.2707093132727598E-3</v>
      </c>
      <c r="N225">
        <f t="shared" si="7"/>
        <v>1.0032707093132727</v>
      </c>
      <c r="O225">
        <f>PRODUCT($N$4:N225)-1</f>
        <v>0.18499014558053828</v>
      </c>
    </row>
    <row r="226" spans="1:15" x14ac:dyDescent="0.25">
      <c r="A226" s="29">
        <v>45250</v>
      </c>
      <c r="B226">
        <v>7.2689196094870567E-3</v>
      </c>
      <c r="C226">
        <v>-6.2849270179867744E-3</v>
      </c>
      <c r="D226">
        <v>7.3134009726345539E-3</v>
      </c>
      <c r="E226">
        <v>3.736254945397377E-2</v>
      </c>
      <c r="F226">
        <v>-1.2354066129773855E-3</v>
      </c>
      <c r="G226">
        <v>7.2101582773029804E-3</v>
      </c>
      <c r="H226">
        <v>-2.3357690952252597E-4</v>
      </c>
      <c r="I226">
        <v>7.0086405612528324E-3</v>
      </c>
      <c r="J226">
        <v>-7.1794558316469193E-3</v>
      </c>
      <c r="K226">
        <v>4.1736387647688389E-3</v>
      </c>
      <c r="M226">
        <f t="shared" si="6"/>
        <v>3.5326458217410693E-3</v>
      </c>
      <c r="N226">
        <f t="shared" si="7"/>
        <v>1.0035326458217411</v>
      </c>
      <c r="O226">
        <f>PRODUCT($N$4:N226)-1</f>
        <v>0.18917629606712771</v>
      </c>
    </row>
    <row r="227" spans="1:15" x14ac:dyDescent="0.25">
      <c r="A227" s="29">
        <v>45251</v>
      </c>
      <c r="B227">
        <v>-1.0309515055269003E-3</v>
      </c>
      <c r="C227">
        <v>-4.0758956223726273E-2</v>
      </c>
      <c r="D227">
        <v>9.8162470385432243E-3</v>
      </c>
      <c r="E227">
        <v>-2.8071969747543335E-2</v>
      </c>
      <c r="F227">
        <v>1.3831140473484993E-2</v>
      </c>
      <c r="G227">
        <v>-2.7528419741429389E-4</v>
      </c>
      <c r="H227">
        <v>-5.6552938185632229E-3</v>
      </c>
      <c r="I227">
        <v>4.4289589859545231E-3</v>
      </c>
      <c r="J227">
        <v>-3.4349218010902405E-2</v>
      </c>
      <c r="K227">
        <v>-5.8187609538435936E-3</v>
      </c>
      <c r="M227">
        <f t="shared" si="6"/>
        <v>-4.2383634848635306E-3</v>
      </c>
      <c r="N227">
        <f t="shared" si="7"/>
        <v>0.99576163651513649</v>
      </c>
      <c r="O227">
        <f>PRODUCT($N$4:N227)-1</f>
        <v>0.18413613467681156</v>
      </c>
    </row>
    <row r="228" spans="1:15" x14ac:dyDescent="0.25">
      <c r="A228" s="29">
        <v>45252</v>
      </c>
      <c r="B228">
        <v>1.4447920024394989E-2</v>
      </c>
      <c r="C228">
        <v>4.1025672107934952E-2</v>
      </c>
      <c r="D228">
        <v>6.0214963741600513E-3</v>
      </c>
      <c r="E228">
        <v>1.6893703490495682E-2</v>
      </c>
      <c r="F228">
        <v>4.5474269427359104E-3</v>
      </c>
      <c r="G228">
        <v>8.2621658220887184E-3</v>
      </c>
      <c r="H228">
        <v>-4.3243155814707279E-3</v>
      </c>
      <c r="I228">
        <v>6.2993570463731885E-4</v>
      </c>
      <c r="J228">
        <v>-4.0117069147527218E-3</v>
      </c>
      <c r="K228">
        <v>5.8528170920908451E-3</v>
      </c>
      <c r="M228">
        <f t="shared" si="6"/>
        <v>9.234480193257082E-3</v>
      </c>
      <c r="N228">
        <f t="shared" si="7"/>
        <v>1.0092344801932571</v>
      </c>
      <c r="O228">
        <f>PRODUCT($N$4:N228)-1</f>
        <v>0.19507101635860469</v>
      </c>
    </row>
    <row r="229" spans="1:15" x14ac:dyDescent="0.25">
      <c r="A229" s="29">
        <v>45254</v>
      </c>
      <c r="B229">
        <v>1.0173172922804952E-3</v>
      </c>
      <c r="C229">
        <v>2.8149164281785488E-3</v>
      </c>
      <c r="D229">
        <v>1.1678876355290413E-2</v>
      </c>
      <c r="E229">
        <v>3.2154053915292025E-3</v>
      </c>
      <c r="F229">
        <v>1.0544350370764732E-2</v>
      </c>
      <c r="G229">
        <v>7.101838942617178E-3</v>
      </c>
      <c r="H229">
        <v>9.2999162152409554E-3</v>
      </c>
      <c r="I229">
        <v>4.5640682801604271E-3</v>
      </c>
      <c r="J229">
        <v>1.9333979114890099E-2</v>
      </c>
      <c r="K229">
        <v>3.3250176347792149E-3</v>
      </c>
      <c r="M229">
        <f t="shared" si="6"/>
        <v>7.0707161343438879E-3</v>
      </c>
      <c r="N229">
        <f t="shared" si="7"/>
        <v>1.007070716134344</v>
      </c>
      <c r="O229">
        <f>PRODUCT($N$4:N229)-1</f>
        <v>0.20352102427565821</v>
      </c>
    </row>
    <row r="230" spans="1:15" x14ac:dyDescent="0.25">
      <c r="A230" s="29">
        <v>45257</v>
      </c>
      <c r="B230">
        <v>-4.0650367736816406E-3</v>
      </c>
      <c r="C230">
        <v>-1.3333303853869438E-2</v>
      </c>
      <c r="D230">
        <v>-1.7316412413492799E-3</v>
      </c>
      <c r="E230">
        <v>-1.0683699510991573E-2</v>
      </c>
      <c r="F230">
        <v>-1.8628809601068497E-2</v>
      </c>
      <c r="G230">
        <v>8.6791347712278366E-3</v>
      </c>
      <c r="H230">
        <v>-4.6818360715406016E-5</v>
      </c>
      <c r="I230">
        <v>-3.2900343649089336E-3</v>
      </c>
      <c r="J230">
        <v>-2.2655444219708443E-2</v>
      </c>
      <c r="K230">
        <v>9.9419960752129555E-3</v>
      </c>
      <c r="M230">
        <f t="shared" si="6"/>
        <v>-6.1186558609648591E-3</v>
      </c>
      <c r="N230">
        <f t="shared" si="7"/>
        <v>0.99388134413903517</v>
      </c>
      <c r="O230">
        <f>PRODUCT($N$4:N230)-1</f>
        <v>0.19615709330667963</v>
      </c>
    </row>
    <row r="231" spans="1:15" x14ac:dyDescent="0.25">
      <c r="A231" s="29">
        <v>45258</v>
      </c>
      <c r="B231">
        <v>-1.020412053912878E-2</v>
      </c>
      <c r="C231">
        <v>1.3513483107089996E-2</v>
      </c>
      <c r="D231">
        <v>-7.8057372011244297E-3</v>
      </c>
      <c r="E231">
        <v>-2.1598765160888433E-3</v>
      </c>
      <c r="F231">
        <v>5.4553314112126827E-3</v>
      </c>
      <c r="G231">
        <v>-1.3175527565181255E-2</v>
      </c>
      <c r="H231">
        <v>-3.2414954155683517E-2</v>
      </c>
      <c r="I231">
        <v>-2.5620859116315842E-2</v>
      </c>
      <c r="J231">
        <v>2.8571465983986855E-2</v>
      </c>
      <c r="K231">
        <v>-1.2305137701332569E-2</v>
      </c>
      <c r="M231">
        <f t="shared" si="6"/>
        <v>-6.9507008433954496E-3</v>
      </c>
      <c r="N231">
        <f t="shared" si="7"/>
        <v>0.99304929915660456</v>
      </c>
      <c r="O231">
        <f>PRODUCT($N$4:N231)-1</f>
        <v>0.18784296318939941</v>
      </c>
    </row>
    <row r="232" spans="1:15" x14ac:dyDescent="0.25">
      <c r="A232" s="29">
        <v>45259</v>
      </c>
      <c r="B232">
        <v>9.2783663421869278E-3</v>
      </c>
      <c r="C232">
        <v>7.0177041925489902E-4</v>
      </c>
      <c r="D232">
        <v>-1.8938994035124779E-3</v>
      </c>
      <c r="E232">
        <v>-7.5757247395813465E-3</v>
      </c>
      <c r="F232">
        <v>7.9172179102897644E-3</v>
      </c>
      <c r="G232">
        <v>-4.9046403728425503E-3</v>
      </c>
      <c r="H232">
        <v>0</v>
      </c>
      <c r="I232">
        <v>2.0998395048081875E-3</v>
      </c>
      <c r="J232">
        <v>2.6205450296401978E-2</v>
      </c>
      <c r="K232">
        <v>1.6611279919743538E-2</v>
      </c>
      <c r="M232">
        <f t="shared" si="6"/>
        <v>3.080278176450547E-3</v>
      </c>
      <c r="N232">
        <f t="shared" si="7"/>
        <v>1.0030802781764505</v>
      </c>
      <c r="O232">
        <f>PRODUCT($N$4:N232)-1</f>
        <v>0.19150184994596198</v>
      </c>
    </row>
    <row r="233" spans="1:15" x14ac:dyDescent="0.25">
      <c r="A233" s="29">
        <v>45260</v>
      </c>
      <c r="B233">
        <v>-3.0643241479992867E-3</v>
      </c>
      <c r="C233">
        <v>-1.1921463534235954E-2</v>
      </c>
      <c r="D233">
        <v>2.5981590151786804E-2</v>
      </c>
      <c r="E233">
        <v>-1.0359898209571838E-2</v>
      </c>
      <c r="F233">
        <v>1.768745481967926E-2</v>
      </c>
      <c r="G233">
        <v>1.9989034160971642E-2</v>
      </c>
      <c r="H233">
        <v>9.6683744341135025E-3</v>
      </c>
      <c r="I233">
        <v>9.0263951569795609E-3</v>
      </c>
      <c r="J233">
        <v>-1.7875403165817261E-2</v>
      </c>
      <c r="K233">
        <v>-2.4509585928171873E-3</v>
      </c>
      <c r="M233">
        <f t="shared" si="6"/>
        <v>8.0794704135167036E-3</v>
      </c>
      <c r="N233">
        <f t="shared" si="7"/>
        <v>1.0080794704135168</v>
      </c>
      <c r="O233">
        <f>PRODUCT($N$4:N233)-1</f>
        <v>0.20112855389025075</v>
      </c>
    </row>
    <row r="234" spans="1:15" x14ac:dyDescent="0.25">
      <c r="A234" s="29">
        <v>45261</v>
      </c>
      <c r="B234">
        <v>1.8442556262016296E-2</v>
      </c>
      <c r="C234">
        <v>1.3484710827469826E-2</v>
      </c>
      <c r="D234">
        <v>-3.9834794588387012E-3</v>
      </c>
      <c r="E234">
        <v>2.2039073519408703E-3</v>
      </c>
      <c r="F234">
        <v>2.4450793862342834E-2</v>
      </c>
      <c r="G234">
        <v>4.5369092375040054E-2</v>
      </c>
      <c r="H234">
        <v>3.4424986690282822E-2</v>
      </c>
      <c r="I234">
        <v>-1.118206069804728E-3</v>
      </c>
      <c r="J234">
        <v>6.2922567129135132E-2</v>
      </c>
      <c r="K234">
        <v>1.7199020832777023E-2</v>
      </c>
      <c r="M234">
        <f t="shared" si="6"/>
        <v>2.1348318355465291E-2</v>
      </c>
      <c r="N234">
        <f t="shared" si="7"/>
        <v>1.0213483183554652</v>
      </c>
      <c r="O234">
        <f>PRODUCT($N$4:N234)-1</f>
        <v>0.22677062864453945</v>
      </c>
    </row>
    <row r="235" spans="1:15" x14ac:dyDescent="0.25">
      <c r="A235" s="29">
        <v>45264</v>
      </c>
      <c r="B235">
        <v>1.0060400702059269E-2</v>
      </c>
      <c r="C235">
        <v>-2.1708646789193153E-2</v>
      </c>
      <c r="D235">
        <v>1.0141395032405853E-2</v>
      </c>
      <c r="E235">
        <v>-6.5970774739980698E-3</v>
      </c>
      <c r="F235">
        <v>2.3182425647974014E-3</v>
      </c>
      <c r="G235">
        <v>2.3882905021309853E-2</v>
      </c>
      <c r="H235">
        <v>1.1663986369967461E-2</v>
      </c>
      <c r="I235">
        <v>3.0865190550684929E-2</v>
      </c>
      <c r="J235">
        <v>-5.8708824217319489E-3</v>
      </c>
      <c r="K235">
        <v>1.4492778107523918E-2</v>
      </c>
      <c r="M235">
        <f t="shared" si="6"/>
        <v>9.807787492817471E-3</v>
      </c>
      <c r="N235">
        <f t="shared" si="7"/>
        <v>1.0098077874928175</v>
      </c>
      <c r="O235">
        <f>PRODUCT($N$4:N235)-1</f>
        <v>0.23880253427271536</v>
      </c>
    </row>
    <row r="236" spans="1:15" x14ac:dyDescent="0.25">
      <c r="A236" s="29">
        <v>45265</v>
      </c>
      <c r="B236">
        <v>-2.689238078892231E-2</v>
      </c>
      <c r="C236">
        <v>-7.8740594908595085E-3</v>
      </c>
      <c r="D236">
        <v>-5.3733722306787968E-3</v>
      </c>
      <c r="E236">
        <v>7.1943039074540138E-3</v>
      </c>
      <c r="F236">
        <v>-9.6194371581077576E-3</v>
      </c>
      <c r="G236">
        <v>-1.1788247153162956E-2</v>
      </c>
      <c r="H236">
        <v>1.0660138912498951E-2</v>
      </c>
      <c r="I236">
        <v>-1.6289159655570984E-2</v>
      </c>
      <c r="J236">
        <v>-1.2795287184417248E-2</v>
      </c>
      <c r="K236">
        <v>-2.0634938031435013E-2</v>
      </c>
      <c r="M236">
        <f t="shared" si="6"/>
        <v>-1.0084745491276614E-2</v>
      </c>
      <c r="N236">
        <f t="shared" si="7"/>
        <v>0.98991525450872342</v>
      </c>
      <c r="O236">
        <f>PRODUCT($N$4:N236)-1</f>
        <v>0.22630952600062648</v>
      </c>
    </row>
    <row r="237" spans="1:15" x14ac:dyDescent="0.25">
      <c r="A237" s="29">
        <v>45266</v>
      </c>
      <c r="B237">
        <v>5.1176287233829498E-3</v>
      </c>
      <c r="C237">
        <v>7.9365521669387817E-3</v>
      </c>
      <c r="D237">
        <v>-1.2226230464875698E-2</v>
      </c>
      <c r="E237">
        <v>1.3186800293624401E-2</v>
      </c>
      <c r="F237">
        <v>-1.7515090294182301E-3</v>
      </c>
      <c r="G237">
        <v>-6.0914130881428719E-3</v>
      </c>
      <c r="H237">
        <v>9.0544234262779355E-4</v>
      </c>
      <c r="I237">
        <v>8.3582838997244835E-3</v>
      </c>
      <c r="J237">
        <v>-6.4805168658494949E-3</v>
      </c>
      <c r="K237">
        <v>3.2414880115538836E-3</v>
      </c>
      <c r="M237">
        <f t="shared" si="6"/>
        <v>1.4082289571599423E-3</v>
      </c>
      <c r="N237">
        <f t="shared" si="7"/>
        <v>1.00140822895716</v>
      </c>
      <c r="O237">
        <f>PRODUCT($N$4:N237)-1</f>
        <v>0.22803645058558164</v>
      </c>
    </row>
    <row r="238" spans="1:15" x14ac:dyDescent="0.25">
      <c r="A238" s="29">
        <v>45267</v>
      </c>
      <c r="B238">
        <v>-7.1282787248492241E-3</v>
      </c>
      <c r="C238">
        <v>-1.5748050063848495E-2</v>
      </c>
      <c r="D238">
        <v>-9.4991885125637054E-3</v>
      </c>
      <c r="E238">
        <v>2.3861095309257507E-2</v>
      </c>
      <c r="F238">
        <v>4.3066651560366154E-3</v>
      </c>
      <c r="G238">
        <v>-1.532210735604167E-3</v>
      </c>
      <c r="H238">
        <v>-8.0506503582000732E-3</v>
      </c>
      <c r="I238">
        <v>2.0175239071249962E-2</v>
      </c>
      <c r="J238">
        <v>2.0571993663907051E-2</v>
      </c>
      <c r="K238">
        <v>1.5347300097346306E-2</v>
      </c>
      <c r="M238">
        <f t="shared" si="6"/>
        <v>3.7881498910512408E-3</v>
      </c>
      <c r="N238">
        <f t="shared" si="7"/>
        <v>1.0037881498910513</v>
      </c>
      <c r="O238">
        <f>PRODUCT($N$4:N238)-1</f>
        <v>0.23268843673207429</v>
      </c>
    </row>
    <row r="239" spans="1:15" x14ac:dyDescent="0.25">
      <c r="A239" s="29">
        <v>45268</v>
      </c>
      <c r="B239">
        <v>1.3333344832062721E-2</v>
      </c>
      <c r="C239">
        <v>2.2545484825968742E-2</v>
      </c>
      <c r="D239">
        <v>2.9056440689601004E-4</v>
      </c>
      <c r="E239">
        <v>1.059346366673708E-3</v>
      </c>
      <c r="F239">
        <v>-1.2017599307000637E-2</v>
      </c>
      <c r="G239">
        <v>-5.3708208724856377E-3</v>
      </c>
      <c r="H239">
        <v>2.3253651335835457E-2</v>
      </c>
      <c r="I239">
        <v>1.6862329794093966E-3</v>
      </c>
      <c r="J239">
        <v>1.8682356923818588E-2</v>
      </c>
      <c r="K239">
        <v>9.5465304329991341E-3</v>
      </c>
      <c r="M239">
        <f t="shared" si="6"/>
        <v>3.0502494447480011E-3</v>
      </c>
      <c r="N239">
        <f t="shared" si="7"/>
        <v>1.003050249444748</v>
      </c>
      <c r="O239">
        <f>PRODUCT($N$4:N239)-1</f>
        <v>0.23644844395176356</v>
      </c>
    </row>
    <row r="240" spans="1:15" x14ac:dyDescent="0.25">
      <c r="A240" s="29">
        <v>45271</v>
      </c>
      <c r="B240">
        <v>-5.0607481971383095E-3</v>
      </c>
      <c r="C240">
        <v>3.5561334807425737E-3</v>
      </c>
      <c r="D240">
        <v>1.2783337384462357E-2</v>
      </c>
      <c r="E240">
        <v>2.3280452936887741E-2</v>
      </c>
      <c r="F240">
        <v>3.2418835908174515E-2</v>
      </c>
      <c r="G240">
        <v>8.2283290103077888E-3</v>
      </c>
      <c r="H240">
        <v>1.2521155178546906E-2</v>
      </c>
      <c r="I240">
        <v>1.3774128630757332E-2</v>
      </c>
      <c r="J240">
        <v>-1.3513455167412758E-2</v>
      </c>
      <c r="K240">
        <v>3.152085468173027E-3</v>
      </c>
      <c r="M240">
        <f t="shared" si="6"/>
        <v>1.3528810121995461E-2</v>
      </c>
      <c r="N240">
        <f t="shared" si="7"/>
        <v>1.0135288101219955</v>
      </c>
      <c r="O240">
        <f>PRODUCT($N$4:N240)-1</f>
        <v>0.25317612017562374</v>
      </c>
    </row>
    <row r="241" spans="1:15" x14ac:dyDescent="0.25">
      <c r="A241" s="29">
        <v>45272</v>
      </c>
      <c r="B241">
        <v>-1.1190199293196201E-2</v>
      </c>
      <c r="C241">
        <v>1.063079945743084E-2</v>
      </c>
      <c r="D241">
        <v>3.1554964371025562E-3</v>
      </c>
      <c r="E241">
        <v>5.0155084580183029E-2</v>
      </c>
      <c r="F241">
        <v>1.60895602311939E-3</v>
      </c>
      <c r="G241">
        <v>1.3517026789486408E-2</v>
      </c>
      <c r="H241">
        <v>2.8869416564702988E-2</v>
      </c>
      <c r="I241">
        <v>1.0265705175697803E-2</v>
      </c>
      <c r="J241">
        <v>-1.0274020954966545E-2</v>
      </c>
      <c r="K241">
        <v>1.571127912029624E-3</v>
      </c>
      <c r="M241">
        <f t="shared" si="6"/>
        <v>9.5945279061131258E-3</v>
      </c>
      <c r="N241">
        <f t="shared" si="7"/>
        <v>1.0095945279061131</v>
      </c>
      <c r="O241">
        <f>PRODUCT($N$4:N241)-1</f>
        <v>0.26519975343192348</v>
      </c>
    </row>
    <row r="242" spans="1:15" x14ac:dyDescent="0.25">
      <c r="A242" s="29">
        <v>45273</v>
      </c>
      <c r="B242">
        <v>-8.2304449751973152E-3</v>
      </c>
      <c r="C242">
        <v>2.8751742094755173E-2</v>
      </c>
      <c r="D242">
        <v>5.5761993862688541E-3</v>
      </c>
      <c r="E242">
        <v>0.28212711215019226</v>
      </c>
      <c r="F242">
        <v>1.5701102092862129E-2</v>
      </c>
      <c r="G242">
        <v>-5.6618411326780915E-4</v>
      </c>
      <c r="H242">
        <v>8.3408709615468979E-3</v>
      </c>
      <c r="I242">
        <v>6.7245154641568661E-3</v>
      </c>
      <c r="J242">
        <v>7.46416375041008E-2</v>
      </c>
      <c r="K242">
        <v>4.8627443611621857E-2</v>
      </c>
      <c r="M242">
        <f t="shared" si="6"/>
        <v>2.5158584219950469E-2</v>
      </c>
      <c r="N242">
        <f t="shared" si="7"/>
        <v>1.0251585842199504</v>
      </c>
      <c r="O242">
        <f>PRODUCT($N$4:N242)-1</f>
        <v>0.29703038798370107</v>
      </c>
    </row>
    <row r="243" spans="1:15" x14ac:dyDescent="0.25">
      <c r="A243" s="29">
        <v>45274</v>
      </c>
      <c r="B243">
        <v>1.0373384691774845E-2</v>
      </c>
      <c r="C243">
        <v>1.6359902918338776E-2</v>
      </c>
      <c r="D243">
        <v>-2.3318631574511528E-2</v>
      </c>
      <c r="E243">
        <v>-0.1190476268529892</v>
      </c>
      <c r="F243">
        <v>2.918219193816185E-2</v>
      </c>
      <c r="G243">
        <v>-2.2335052490234375E-2</v>
      </c>
      <c r="H243">
        <v>2.5875989813357592E-3</v>
      </c>
      <c r="I243">
        <v>5.7295538485050201E-2</v>
      </c>
      <c r="J243">
        <v>2.5758944451808929E-2</v>
      </c>
      <c r="K243">
        <v>1.346299983561039E-2</v>
      </c>
      <c r="M243">
        <f t="shared" si="6"/>
        <v>1.2461170114254332E-2</v>
      </c>
      <c r="N243">
        <f t="shared" si="7"/>
        <v>1.0124611701142543</v>
      </c>
      <c r="O243">
        <f>PRODUCT($N$4:N243)-1</f>
        <v>0.3131929042917232</v>
      </c>
    </row>
    <row r="244" spans="1:15" x14ac:dyDescent="0.25">
      <c r="A244" s="29">
        <v>45275</v>
      </c>
      <c r="B244">
        <v>8.2135442644357681E-3</v>
      </c>
      <c r="C244">
        <v>-7.37757608294487E-3</v>
      </c>
      <c r="D244">
        <v>-1.0045165196061134E-2</v>
      </c>
      <c r="E244">
        <v>-6.1029335483908653E-3</v>
      </c>
      <c r="F244">
        <v>2.4290166329592466E-3</v>
      </c>
      <c r="G244">
        <v>-2.8296992182731628E-2</v>
      </c>
      <c r="H244">
        <v>-1.1466073803603649E-2</v>
      </c>
      <c r="I244">
        <v>-1.684721908532083E-3</v>
      </c>
      <c r="J244">
        <v>-3.318384662270546E-2</v>
      </c>
      <c r="K244">
        <v>1.4022109098732471E-2</v>
      </c>
      <c r="M244">
        <f t="shared" si="6"/>
        <v>-7.7242945213135544E-3</v>
      </c>
      <c r="N244">
        <f t="shared" si="7"/>
        <v>0.99227570547868649</v>
      </c>
      <c r="O244">
        <f>PRODUCT($N$4:N244)-1</f>
        <v>0.30304941553567488</v>
      </c>
    </row>
    <row r="245" spans="1:15" x14ac:dyDescent="0.25">
      <c r="A245" s="29">
        <v>45278</v>
      </c>
      <c r="B245">
        <v>-3.0549627263098955E-3</v>
      </c>
      <c r="C245">
        <v>4.6621590852737427E-2</v>
      </c>
      <c r="D245">
        <v>7.3529412038624287E-3</v>
      </c>
      <c r="E245">
        <v>-7.6315782964229584E-2</v>
      </c>
      <c r="F245">
        <v>-1.8593583256006241E-2</v>
      </c>
      <c r="G245">
        <v>0</v>
      </c>
      <c r="H245">
        <v>7.5757759623229504E-3</v>
      </c>
      <c r="I245">
        <v>-5.2032447420060635E-3</v>
      </c>
      <c r="J245">
        <v>3.710571676492691E-3</v>
      </c>
      <c r="K245">
        <v>4.3668430298566818E-3</v>
      </c>
      <c r="M245">
        <f t="shared" si="6"/>
        <v>-1.045007469912069E-3</v>
      </c>
      <c r="N245">
        <f t="shared" si="7"/>
        <v>0.9989549925300879</v>
      </c>
      <c r="O245">
        <f>PRODUCT($N$4:N245)-1</f>
        <v>0.30168771916277559</v>
      </c>
    </row>
    <row r="246" spans="1:15" x14ac:dyDescent="0.25">
      <c r="A246" s="29">
        <v>45279</v>
      </c>
      <c r="B246">
        <v>1.6343191266059875E-2</v>
      </c>
      <c r="C246">
        <v>-1.2265951372683048E-2</v>
      </c>
      <c r="D246">
        <v>5.8394381776452065E-3</v>
      </c>
      <c r="E246">
        <v>3.2288715243339539E-2</v>
      </c>
      <c r="F246">
        <v>2.015488687902689E-3</v>
      </c>
      <c r="G246">
        <v>7.7478201128542423E-3</v>
      </c>
      <c r="H246">
        <v>3.7254106253385544E-2</v>
      </c>
      <c r="I246">
        <v>2.290080301463604E-2</v>
      </c>
      <c r="J246">
        <v>1.6173770651221275E-2</v>
      </c>
      <c r="K246">
        <v>1.8115941435098648E-2</v>
      </c>
      <c r="M246">
        <f t="shared" si="6"/>
        <v>1.0982786318399209E-2</v>
      </c>
      <c r="N246">
        <f t="shared" si="7"/>
        <v>1.0109827863183991</v>
      </c>
      <c r="O246">
        <f>PRODUCT($N$4:N246)-1</f>
        <v>0.31598387723562471</v>
      </c>
    </row>
    <row r="247" spans="1:15" x14ac:dyDescent="0.25">
      <c r="A247" s="29">
        <v>45280</v>
      </c>
      <c r="B247">
        <v>0</v>
      </c>
      <c r="C247">
        <v>-3.9869319647550583E-2</v>
      </c>
      <c r="D247">
        <v>-1.1465905234217644E-2</v>
      </c>
      <c r="E247">
        <v>-3.541860356926918E-2</v>
      </c>
      <c r="F247">
        <v>-6.4366827718913555E-3</v>
      </c>
      <c r="G247">
        <v>-1.0604494251310825E-2</v>
      </c>
      <c r="H247">
        <v>-1.6299434006214142E-2</v>
      </c>
      <c r="I247">
        <v>-8.0155031755566597E-3</v>
      </c>
      <c r="J247">
        <v>-8.1855524331331253E-3</v>
      </c>
      <c r="K247">
        <v>-7.1174646727740765E-3</v>
      </c>
      <c r="M247">
        <f t="shared" si="6"/>
        <v>-1.3773023186952839E-2</v>
      </c>
      <c r="N247">
        <f t="shared" si="7"/>
        <v>0.98622697681304716</v>
      </c>
      <c r="O247">
        <f>PRODUCT($N$4:N247)-1</f>
        <v>0.29785880078080229</v>
      </c>
    </row>
    <row r="248" spans="1:15" x14ac:dyDescent="0.25">
      <c r="A248" s="29">
        <v>45281</v>
      </c>
      <c r="B248">
        <v>1.0050289332866669E-2</v>
      </c>
      <c r="C248">
        <v>5.4459413513541222E-3</v>
      </c>
      <c r="D248">
        <v>6.0196155682206154E-3</v>
      </c>
      <c r="E248">
        <v>-9.5367437461391091E-4</v>
      </c>
      <c r="F248">
        <v>1.5487384982407093E-2</v>
      </c>
      <c r="G248">
        <v>4.287241492420435E-3</v>
      </c>
      <c r="H248">
        <v>2.2689413279294968E-2</v>
      </c>
      <c r="I248">
        <v>8.4981974214315414E-3</v>
      </c>
      <c r="J248">
        <v>1.2379663996398449E-2</v>
      </c>
      <c r="K248">
        <v>1.9354872405529022E-2</v>
      </c>
      <c r="M248">
        <f t="shared" si="6"/>
        <v>1.0065187021351781E-2</v>
      </c>
      <c r="N248">
        <f t="shared" si="7"/>
        <v>1.0100651870213517</v>
      </c>
      <c r="O248">
        <f>PRODUCT($N$4:N248)-1</f>
        <v>0.31092199233796824</v>
      </c>
    </row>
    <row r="249" spans="1:15" x14ac:dyDescent="0.25">
      <c r="A249" s="29">
        <v>45282</v>
      </c>
      <c r="B249">
        <v>-4.9751433543860912E-3</v>
      </c>
      <c r="C249">
        <v>-9.4786956906318665E-3</v>
      </c>
      <c r="D249">
        <v>4.0864916518330574E-3</v>
      </c>
      <c r="E249">
        <v>2.1956996992230415E-2</v>
      </c>
      <c r="F249">
        <v>5.283081904053688E-3</v>
      </c>
      <c r="G249">
        <v>4.2689396068453789E-3</v>
      </c>
      <c r="H249">
        <v>1.502138189971447E-2</v>
      </c>
      <c r="I249">
        <v>1.4090402983129025E-2</v>
      </c>
      <c r="J249">
        <v>6.7934608086943626E-3</v>
      </c>
      <c r="K249">
        <v>-4.9226898699998856E-3</v>
      </c>
      <c r="M249">
        <f t="shared" si="6"/>
        <v>5.4772530670413235E-3</v>
      </c>
      <c r="N249">
        <f t="shared" si="7"/>
        <v>1.0054772530670413</v>
      </c>
      <c r="O249">
        <f>PRODUCT($N$4:N249)-1</f>
        <v>0.31810224384115315</v>
      </c>
    </row>
    <row r="250" spans="1:15" x14ac:dyDescent="0.25">
      <c r="A250" s="29">
        <v>45286</v>
      </c>
      <c r="B250">
        <v>0</v>
      </c>
      <c r="C250">
        <v>4.4429227709770203E-2</v>
      </c>
      <c r="D250">
        <v>2.7615523431450129E-3</v>
      </c>
      <c r="E250">
        <v>3.9234008640050888E-2</v>
      </c>
      <c r="F250">
        <v>5.3544961847364902E-3</v>
      </c>
      <c r="G250">
        <v>2.6573156355880201E-4</v>
      </c>
      <c r="H250">
        <v>1.2192221358418465E-2</v>
      </c>
      <c r="I250">
        <v>1.0080341249704361E-2</v>
      </c>
      <c r="J250">
        <v>9.8965913057327271E-3</v>
      </c>
      <c r="K250">
        <v>1.4840992167592049E-2</v>
      </c>
      <c r="M250">
        <f t="shared" si="6"/>
        <v>1.2585111034336162E-2</v>
      </c>
      <c r="N250">
        <f t="shared" si="7"/>
        <v>1.0125851110343362</v>
      </c>
      <c r="O250">
        <f>PRODUCT($N$4:N250)-1</f>
        <v>0.33469070693450176</v>
      </c>
    </row>
    <row r="251" spans="1:15" x14ac:dyDescent="0.25">
      <c r="A251" s="29">
        <v>45287</v>
      </c>
      <c r="B251">
        <v>3.9999959990382195E-3</v>
      </c>
      <c r="C251">
        <v>-6.5444651991128922E-3</v>
      </c>
      <c r="D251">
        <v>2.7540577575564384E-3</v>
      </c>
      <c r="E251">
        <v>-6.7415558733046055E-3</v>
      </c>
      <c r="F251">
        <v>-2.6136639062315226E-3</v>
      </c>
      <c r="G251">
        <v>1.1420990340411663E-2</v>
      </c>
      <c r="H251">
        <v>7.8056943602859974E-3</v>
      </c>
      <c r="I251">
        <v>8.091376512311399E-4</v>
      </c>
      <c r="J251">
        <v>-4.8998044803738594E-3</v>
      </c>
      <c r="K251">
        <v>1.5320353209972382E-2</v>
      </c>
      <c r="M251">
        <f t="shared" si="6"/>
        <v>1.7430932257227352E-3</v>
      </c>
      <c r="N251">
        <f t="shared" si="7"/>
        <v>1.0017430932257227</v>
      </c>
      <c r="O251">
        <f>PRODUCT($N$4:N251)-1</f>
        <v>0.33701719726419443</v>
      </c>
    </row>
    <row r="252" spans="1:15" x14ac:dyDescent="0.25">
      <c r="A252" s="29">
        <v>45288</v>
      </c>
      <c r="B252">
        <v>-1.9919825717806816E-3</v>
      </c>
      <c r="C252">
        <v>-7.2464169934391975E-3</v>
      </c>
      <c r="D252">
        <v>4.1919760406017303E-3</v>
      </c>
      <c r="E252">
        <v>-2.2624952252954245E-3</v>
      </c>
      <c r="F252">
        <v>-1.9283035071566701E-3</v>
      </c>
      <c r="G252">
        <v>-6.8277870304882526E-3</v>
      </c>
      <c r="H252">
        <v>-1.2266602367162704E-2</v>
      </c>
      <c r="I252">
        <v>2.6956302463077009E-4</v>
      </c>
      <c r="J252">
        <v>5.8191209100186825E-3</v>
      </c>
      <c r="K252">
        <v>-1.0288040153682232E-2</v>
      </c>
      <c r="M252">
        <f t="shared" si="6"/>
        <v>-3.5918325998679328E-3</v>
      </c>
      <c r="N252">
        <f t="shared" si="7"/>
        <v>0.99640816740013205</v>
      </c>
      <c r="O252">
        <f>PRODUCT($N$4:N252)-1</f>
        <v>0.33221485530847672</v>
      </c>
    </row>
    <row r="253" spans="1:15" x14ac:dyDescent="0.25">
      <c r="A253" s="29">
        <v>45289</v>
      </c>
      <c r="B253">
        <v>4.9899434670805931E-3</v>
      </c>
      <c r="C253">
        <v>-1.3271387666463852E-2</v>
      </c>
      <c r="D253">
        <v>1.7272940604016185E-3</v>
      </c>
      <c r="E253">
        <v>-2.2675392683595419E-3</v>
      </c>
      <c r="F253">
        <v>-1.0502303950488567E-2</v>
      </c>
      <c r="G253">
        <v>-1.3484884053468704E-2</v>
      </c>
      <c r="H253">
        <v>-1.6001230105757713E-2</v>
      </c>
      <c r="I253">
        <v>-4.8497989773750305E-3</v>
      </c>
      <c r="J253">
        <v>-2.002665214240551E-2</v>
      </c>
      <c r="K253">
        <v>-1.5939049422740936E-2</v>
      </c>
      <c r="M253">
        <f t="shared" si="6"/>
        <v>-9.8219069566638489E-3</v>
      </c>
      <c r="N253">
        <f t="shared" si="7"/>
        <v>0.99017809304333615</v>
      </c>
      <c r="O253">
        <f>PRODUCT($N$4:N253)-1</f>
        <v>0.31912996495335144</v>
      </c>
    </row>
    <row r="254" spans="1:15" x14ac:dyDescent="0.25">
      <c r="A254" s="3"/>
    </row>
    <row r="2943" spans="532:532" x14ac:dyDescent="0.25">
      <c r="TL2943">
        <v>80679969</v>
      </c>
    </row>
  </sheetData>
  <pageMargins left="0.7" right="0.7" top="0.75" bottom="0.75" header="0.3" footer="0.3"/>
  <ignoredErrors>
    <ignoredError sqref="R10" numberStoredAsText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DA6DD-F31D-4ABF-BF4C-D15C9337DF6E}">
  <sheetPr codeName="Sheet6"/>
  <dimension ref="A1:D2501"/>
  <sheetViews>
    <sheetView workbookViewId="0">
      <selection activeCell="A3" sqref="A3"/>
    </sheetView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2.7109375" bestFit="1" customWidth="1"/>
  </cols>
  <sheetData>
    <row r="1" spans="1:4" x14ac:dyDescent="0.25">
      <c r="A1" s="17" t="s">
        <v>38</v>
      </c>
      <c r="B1" s="17" t="s">
        <v>39</v>
      </c>
      <c r="C1" s="17" t="s">
        <v>41</v>
      </c>
      <c r="D1" s="17" t="s">
        <v>42</v>
      </c>
    </row>
    <row r="2" spans="1:4" x14ac:dyDescent="0.25">
      <c r="A2">
        <v>15539</v>
      </c>
      <c r="B2" s="3">
        <v>44929</v>
      </c>
      <c r="C2" t="s">
        <v>36</v>
      </c>
      <c r="D2">
        <v>-1.3736577238887548E-3</v>
      </c>
    </row>
    <row r="3" spans="1:4" x14ac:dyDescent="0.25">
      <c r="A3">
        <v>15539</v>
      </c>
      <c r="B3" s="3">
        <v>44930</v>
      </c>
      <c r="C3" t="s">
        <v>36</v>
      </c>
      <c r="D3">
        <v>3.3012412488460541E-2</v>
      </c>
    </row>
    <row r="4" spans="1:4" x14ac:dyDescent="0.25">
      <c r="A4">
        <v>15539</v>
      </c>
      <c r="B4" s="3">
        <v>44931</v>
      </c>
      <c r="C4" t="s">
        <v>36</v>
      </c>
      <c r="D4">
        <v>-4.5272987335920334E-2</v>
      </c>
    </row>
    <row r="5" spans="1:4" x14ac:dyDescent="0.25">
      <c r="A5">
        <v>15539</v>
      </c>
      <c r="B5" s="3">
        <v>44932</v>
      </c>
      <c r="C5" t="s">
        <v>36</v>
      </c>
      <c r="D5">
        <v>3.4867502748966217E-2</v>
      </c>
    </row>
    <row r="6" spans="1:4" x14ac:dyDescent="0.25">
      <c r="A6">
        <v>15539</v>
      </c>
      <c r="B6" s="3">
        <v>44935</v>
      </c>
      <c r="C6" t="s">
        <v>36</v>
      </c>
      <c r="D6">
        <v>-4.9865212291479111E-2</v>
      </c>
    </row>
    <row r="7" spans="1:4" x14ac:dyDescent="0.25">
      <c r="A7">
        <v>15539</v>
      </c>
      <c r="B7" s="3">
        <v>44936</v>
      </c>
      <c r="C7" t="s">
        <v>36</v>
      </c>
      <c r="D7">
        <v>2.127654105424881E-2</v>
      </c>
    </row>
    <row r="8" spans="1:4" x14ac:dyDescent="0.25">
      <c r="A8">
        <v>15539</v>
      </c>
      <c r="B8" s="3">
        <v>44937</v>
      </c>
      <c r="C8" t="s">
        <v>36</v>
      </c>
      <c r="D8">
        <v>0</v>
      </c>
    </row>
    <row r="9" spans="1:4" x14ac:dyDescent="0.25">
      <c r="A9">
        <v>15539</v>
      </c>
      <c r="B9" s="3">
        <v>44938</v>
      </c>
      <c r="C9" t="s">
        <v>36</v>
      </c>
      <c r="D9">
        <v>3.3333368599414825E-2</v>
      </c>
    </row>
    <row r="10" spans="1:4" x14ac:dyDescent="0.25">
      <c r="A10">
        <v>15539</v>
      </c>
      <c r="B10" s="3">
        <v>44939</v>
      </c>
      <c r="C10" t="s">
        <v>36</v>
      </c>
      <c r="D10">
        <v>-1.344116753898561E-3</v>
      </c>
    </row>
    <row r="11" spans="1:4" x14ac:dyDescent="0.25">
      <c r="A11">
        <v>15539</v>
      </c>
      <c r="B11" s="3">
        <v>44943</v>
      </c>
      <c r="C11" t="s">
        <v>36</v>
      </c>
      <c r="D11">
        <v>1.8842576071619987E-2</v>
      </c>
    </row>
    <row r="12" spans="1:4" x14ac:dyDescent="0.25">
      <c r="A12">
        <v>15539</v>
      </c>
      <c r="B12" s="3">
        <v>44944</v>
      </c>
      <c r="C12" t="s">
        <v>36</v>
      </c>
      <c r="D12">
        <v>3.1704064458608627E-2</v>
      </c>
    </row>
    <row r="13" spans="1:4" x14ac:dyDescent="0.25">
      <c r="A13">
        <v>15539</v>
      </c>
      <c r="B13" s="3">
        <v>44945</v>
      </c>
      <c r="C13" t="s">
        <v>36</v>
      </c>
      <c r="D13">
        <v>3.0729865655303001E-2</v>
      </c>
    </row>
    <row r="14" spans="1:4" x14ac:dyDescent="0.25">
      <c r="A14">
        <v>15539</v>
      </c>
      <c r="B14" s="3">
        <v>44946</v>
      </c>
      <c r="C14" t="s">
        <v>36</v>
      </c>
      <c r="D14">
        <v>3.602483868598938E-2</v>
      </c>
    </row>
    <row r="15" spans="1:4" x14ac:dyDescent="0.25">
      <c r="A15">
        <v>15539</v>
      </c>
      <c r="B15" s="3">
        <v>44949</v>
      </c>
      <c r="C15" t="s">
        <v>36</v>
      </c>
      <c r="D15">
        <v>1.1990338563919067E-2</v>
      </c>
    </row>
    <row r="16" spans="1:4" x14ac:dyDescent="0.25">
      <c r="A16">
        <v>15539</v>
      </c>
      <c r="B16" s="3">
        <v>44950</v>
      </c>
      <c r="C16" t="s">
        <v>36</v>
      </c>
      <c r="D16">
        <v>-2.2511798888444901E-2</v>
      </c>
    </row>
    <row r="17" spans="1:4" x14ac:dyDescent="0.25">
      <c r="A17">
        <v>15539</v>
      </c>
      <c r="B17" s="3">
        <v>44951</v>
      </c>
      <c r="C17" t="s">
        <v>36</v>
      </c>
      <c r="D17">
        <v>1.2121489271521568E-3</v>
      </c>
    </row>
    <row r="18" spans="1:4" x14ac:dyDescent="0.25">
      <c r="A18">
        <v>15539</v>
      </c>
      <c r="B18" s="3">
        <v>44952</v>
      </c>
      <c r="C18" t="s">
        <v>36</v>
      </c>
      <c r="D18">
        <v>3.6319289356470108E-3</v>
      </c>
    </row>
    <row r="19" spans="1:4" x14ac:dyDescent="0.25">
      <c r="A19">
        <v>15539</v>
      </c>
      <c r="B19" s="3">
        <v>44953</v>
      </c>
      <c r="C19" t="s">
        <v>36</v>
      </c>
      <c r="D19">
        <v>0.11218339204788208</v>
      </c>
    </row>
    <row r="20" spans="1:4" x14ac:dyDescent="0.25">
      <c r="A20">
        <v>15539</v>
      </c>
      <c r="B20" s="3">
        <v>44956</v>
      </c>
      <c r="C20" t="s">
        <v>36</v>
      </c>
      <c r="D20">
        <v>-3.3622603863477707E-2</v>
      </c>
    </row>
    <row r="21" spans="1:4" x14ac:dyDescent="0.25">
      <c r="A21">
        <v>15539</v>
      </c>
      <c r="B21" s="3">
        <v>44957</v>
      </c>
      <c r="C21" t="s">
        <v>36</v>
      </c>
      <c r="D21">
        <v>1.2345748022198677E-2</v>
      </c>
    </row>
    <row r="22" spans="1:4" x14ac:dyDescent="0.25">
      <c r="A22">
        <v>15539</v>
      </c>
      <c r="B22" s="3">
        <v>44958</v>
      </c>
      <c r="C22" t="s">
        <v>36</v>
      </c>
      <c r="D22">
        <v>-1.219518855214119E-2</v>
      </c>
    </row>
    <row r="23" spans="1:4" x14ac:dyDescent="0.25">
      <c r="A23">
        <v>15539</v>
      </c>
      <c r="B23" s="3">
        <v>44959</v>
      </c>
      <c r="C23" t="s">
        <v>36</v>
      </c>
      <c r="D23">
        <v>7.1829445660114288E-2</v>
      </c>
    </row>
    <row r="24" spans="1:4" x14ac:dyDescent="0.25">
      <c r="A24">
        <v>15539</v>
      </c>
      <c r="B24" s="3">
        <v>44960</v>
      </c>
      <c r="C24" t="s">
        <v>36</v>
      </c>
      <c r="D24">
        <v>-1.8848199397325516E-2</v>
      </c>
    </row>
    <row r="25" spans="1:4" x14ac:dyDescent="0.25">
      <c r="A25">
        <v>15539</v>
      </c>
      <c r="B25" s="3">
        <v>44963</v>
      </c>
      <c r="C25" t="s">
        <v>36</v>
      </c>
      <c r="D25">
        <v>-3.7353195250034332E-2</v>
      </c>
    </row>
    <row r="26" spans="1:4" x14ac:dyDescent="0.25">
      <c r="A26">
        <v>15539</v>
      </c>
      <c r="B26" s="3">
        <v>44964</v>
      </c>
      <c r="C26" t="s">
        <v>36</v>
      </c>
      <c r="D26">
        <v>-1.1086728191003203E-3</v>
      </c>
    </row>
    <row r="27" spans="1:4" x14ac:dyDescent="0.25">
      <c r="A27">
        <v>15539</v>
      </c>
      <c r="B27" s="3">
        <v>44965</v>
      </c>
      <c r="C27" t="s">
        <v>36</v>
      </c>
      <c r="D27">
        <v>-2.6637043803930283E-2</v>
      </c>
    </row>
    <row r="28" spans="1:4" x14ac:dyDescent="0.25">
      <c r="A28">
        <v>15539</v>
      </c>
      <c r="B28" s="3">
        <v>44966</v>
      </c>
      <c r="C28" t="s">
        <v>36</v>
      </c>
      <c r="D28">
        <v>1.2542719952762127E-2</v>
      </c>
    </row>
    <row r="29" spans="1:4" x14ac:dyDescent="0.25">
      <c r="A29">
        <v>15539</v>
      </c>
      <c r="B29" s="3">
        <v>44967</v>
      </c>
      <c r="C29" t="s">
        <v>36</v>
      </c>
      <c r="D29">
        <v>1.5765804797410965E-2</v>
      </c>
    </row>
    <row r="30" spans="1:4" x14ac:dyDescent="0.25">
      <c r="A30">
        <v>15539</v>
      </c>
      <c r="B30" s="3">
        <v>44970</v>
      </c>
      <c r="C30" t="s">
        <v>36</v>
      </c>
      <c r="D30">
        <v>2.1064253523945808E-2</v>
      </c>
    </row>
    <row r="31" spans="1:4" x14ac:dyDescent="0.25">
      <c r="A31">
        <v>15539</v>
      </c>
      <c r="B31" s="3">
        <v>44971</v>
      </c>
      <c r="C31" t="s">
        <v>36</v>
      </c>
      <c r="D31">
        <v>-2.1715505048632622E-2</v>
      </c>
    </row>
    <row r="32" spans="1:4" x14ac:dyDescent="0.25">
      <c r="A32">
        <v>15539</v>
      </c>
      <c r="B32" s="3">
        <v>44972</v>
      </c>
      <c r="C32" t="s">
        <v>36</v>
      </c>
      <c r="D32">
        <v>2.441723644733429E-2</v>
      </c>
    </row>
    <row r="33" spans="1:4" x14ac:dyDescent="0.25">
      <c r="A33">
        <v>15539</v>
      </c>
      <c r="B33" s="3">
        <v>44973</v>
      </c>
      <c r="C33" t="s">
        <v>36</v>
      </c>
      <c r="D33">
        <v>3.1419385224580765E-2</v>
      </c>
    </row>
    <row r="34" spans="1:4" x14ac:dyDescent="0.25">
      <c r="A34">
        <v>15539</v>
      </c>
      <c r="B34" s="3">
        <v>44974</v>
      </c>
      <c r="C34" t="s">
        <v>36</v>
      </c>
      <c r="D34">
        <v>3.0462179332971573E-2</v>
      </c>
    </row>
    <row r="35" spans="1:4" x14ac:dyDescent="0.25">
      <c r="A35">
        <v>15539</v>
      </c>
      <c r="B35" s="3">
        <v>44978</v>
      </c>
      <c r="C35" t="s">
        <v>36</v>
      </c>
      <c r="D35">
        <v>-4.5871634036302567E-2</v>
      </c>
    </row>
    <row r="36" spans="1:4" x14ac:dyDescent="0.25">
      <c r="A36">
        <v>15539</v>
      </c>
      <c r="B36" s="3">
        <v>44979</v>
      </c>
      <c r="C36" t="s">
        <v>36</v>
      </c>
      <c r="D36">
        <v>-7.4786003679037094E-3</v>
      </c>
    </row>
    <row r="37" spans="1:4" x14ac:dyDescent="0.25">
      <c r="A37">
        <v>15539</v>
      </c>
      <c r="B37" s="3">
        <v>44980</v>
      </c>
      <c r="C37" t="s">
        <v>36</v>
      </c>
      <c r="D37">
        <v>-3.2292499672621489E-3</v>
      </c>
    </row>
    <row r="38" spans="1:4" x14ac:dyDescent="0.25">
      <c r="A38">
        <v>15539</v>
      </c>
      <c r="B38" s="3">
        <v>44981</v>
      </c>
      <c r="C38" t="s">
        <v>36</v>
      </c>
      <c r="D38">
        <v>2.1597736049443483E-3</v>
      </c>
    </row>
    <row r="39" spans="1:4" x14ac:dyDescent="0.25">
      <c r="A39">
        <v>15539</v>
      </c>
      <c r="B39" s="3">
        <v>44984</v>
      </c>
      <c r="C39" t="s">
        <v>36</v>
      </c>
      <c r="D39">
        <v>-8.6206812411546707E-3</v>
      </c>
    </row>
    <row r="40" spans="1:4" x14ac:dyDescent="0.25">
      <c r="A40">
        <v>15539</v>
      </c>
      <c r="B40" s="3">
        <v>44985</v>
      </c>
      <c r="C40" t="s">
        <v>36</v>
      </c>
      <c r="D40">
        <v>-3.2608406618237495E-3</v>
      </c>
    </row>
    <row r="41" spans="1:4" x14ac:dyDescent="0.25">
      <c r="A41">
        <v>15539</v>
      </c>
      <c r="B41" s="3">
        <v>44986</v>
      </c>
      <c r="C41" t="s">
        <v>36</v>
      </c>
      <c r="D41">
        <v>-2.1810750477015972E-3</v>
      </c>
    </row>
    <row r="42" spans="1:4" x14ac:dyDescent="0.25">
      <c r="A42">
        <v>15539</v>
      </c>
      <c r="B42" s="3">
        <v>44987</v>
      </c>
      <c r="C42" t="s">
        <v>36</v>
      </c>
      <c r="D42">
        <v>-1.2021820992231369E-2</v>
      </c>
    </row>
    <row r="43" spans="1:4" x14ac:dyDescent="0.25">
      <c r="A43">
        <v>15539</v>
      </c>
      <c r="B43" s="3">
        <v>44988</v>
      </c>
      <c r="C43" t="s">
        <v>36</v>
      </c>
      <c r="D43">
        <v>-3.3185544889420271E-3</v>
      </c>
    </row>
    <row r="44" spans="1:4" x14ac:dyDescent="0.25">
      <c r="A44">
        <v>15539</v>
      </c>
      <c r="B44" s="3">
        <v>44991</v>
      </c>
      <c r="C44" t="s">
        <v>36</v>
      </c>
      <c r="D44">
        <v>2.2197007201611996E-3</v>
      </c>
    </row>
    <row r="45" spans="1:4" x14ac:dyDescent="0.25">
      <c r="A45">
        <v>15539</v>
      </c>
      <c r="B45" s="3">
        <v>44992</v>
      </c>
      <c r="C45" t="s">
        <v>36</v>
      </c>
      <c r="D45">
        <v>1.1074451031163335E-3</v>
      </c>
    </row>
    <row r="46" spans="1:4" x14ac:dyDescent="0.25">
      <c r="A46">
        <v>15539</v>
      </c>
      <c r="B46" s="3">
        <v>44993</v>
      </c>
      <c r="C46" t="s">
        <v>36</v>
      </c>
      <c r="D46">
        <v>-2.7654867619276047E-2</v>
      </c>
    </row>
    <row r="47" spans="1:4" x14ac:dyDescent="0.25">
      <c r="A47">
        <v>15539</v>
      </c>
      <c r="B47" s="3">
        <v>44994</v>
      </c>
      <c r="C47" t="s">
        <v>36</v>
      </c>
      <c r="D47">
        <v>-3.0716666951775551E-2</v>
      </c>
    </row>
    <row r="48" spans="1:4" x14ac:dyDescent="0.25">
      <c r="A48">
        <v>15539</v>
      </c>
      <c r="B48" s="3">
        <v>44995</v>
      </c>
      <c r="C48" t="s">
        <v>36</v>
      </c>
      <c r="D48">
        <v>-6.4554065465927124E-2</v>
      </c>
    </row>
    <row r="49" spans="1:4" x14ac:dyDescent="0.25">
      <c r="A49">
        <v>15539</v>
      </c>
      <c r="B49" s="3">
        <v>44998</v>
      </c>
      <c r="C49" t="s">
        <v>36</v>
      </c>
      <c r="D49">
        <v>-5.646171048283577E-2</v>
      </c>
    </row>
    <row r="50" spans="1:4" x14ac:dyDescent="0.25">
      <c r="A50">
        <v>15539</v>
      </c>
      <c r="B50" s="3">
        <v>44999</v>
      </c>
      <c r="C50" t="s">
        <v>36</v>
      </c>
      <c r="D50">
        <v>6.2499973922967911E-2</v>
      </c>
    </row>
    <row r="51" spans="1:4" x14ac:dyDescent="0.25">
      <c r="A51">
        <v>15539</v>
      </c>
      <c r="B51" s="3">
        <v>45000</v>
      </c>
      <c r="C51" t="s">
        <v>36</v>
      </c>
      <c r="D51">
        <v>-5.0062532536685467E-3</v>
      </c>
    </row>
    <row r="52" spans="1:4" x14ac:dyDescent="0.25">
      <c r="A52">
        <v>15539</v>
      </c>
      <c r="B52" s="3">
        <v>45001</v>
      </c>
      <c r="C52" t="s">
        <v>36</v>
      </c>
      <c r="D52">
        <v>-1.2578604742884636E-2</v>
      </c>
    </row>
    <row r="53" spans="1:4" x14ac:dyDescent="0.25">
      <c r="A53">
        <v>15539</v>
      </c>
      <c r="B53" s="3">
        <v>45002</v>
      </c>
      <c r="C53" t="s">
        <v>36</v>
      </c>
      <c r="D53">
        <v>-7.0063658058643341E-2</v>
      </c>
    </row>
    <row r="54" spans="1:4" x14ac:dyDescent="0.25">
      <c r="A54">
        <v>15539</v>
      </c>
      <c r="B54" s="3">
        <v>45005</v>
      </c>
      <c r="C54" t="s">
        <v>36</v>
      </c>
      <c r="D54">
        <v>4.1095849126577377E-2</v>
      </c>
    </row>
    <row r="55" spans="1:4" x14ac:dyDescent="0.25">
      <c r="A55">
        <v>15539</v>
      </c>
      <c r="B55" s="3">
        <v>45006</v>
      </c>
      <c r="C55" t="s">
        <v>36</v>
      </c>
      <c r="D55">
        <v>4.8684194684028625E-2</v>
      </c>
    </row>
    <row r="56" spans="1:4" x14ac:dyDescent="0.25">
      <c r="A56">
        <v>15539</v>
      </c>
      <c r="B56" s="3">
        <v>45007</v>
      </c>
      <c r="C56" t="s">
        <v>36</v>
      </c>
      <c r="D56">
        <v>-3.2622303813695908E-2</v>
      </c>
    </row>
    <row r="57" spans="1:4" x14ac:dyDescent="0.25">
      <c r="A57">
        <v>15539</v>
      </c>
      <c r="B57" s="3">
        <v>45008</v>
      </c>
      <c r="C57" t="s">
        <v>36</v>
      </c>
      <c r="D57">
        <v>-4.9286656081676483E-2</v>
      </c>
    </row>
    <row r="58" spans="1:4" x14ac:dyDescent="0.25">
      <c r="A58">
        <v>15539</v>
      </c>
      <c r="B58" s="3">
        <v>45009</v>
      </c>
      <c r="C58" t="s">
        <v>36</v>
      </c>
      <c r="D58">
        <v>-1.9781716167926788E-2</v>
      </c>
    </row>
    <row r="59" spans="1:4" x14ac:dyDescent="0.25">
      <c r="A59">
        <v>15539</v>
      </c>
      <c r="B59" s="3">
        <v>45012</v>
      </c>
      <c r="C59" t="s">
        <v>36</v>
      </c>
      <c r="D59">
        <v>-2.0876640919595957E-3</v>
      </c>
    </row>
    <row r="60" spans="1:4" x14ac:dyDescent="0.25">
      <c r="A60">
        <v>15539</v>
      </c>
      <c r="B60" s="3">
        <v>45013</v>
      </c>
      <c r="C60" t="s">
        <v>36</v>
      </c>
      <c r="D60">
        <v>-1.6736386343836784E-2</v>
      </c>
    </row>
    <row r="61" spans="1:4" x14ac:dyDescent="0.25">
      <c r="A61">
        <v>15539</v>
      </c>
      <c r="B61" s="3">
        <v>45014</v>
      </c>
      <c r="C61" t="s">
        <v>36</v>
      </c>
      <c r="D61">
        <v>-1.7375946044921875E-2</v>
      </c>
    </row>
    <row r="62" spans="1:4" x14ac:dyDescent="0.25">
      <c r="A62">
        <v>15539</v>
      </c>
      <c r="B62" s="3">
        <v>45015</v>
      </c>
      <c r="C62" t="s">
        <v>36</v>
      </c>
      <c r="D62">
        <v>-4.0057696402072906E-2</v>
      </c>
    </row>
    <row r="63" spans="1:4" x14ac:dyDescent="0.25">
      <c r="A63">
        <v>15539</v>
      </c>
      <c r="B63" s="3">
        <v>45016</v>
      </c>
      <c r="C63" t="s">
        <v>36</v>
      </c>
      <c r="D63">
        <v>2.8571436181664467E-2</v>
      </c>
    </row>
    <row r="64" spans="1:4" x14ac:dyDescent="0.25">
      <c r="A64">
        <v>15539</v>
      </c>
      <c r="B64" s="3">
        <v>45019</v>
      </c>
      <c r="C64" t="s">
        <v>36</v>
      </c>
      <c r="D64">
        <v>-5.8479476720094681E-3</v>
      </c>
    </row>
    <row r="65" spans="1:4" x14ac:dyDescent="0.25">
      <c r="A65">
        <v>15539</v>
      </c>
      <c r="B65" s="3">
        <v>45020</v>
      </c>
      <c r="C65" t="s">
        <v>36</v>
      </c>
      <c r="D65">
        <v>-5.5882368236780167E-2</v>
      </c>
    </row>
    <row r="66" spans="1:4" x14ac:dyDescent="0.25">
      <c r="A66">
        <v>15539</v>
      </c>
      <c r="B66" s="3">
        <v>45021</v>
      </c>
      <c r="C66" t="s">
        <v>36</v>
      </c>
      <c r="D66">
        <v>1.55759381595999E-3</v>
      </c>
    </row>
    <row r="67" spans="1:4" x14ac:dyDescent="0.25">
      <c r="A67">
        <v>15539</v>
      </c>
      <c r="B67" s="3">
        <v>45022</v>
      </c>
      <c r="C67" t="s">
        <v>36</v>
      </c>
      <c r="D67">
        <v>4.5101083815097809E-2</v>
      </c>
    </row>
    <row r="68" spans="1:4" x14ac:dyDescent="0.25">
      <c r="A68">
        <v>15539</v>
      </c>
      <c r="B68" s="3">
        <v>45026</v>
      </c>
      <c r="C68" t="s">
        <v>36</v>
      </c>
      <c r="D68">
        <v>-1.6368996351957321E-2</v>
      </c>
    </row>
    <row r="69" spans="1:4" x14ac:dyDescent="0.25">
      <c r="A69">
        <v>15539</v>
      </c>
      <c r="B69" s="3">
        <v>45027</v>
      </c>
      <c r="C69" t="s">
        <v>36</v>
      </c>
      <c r="D69">
        <v>-2.5718620046973228E-2</v>
      </c>
    </row>
    <row r="70" spans="1:4" x14ac:dyDescent="0.25">
      <c r="A70">
        <v>15539</v>
      </c>
      <c r="B70" s="3">
        <v>45028</v>
      </c>
      <c r="C70" t="s">
        <v>36</v>
      </c>
      <c r="D70">
        <v>-6.2111741863191128E-3</v>
      </c>
    </row>
    <row r="71" spans="1:4" x14ac:dyDescent="0.25">
      <c r="A71">
        <v>15539</v>
      </c>
      <c r="B71" s="3">
        <v>45029</v>
      </c>
      <c r="C71" t="s">
        <v>36</v>
      </c>
      <c r="D71">
        <v>3.7499964237213135E-2</v>
      </c>
    </row>
    <row r="72" spans="1:4" x14ac:dyDescent="0.25">
      <c r="A72">
        <v>15539</v>
      </c>
      <c r="B72" s="3">
        <v>45030</v>
      </c>
      <c r="C72" t="s">
        <v>36</v>
      </c>
      <c r="D72">
        <v>1.3554240576922894E-2</v>
      </c>
    </row>
    <row r="73" spans="1:4" x14ac:dyDescent="0.25">
      <c r="A73">
        <v>15539</v>
      </c>
      <c r="B73" s="3">
        <v>45033</v>
      </c>
      <c r="C73" t="s">
        <v>36</v>
      </c>
      <c r="D73">
        <v>5.9435378760099411E-2</v>
      </c>
    </row>
    <row r="74" spans="1:4" x14ac:dyDescent="0.25">
      <c r="A74">
        <v>15539</v>
      </c>
      <c r="B74" s="3">
        <v>45034</v>
      </c>
      <c r="C74" t="s">
        <v>36</v>
      </c>
      <c r="D74">
        <v>3.2258067280054092E-2</v>
      </c>
    </row>
    <row r="75" spans="1:4" x14ac:dyDescent="0.25">
      <c r="A75">
        <v>15539</v>
      </c>
      <c r="B75" s="3">
        <v>45035</v>
      </c>
      <c r="C75" t="s">
        <v>36</v>
      </c>
      <c r="D75">
        <v>4.0760505944490433E-3</v>
      </c>
    </row>
    <row r="76" spans="1:4" x14ac:dyDescent="0.25">
      <c r="A76">
        <v>15539</v>
      </c>
      <c r="B76" s="3">
        <v>45036</v>
      </c>
      <c r="C76" t="s">
        <v>36</v>
      </c>
      <c r="D76">
        <v>2.8416784480214119E-2</v>
      </c>
    </row>
    <row r="77" spans="1:4" x14ac:dyDescent="0.25">
      <c r="A77">
        <v>15539</v>
      </c>
      <c r="B77" s="3">
        <v>45037</v>
      </c>
      <c r="C77" t="s">
        <v>36</v>
      </c>
      <c r="D77">
        <v>-5.7894743978977203E-2</v>
      </c>
    </row>
    <row r="78" spans="1:4" x14ac:dyDescent="0.25">
      <c r="A78">
        <v>15539</v>
      </c>
      <c r="B78" s="3">
        <v>45040</v>
      </c>
      <c r="C78" t="s">
        <v>36</v>
      </c>
      <c r="D78">
        <v>2.7932934463024139E-3</v>
      </c>
    </row>
    <row r="79" spans="1:4" x14ac:dyDescent="0.25">
      <c r="A79">
        <v>15539</v>
      </c>
      <c r="B79" s="3">
        <v>45041</v>
      </c>
      <c r="C79" t="s">
        <v>36</v>
      </c>
      <c r="D79">
        <v>1.9498655572533607E-2</v>
      </c>
    </row>
    <row r="80" spans="1:4" x14ac:dyDescent="0.25">
      <c r="A80">
        <v>15539</v>
      </c>
      <c r="B80" s="3">
        <v>45042</v>
      </c>
      <c r="C80" t="s">
        <v>36</v>
      </c>
      <c r="D80">
        <v>-3.2786916941404343E-2</v>
      </c>
    </row>
    <row r="81" spans="1:4" x14ac:dyDescent="0.25">
      <c r="A81">
        <v>15539</v>
      </c>
      <c r="B81" s="3">
        <v>45043</v>
      </c>
      <c r="C81" t="s">
        <v>36</v>
      </c>
      <c r="D81">
        <v>1.4124280773103237E-2</v>
      </c>
    </row>
    <row r="82" spans="1:4" x14ac:dyDescent="0.25">
      <c r="A82">
        <v>15539</v>
      </c>
      <c r="B82" s="3">
        <v>45044</v>
      </c>
      <c r="C82" t="s">
        <v>36</v>
      </c>
      <c r="D82">
        <v>-4.8746507614850998E-2</v>
      </c>
    </row>
    <row r="83" spans="1:4" x14ac:dyDescent="0.25">
      <c r="A83">
        <v>15539</v>
      </c>
      <c r="B83" s="3">
        <v>45047</v>
      </c>
      <c r="C83" t="s">
        <v>36</v>
      </c>
      <c r="D83">
        <v>-2.9282548930495977E-3</v>
      </c>
    </row>
    <row r="84" spans="1:4" x14ac:dyDescent="0.25">
      <c r="A84">
        <v>15539</v>
      </c>
      <c r="B84" s="3">
        <v>45048</v>
      </c>
      <c r="C84" t="s">
        <v>36</v>
      </c>
      <c r="D84">
        <v>-3.0837010592222214E-2</v>
      </c>
    </row>
    <row r="85" spans="1:4" x14ac:dyDescent="0.25">
      <c r="A85">
        <v>15539</v>
      </c>
      <c r="B85" s="3">
        <v>45049</v>
      </c>
      <c r="C85" t="s">
        <v>36</v>
      </c>
      <c r="D85">
        <v>-2.8787888586521149E-2</v>
      </c>
    </row>
    <row r="86" spans="1:4" x14ac:dyDescent="0.25">
      <c r="A86">
        <v>15539</v>
      </c>
      <c r="B86" s="3">
        <v>45050</v>
      </c>
      <c r="C86" t="s">
        <v>36</v>
      </c>
      <c r="D86">
        <v>-9.5163755118846893E-2</v>
      </c>
    </row>
    <row r="87" spans="1:4" x14ac:dyDescent="0.25">
      <c r="A87">
        <v>15539</v>
      </c>
      <c r="B87" s="3">
        <v>45051</v>
      </c>
      <c r="C87" t="s">
        <v>36</v>
      </c>
      <c r="D87">
        <v>0.12155170738697052</v>
      </c>
    </row>
    <row r="88" spans="1:4" x14ac:dyDescent="0.25">
      <c r="A88">
        <v>15539</v>
      </c>
      <c r="B88" s="3">
        <v>45054</v>
      </c>
      <c r="C88" t="s">
        <v>36</v>
      </c>
      <c r="D88">
        <v>8.3781719207763672E-2</v>
      </c>
    </row>
    <row r="89" spans="1:4" x14ac:dyDescent="0.25">
      <c r="A89">
        <v>15539</v>
      </c>
      <c r="B89" s="3">
        <v>45055</v>
      </c>
      <c r="C89" t="s">
        <v>36</v>
      </c>
      <c r="D89">
        <v>3.4042518585920334E-2</v>
      </c>
    </row>
    <row r="90" spans="1:4" x14ac:dyDescent="0.25">
      <c r="A90">
        <v>15539</v>
      </c>
      <c r="B90" s="3">
        <v>45056</v>
      </c>
      <c r="C90" t="s">
        <v>36</v>
      </c>
      <c r="D90">
        <v>4.3895769864320755E-2</v>
      </c>
    </row>
    <row r="91" spans="1:4" x14ac:dyDescent="0.25">
      <c r="A91">
        <v>15539</v>
      </c>
      <c r="B91" s="3">
        <v>45057</v>
      </c>
      <c r="C91" t="s">
        <v>36</v>
      </c>
      <c r="D91">
        <v>5.124833807349205E-2</v>
      </c>
    </row>
    <row r="92" spans="1:4" x14ac:dyDescent="0.25">
      <c r="A92">
        <v>15539</v>
      </c>
      <c r="B92" s="3">
        <v>45058</v>
      </c>
      <c r="C92" t="s">
        <v>36</v>
      </c>
      <c r="D92">
        <v>-6.2500238418579102E-3</v>
      </c>
    </row>
    <row r="93" spans="1:4" x14ac:dyDescent="0.25">
      <c r="A93">
        <v>15539</v>
      </c>
      <c r="B93" s="3">
        <v>45061</v>
      </c>
      <c r="C93" t="s">
        <v>36</v>
      </c>
      <c r="D93">
        <v>2.5157209485769272E-2</v>
      </c>
    </row>
    <row r="94" spans="1:4" x14ac:dyDescent="0.25">
      <c r="A94">
        <v>15539</v>
      </c>
      <c r="B94" s="3">
        <v>45062</v>
      </c>
      <c r="C94" t="s">
        <v>36</v>
      </c>
      <c r="D94">
        <v>-9.079752117395401E-2</v>
      </c>
    </row>
    <row r="95" spans="1:4" x14ac:dyDescent="0.25">
      <c r="A95">
        <v>15539</v>
      </c>
      <c r="B95" s="3">
        <v>45063</v>
      </c>
      <c r="C95" t="s">
        <v>36</v>
      </c>
      <c r="D95">
        <v>5.5330678820610046E-2</v>
      </c>
    </row>
    <row r="96" spans="1:4" x14ac:dyDescent="0.25">
      <c r="A96">
        <v>15539</v>
      </c>
      <c r="B96" s="3">
        <v>45064</v>
      </c>
      <c r="C96" t="s">
        <v>36</v>
      </c>
      <c r="D96">
        <v>1.6623994335532188E-2</v>
      </c>
    </row>
    <row r="97" spans="1:4" x14ac:dyDescent="0.25">
      <c r="A97">
        <v>15539</v>
      </c>
      <c r="B97" s="3">
        <v>45065</v>
      </c>
      <c r="C97" t="s">
        <v>36</v>
      </c>
      <c r="D97">
        <v>2.0125767216086388E-2</v>
      </c>
    </row>
    <row r="98" spans="1:4" x14ac:dyDescent="0.25">
      <c r="A98">
        <v>15539</v>
      </c>
      <c r="B98" s="3">
        <v>45068</v>
      </c>
      <c r="C98" t="s">
        <v>36</v>
      </c>
      <c r="D98">
        <v>1.7262682318687439E-2</v>
      </c>
    </row>
    <row r="99" spans="1:4" x14ac:dyDescent="0.25">
      <c r="A99">
        <v>15539</v>
      </c>
      <c r="B99" s="3">
        <v>45069</v>
      </c>
      <c r="C99" t="s">
        <v>36</v>
      </c>
      <c r="D99">
        <v>-1.6969738528132439E-2</v>
      </c>
    </row>
    <row r="100" spans="1:4" x14ac:dyDescent="0.25">
      <c r="A100">
        <v>15539</v>
      </c>
      <c r="B100" s="3">
        <v>45070</v>
      </c>
      <c r="C100" t="s">
        <v>36</v>
      </c>
      <c r="D100">
        <v>8.6313998326659203E-3</v>
      </c>
    </row>
    <row r="101" spans="1:4" x14ac:dyDescent="0.25">
      <c r="A101">
        <v>15539</v>
      </c>
      <c r="B101" s="3">
        <v>45071</v>
      </c>
      <c r="C101" t="s">
        <v>36</v>
      </c>
      <c r="D101">
        <v>-1.4669911935925484E-2</v>
      </c>
    </row>
    <row r="102" spans="1:4" x14ac:dyDescent="0.25">
      <c r="A102">
        <v>15539</v>
      </c>
      <c r="B102" s="3">
        <v>45072</v>
      </c>
      <c r="C102" t="s">
        <v>36</v>
      </c>
      <c r="D102">
        <v>1.1166153475642204E-2</v>
      </c>
    </row>
    <row r="103" spans="1:4" x14ac:dyDescent="0.25">
      <c r="A103">
        <v>15539</v>
      </c>
      <c r="B103" s="3">
        <v>45076</v>
      </c>
      <c r="C103" t="s">
        <v>36</v>
      </c>
      <c r="D103">
        <v>3.6810659803450108E-3</v>
      </c>
    </row>
    <row r="104" spans="1:4" x14ac:dyDescent="0.25">
      <c r="A104">
        <v>15539</v>
      </c>
      <c r="B104" s="3">
        <v>45077</v>
      </c>
      <c r="C104" t="s">
        <v>36</v>
      </c>
      <c r="D104">
        <v>-6.9682173430919647E-2</v>
      </c>
    </row>
    <row r="105" spans="1:4" x14ac:dyDescent="0.25">
      <c r="A105">
        <v>15539</v>
      </c>
      <c r="B105" s="3">
        <v>45078</v>
      </c>
      <c r="C105" t="s">
        <v>36</v>
      </c>
      <c r="D105">
        <v>-2.233903668820858E-2</v>
      </c>
    </row>
    <row r="106" spans="1:4" x14ac:dyDescent="0.25">
      <c r="A106">
        <v>15539</v>
      </c>
      <c r="B106" s="3">
        <v>45079</v>
      </c>
      <c r="C106" t="s">
        <v>36</v>
      </c>
      <c r="D106">
        <v>7.66129270195961E-2</v>
      </c>
    </row>
    <row r="107" spans="1:4" x14ac:dyDescent="0.25">
      <c r="A107">
        <v>15539</v>
      </c>
      <c r="B107" s="3">
        <v>45082</v>
      </c>
      <c r="C107" t="s">
        <v>36</v>
      </c>
      <c r="D107">
        <v>-1.2484441511332989E-2</v>
      </c>
    </row>
    <row r="108" spans="1:4" x14ac:dyDescent="0.25">
      <c r="A108">
        <v>15539</v>
      </c>
      <c r="B108" s="3">
        <v>45083</v>
      </c>
      <c r="C108" t="s">
        <v>36</v>
      </c>
      <c r="D108">
        <v>1.8331283703446388E-2</v>
      </c>
    </row>
    <row r="109" spans="1:4" x14ac:dyDescent="0.25">
      <c r="A109">
        <v>15539</v>
      </c>
      <c r="B109" s="3">
        <v>45084</v>
      </c>
      <c r="C109" t="s">
        <v>36</v>
      </c>
      <c r="D109">
        <v>1.4276817440986633E-2</v>
      </c>
    </row>
    <row r="110" spans="1:4" x14ac:dyDescent="0.25">
      <c r="A110">
        <v>15539</v>
      </c>
      <c r="B110" s="3">
        <v>45085</v>
      </c>
      <c r="C110" t="s">
        <v>36</v>
      </c>
      <c r="D110">
        <v>4.8959562554955482E-3</v>
      </c>
    </row>
    <row r="111" spans="1:4" x14ac:dyDescent="0.25">
      <c r="A111">
        <v>15539</v>
      </c>
      <c r="B111" s="3">
        <v>45086</v>
      </c>
      <c r="C111" t="s">
        <v>36</v>
      </c>
      <c r="D111">
        <v>-7.3082116432487965E-3</v>
      </c>
    </row>
    <row r="112" spans="1:4" x14ac:dyDescent="0.25">
      <c r="A112">
        <v>15539</v>
      </c>
      <c r="B112" s="3">
        <v>45089</v>
      </c>
      <c r="C112" t="s">
        <v>36</v>
      </c>
      <c r="D112">
        <v>1.8404979258775711E-2</v>
      </c>
    </row>
    <row r="113" spans="1:4" x14ac:dyDescent="0.25">
      <c r="A113">
        <v>15539</v>
      </c>
      <c r="B113" s="3">
        <v>45090</v>
      </c>
      <c r="C113" t="s">
        <v>36</v>
      </c>
      <c r="D113">
        <v>1.8071553204208612E-3</v>
      </c>
    </row>
    <row r="114" spans="1:4" x14ac:dyDescent="0.25">
      <c r="A114">
        <v>15539</v>
      </c>
      <c r="B114" s="3">
        <v>45091</v>
      </c>
      <c r="C114" t="s">
        <v>36</v>
      </c>
      <c r="D114">
        <v>-2.465423196554184E-2</v>
      </c>
    </row>
    <row r="115" spans="1:4" x14ac:dyDescent="0.25">
      <c r="A115">
        <v>15539</v>
      </c>
      <c r="B115" s="3">
        <v>45092</v>
      </c>
      <c r="C115" t="s">
        <v>36</v>
      </c>
      <c r="D115">
        <v>2.2194860503077507E-2</v>
      </c>
    </row>
    <row r="116" spans="1:4" x14ac:dyDescent="0.25">
      <c r="A116">
        <v>15539</v>
      </c>
      <c r="B116" s="3">
        <v>45093</v>
      </c>
      <c r="C116" t="s">
        <v>36</v>
      </c>
      <c r="D116">
        <v>-1.5681557357311249E-2</v>
      </c>
    </row>
    <row r="117" spans="1:4" x14ac:dyDescent="0.25">
      <c r="A117">
        <v>15539</v>
      </c>
      <c r="B117" s="3">
        <v>45097</v>
      </c>
      <c r="C117" t="s">
        <v>36</v>
      </c>
      <c r="D117">
        <v>-1.4705868437886238E-2</v>
      </c>
    </row>
    <row r="118" spans="1:4" x14ac:dyDescent="0.25">
      <c r="A118">
        <v>15539</v>
      </c>
      <c r="B118" s="3">
        <v>45098</v>
      </c>
      <c r="C118" t="s">
        <v>36</v>
      </c>
      <c r="D118">
        <v>5.2238814532756805E-2</v>
      </c>
    </row>
    <row r="119" spans="1:4" x14ac:dyDescent="0.25">
      <c r="A119">
        <v>15539</v>
      </c>
      <c r="B119" s="3">
        <v>45099</v>
      </c>
      <c r="C119" t="s">
        <v>36</v>
      </c>
      <c r="D119">
        <v>-2.0094571635127068E-2</v>
      </c>
    </row>
    <row r="120" spans="1:4" x14ac:dyDescent="0.25">
      <c r="A120">
        <v>15539</v>
      </c>
      <c r="B120" s="3">
        <v>45100</v>
      </c>
      <c r="C120" t="s">
        <v>36</v>
      </c>
      <c r="D120">
        <v>-3.9806988090276718E-2</v>
      </c>
    </row>
    <row r="121" spans="1:4" x14ac:dyDescent="0.25">
      <c r="A121">
        <v>15539</v>
      </c>
      <c r="B121" s="3">
        <v>45103</v>
      </c>
      <c r="C121" t="s">
        <v>36</v>
      </c>
      <c r="D121">
        <v>1.3819051906466484E-2</v>
      </c>
    </row>
    <row r="122" spans="1:4" x14ac:dyDescent="0.25">
      <c r="A122">
        <v>15539</v>
      </c>
      <c r="B122" s="3">
        <v>45104</v>
      </c>
      <c r="C122" t="s">
        <v>36</v>
      </c>
      <c r="D122">
        <v>-1.9826499745249748E-2</v>
      </c>
    </row>
    <row r="123" spans="1:4" x14ac:dyDescent="0.25">
      <c r="A123">
        <v>15539</v>
      </c>
      <c r="B123" s="3">
        <v>45105</v>
      </c>
      <c r="C123" t="s">
        <v>36</v>
      </c>
      <c r="D123">
        <v>-8.8495193049311638E-3</v>
      </c>
    </row>
    <row r="124" spans="1:4" x14ac:dyDescent="0.25">
      <c r="A124">
        <v>15539</v>
      </c>
      <c r="B124" s="3">
        <v>45106</v>
      </c>
      <c r="C124" t="s">
        <v>36</v>
      </c>
      <c r="D124">
        <v>5.3571436554193497E-2</v>
      </c>
    </row>
    <row r="125" spans="1:4" x14ac:dyDescent="0.25">
      <c r="A125">
        <v>15539</v>
      </c>
      <c r="B125" s="3">
        <v>45107</v>
      </c>
      <c r="C125" t="s">
        <v>36</v>
      </c>
      <c r="D125">
        <v>2.4212473072111607E-3</v>
      </c>
    </row>
    <row r="126" spans="1:4" x14ac:dyDescent="0.25">
      <c r="A126">
        <v>15539</v>
      </c>
      <c r="B126" s="3">
        <v>45110</v>
      </c>
      <c r="C126" t="s">
        <v>36</v>
      </c>
      <c r="D126">
        <v>3.1400993466377258E-2</v>
      </c>
    </row>
    <row r="127" spans="1:4" x14ac:dyDescent="0.25">
      <c r="A127">
        <v>15539</v>
      </c>
      <c r="B127" s="3">
        <v>45112</v>
      </c>
      <c r="C127" t="s">
        <v>36</v>
      </c>
      <c r="D127">
        <v>1.6393482685089111E-2</v>
      </c>
    </row>
    <row r="128" spans="1:4" x14ac:dyDescent="0.25">
      <c r="A128">
        <v>15539</v>
      </c>
      <c r="B128" s="3">
        <v>45113</v>
      </c>
      <c r="C128" t="s">
        <v>36</v>
      </c>
      <c r="D128">
        <v>-1.4976970851421356E-2</v>
      </c>
    </row>
    <row r="129" spans="1:4" x14ac:dyDescent="0.25">
      <c r="A129">
        <v>15539</v>
      </c>
      <c r="B129" s="3">
        <v>45114</v>
      </c>
      <c r="C129" t="s">
        <v>36</v>
      </c>
      <c r="D129">
        <v>1.8713431432843208E-2</v>
      </c>
    </row>
    <row r="130" spans="1:4" x14ac:dyDescent="0.25">
      <c r="A130">
        <v>15539</v>
      </c>
      <c r="B130" s="3">
        <v>45117</v>
      </c>
      <c r="C130" t="s">
        <v>36</v>
      </c>
      <c r="D130">
        <v>-8.0367047339677811E-3</v>
      </c>
    </row>
    <row r="131" spans="1:4" x14ac:dyDescent="0.25">
      <c r="A131">
        <v>15539</v>
      </c>
      <c r="B131" s="3">
        <v>45118</v>
      </c>
      <c r="C131" t="s">
        <v>36</v>
      </c>
      <c r="D131">
        <v>1.5046308748424053E-2</v>
      </c>
    </row>
    <row r="132" spans="1:4" x14ac:dyDescent="0.25">
      <c r="A132">
        <v>15539</v>
      </c>
      <c r="B132" s="3">
        <v>45119</v>
      </c>
      <c r="C132" t="s">
        <v>36</v>
      </c>
      <c r="D132">
        <v>3.420721972361207E-3</v>
      </c>
    </row>
    <row r="133" spans="1:4" x14ac:dyDescent="0.25">
      <c r="A133">
        <v>15539</v>
      </c>
      <c r="B133" s="3">
        <v>45120</v>
      </c>
      <c r="C133" t="s">
        <v>36</v>
      </c>
      <c r="D133">
        <v>1.1363571509718895E-2</v>
      </c>
    </row>
    <row r="134" spans="1:4" x14ac:dyDescent="0.25">
      <c r="A134">
        <v>15539</v>
      </c>
      <c r="B134" s="3">
        <v>45121</v>
      </c>
      <c r="C134" t="s">
        <v>36</v>
      </c>
      <c r="D134">
        <v>2.2472424898296595E-3</v>
      </c>
    </row>
    <row r="135" spans="1:4" x14ac:dyDescent="0.25">
      <c r="A135">
        <v>15539</v>
      </c>
      <c r="B135" s="3">
        <v>45124</v>
      </c>
      <c r="C135" t="s">
        <v>36</v>
      </c>
      <c r="D135">
        <v>1.1210804805159569E-2</v>
      </c>
    </row>
    <row r="136" spans="1:4" x14ac:dyDescent="0.25">
      <c r="A136">
        <v>15539</v>
      </c>
      <c r="B136" s="3">
        <v>45125</v>
      </c>
      <c r="C136" t="s">
        <v>36</v>
      </c>
      <c r="D136">
        <v>9.9777374416589737E-3</v>
      </c>
    </row>
    <row r="137" spans="1:4" x14ac:dyDescent="0.25">
      <c r="A137">
        <v>15539</v>
      </c>
      <c r="B137" s="3">
        <v>45126</v>
      </c>
      <c r="C137" t="s">
        <v>36</v>
      </c>
      <c r="D137">
        <v>4.3907752260565758E-3</v>
      </c>
    </row>
    <row r="138" spans="1:4" x14ac:dyDescent="0.25">
      <c r="A138">
        <v>15539</v>
      </c>
      <c r="B138" s="3">
        <v>45127</v>
      </c>
      <c r="C138" t="s">
        <v>36</v>
      </c>
      <c r="D138">
        <v>-8.7431613355875015E-3</v>
      </c>
    </row>
    <row r="139" spans="1:4" x14ac:dyDescent="0.25">
      <c r="A139">
        <v>15539</v>
      </c>
      <c r="B139" s="3">
        <v>45128</v>
      </c>
      <c r="C139" t="s">
        <v>36</v>
      </c>
      <c r="D139">
        <v>2.2051222622394562E-3</v>
      </c>
    </row>
    <row r="140" spans="1:4" x14ac:dyDescent="0.25">
      <c r="A140">
        <v>15539</v>
      </c>
      <c r="B140" s="3">
        <v>45131</v>
      </c>
      <c r="C140" t="s">
        <v>36</v>
      </c>
      <c r="D140">
        <v>3.3003319054841995E-2</v>
      </c>
    </row>
    <row r="141" spans="1:4" x14ac:dyDescent="0.25">
      <c r="A141">
        <v>15539</v>
      </c>
      <c r="B141" s="3">
        <v>45132</v>
      </c>
      <c r="C141" t="s">
        <v>36</v>
      </c>
      <c r="D141">
        <v>5.3247320465743542E-3</v>
      </c>
    </row>
    <row r="142" spans="1:4" x14ac:dyDescent="0.25">
      <c r="A142">
        <v>15539</v>
      </c>
      <c r="B142" s="3">
        <v>45133</v>
      </c>
      <c r="C142" t="s">
        <v>36</v>
      </c>
      <c r="D142">
        <v>1.6949238255620003E-2</v>
      </c>
    </row>
    <row r="143" spans="1:4" x14ac:dyDescent="0.25">
      <c r="A143">
        <v>15539</v>
      </c>
      <c r="B143" s="3">
        <v>45134</v>
      </c>
      <c r="C143" t="s">
        <v>36</v>
      </c>
      <c r="D143">
        <v>1.8749931827187538E-2</v>
      </c>
    </row>
    <row r="144" spans="1:4" x14ac:dyDescent="0.25">
      <c r="A144">
        <v>15539</v>
      </c>
      <c r="B144" s="3">
        <v>45135</v>
      </c>
      <c r="C144" t="s">
        <v>36</v>
      </c>
      <c r="D144">
        <v>1.0225182631984353E-3</v>
      </c>
    </row>
    <row r="145" spans="1:4" x14ac:dyDescent="0.25">
      <c r="A145">
        <v>15539</v>
      </c>
      <c r="B145" s="3">
        <v>45138</v>
      </c>
      <c r="C145" t="s">
        <v>36</v>
      </c>
      <c r="D145">
        <v>-1.3278868049383163E-2</v>
      </c>
    </row>
    <row r="146" spans="1:4" x14ac:dyDescent="0.25">
      <c r="A146">
        <v>15539</v>
      </c>
      <c r="B146" s="3">
        <v>45139</v>
      </c>
      <c r="C146" t="s">
        <v>36</v>
      </c>
      <c r="D146">
        <v>-3.1055624131113291E-3</v>
      </c>
    </row>
    <row r="147" spans="1:4" x14ac:dyDescent="0.25">
      <c r="A147">
        <v>15539</v>
      </c>
      <c r="B147" s="3">
        <v>45140</v>
      </c>
      <c r="C147" t="s">
        <v>36</v>
      </c>
      <c r="D147">
        <v>3.4267906099557877E-2</v>
      </c>
    </row>
    <row r="148" spans="1:4" x14ac:dyDescent="0.25">
      <c r="A148">
        <v>15539</v>
      </c>
      <c r="B148" s="3">
        <v>45141</v>
      </c>
      <c r="C148" t="s">
        <v>36</v>
      </c>
      <c r="D148">
        <v>-1.9076263532042503E-2</v>
      </c>
    </row>
    <row r="149" spans="1:4" x14ac:dyDescent="0.25">
      <c r="A149">
        <v>15539</v>
      </c>
      <c r="B149" s="3">
        <v>45142</v>
      </c>
      <c r="C149" t="s">
        <v>36</v>
      </c>
      <c r="D149">
        <v>-1.842377707362175E-2</v>
      </c>
    </row>
    <row r="150" spans="1:4" x14ac:dyDescent="0.25">
      <c r="A150">
        <v>15539</v>
      </c>
      <c r="B150" s="3">
        <v>45145</v>
      </c>
      <c r="C150" t="s">
        <v>36</v>
      </c>
      <c r="D150">
        <v>3.3368058502674103E-2</v>
      </c>
    </row>
    <row r="151" spans="1:4" x14ac:dyDescent="0.25">
      <c r="A151">
        <v>15539</v>
      </c>
      <c r="B151" s="3">
        <v>45146</v>
      </c>
      <c r="C151" t="s">
        <v>36</v>
      </c>
      <c r="D151">
        <v>1.6145292669534683E-2</v>
      </c>
    </row>
    <row r="152" spans="1:4" x14ac:dyDescent="0.25">
      <c r="A152">
        <v>15539</v>
      </c>
      <c r="B152" s="3">
        <v>45147</v>
      </c>
      <c r="C152" t="s">
        <v>36</v>
      </c>
      <c r="D152">
        <v>-3.6742791533470154E-2</v>
      </c>
    </row>
    <row r="153" spans="1:4" x14ac:dyDescent="0.25">
      <c r="A153">
        <v>15539</v>
      </c>
      <c r="B153" s="3">
        <v>45148</v>
      </c>
      <c r="C153" t="s">
        <v>36</v>
      </c>
      <c r="D153">
        <v>0</v>
      </c>
    </row>
    <row r="154" spans="1:4" x14ac:dyDescent="0.25">
      <c r="A154">
        <v>15539</v>
      </c>
      <c r="B154" s="3">
        <v>45149</v>
      </c>
      <c r="C154" t="s">
        <v>36</v>
      </c>
      <c r="D154">
        <v>2.0619030110538006E-3</v>
      </c>
    </row>
    <row r="155" spans="1:4" x14ac:dyDescent="0.25">
      <c r="A155">
        <v>15539</v>
      </c>
      <c r="B155" s="3">
        <v>45152</v>
      </c>
      <c r="C155" t="s">
        <v>36</v>
      </c>
      <c r="D155">
        <v>-4.1152224875986576E-3</v>
      </c>
    </row>
    <row r="156" spans="1:4" x14ac:dyDescent="0.25">
      <c r="A156">
        <v>15539</v>
      </c>
      <c r="B156" s="3">
        <v>45153</v>
      </c>
      <c r="C156" t="s">
        <v>36</v>
      </c>
      <c r="D156">
        <v>-3.8223128765821457E-2</v>
      </c>
    </row>
    <row r="157" spans="1:4" x14ac:dyDescent="0.25">
      <c r="A157">
        <v>15539</v>
      </c>
      <c r="B157" s="3">
        <v>45154</v>
      </c>
      <c r="C157" t="s">
        <v>36</v>
      </c>
      <c r="D157">
        <v>0</v>
      </c>
    </row>
    <row r="158" spans="1:4" x14ac:dyDescent="0.25">
      <c r="A158">
        <v>15539</v>
      </c>
      <c r="B158" s="3">
        <v>45155</v>
      </c>
      <c r="C158" t="s">
        <v>36</v>
      </c>
      <c r="D158">
        <v>2.577870711684227E-2</v>
      </c>
    </row>
    <row r="159" spans="1:4" x14ac:dyDescent="0.25">
      <c r="A159">
        <v>15539</v>
      </c>
      <c r="B159" s="3">
        <v>45156</v>
      </c>
      <c r="C159" t="s">
        <v>36</v>
      </c>
      <c r="D159">
        <v>-1.3612576760351658E-2</v>
      </c>
    </row>
    <row r="160" spans="1:4" x14ac:dyDescent="0.25">
      <c r="A160">
        <v>15539</v>
      </c>
      <c r="B160" s="3">
        <v>45159</v>
      </c>
      <c r="C160" t="s">
        <v>36</v>
      </c>
      <c r="D160">
        <v>8.4925610572099686E-3</v>
      </c>
    </row>
    <row r="161" spans="1:4" x14ac:dyDescent="0.25">
      <c r="A161">
        <v>15539</v>
      </c>
      <c r="B161" s="3">
        <v>45160</v>
      </c>
      <c r="C161" t="s">
        <v>36</v>
      </c>
      <c r="D161">
        <v>-2.3157922551035881E-2</v>
      </c>
    </row>
    <row r="162" spans="1:4" x14ac:dyDescent="0.25">
      <c r="A162">
        <v>15539</v>
      </c>
      <c r="B162" s="3">
        <v>45161</v>
      </c>
      <c r="C162" t="s">
        <v>36</v>
      </c>
      <c r="D162">
        <v>1.2931022793054581E-2</v>
      </c>
    </row>
    <row r="163" spans="1:4" x14ac:dyDescent="0.25">
      <c r="A163">
        <v>15539</v>
      </c>
      <c r="B163" s="3">
        <v>45162</v>
      </c>
      <c r="C163" t="s">
        <v>36</v>
      </c>
      <c r="D163">
        <v>-2.0744649693369865E-2</v>
      </c>
    </row>
    <row r="164" spans="1:4" x14ac:dyDescent="0.25">
      <c r="A164">
        <v>15539</v>
      </c>
      <c r="B164" s="3">
        <v>45163</v>
      </c>
      <c r="C164" t="s">
        <v>36</v>
      </c>
      <c r="D164">
        <v>3.0961418524384499E-2</v>
      </c>
    </row>
    <row r="165" spans="1:4" x14ac:dyDescent="0.25">
      <c r="A165">
        <v>15539</v>
      </c>
      <c r="B165" s="3">
        <v>45166</v>
      </c>
      <c r="C165" t="s">
        <v>36</v>
      </c>
      <c r="D165">
        <v>-1.1591112241148949E-2</v>
      </c>
    </row>
    <row r="166" spans="1:4" x14ac:dyDescent="0.25">
      <c r="A166">
        <v>15539</v>
      </c>
      <c r="B166" s="3">
        <v>45167</v>
      </c>
      <c r="C166" t="s">
        <v>36</v>
      </c>
      <c r="D166">
        <v>1.2793164700269699E-2</v>
      </c>
    </row>
    <row r="167" spans="1:4" x14ac:dyDescent="0.25">
      <c r="A167">
        <v>15539</v>
      </c>
      <c r="B167" s="3">
        <v>45168</v>
      </c>
      <c r="C167" t="s">
        <v>36</v>
      </c>
      <c r="D167">
        <v>9.473700076341629E-3</v>
      </c>
    </row>
    <row r="168" spans="1:4" x14ac:dyDescent="0.25">
      <c r="A168">
        <v>15539</v>
      </c>
      <c r="B168" s="3">
        <v>45169</v>
      </c>
      <c r="C168" t="s">
        <v>36</v>
      </c>
      <c r="D168">
        <v>2.3983268067240715E-2</v>
      </c>
    </row>
    <row r="169" spans="1:4" x14ac:dyDescent="0.25">
      <c r="A169">
        <v>15539</v>
      </c>
      <c r="B169" s="3">
        <v>45170</v>
      </c>
      <c r="C169" t="s">
        <v>36</v>
      </c>
      <c r="D169">
        <v>9.1649852693080902E-3</v>
      </c>
    </row>
    <row r="170" spans="1:4" x14ac:dyDescent="0.25">
      <c r="A170">
        <v>15539</v>
      </c>
      <c r="B170" s="3">
        <v>45174</v>
      </c>
      <c r="C170" t="s">
        <v>36</v>
      </c>
      <c r="D170">
        <v>1.1099960654973984E-2</v>
      </c>
    </row>
    <row r="171" spans="1:4" x14ac:dyDescent="0.25">
      <c r="A171">
        <v>15539</v>
      </c>
      <c r="B171" s="3">
        <v>45175</v>
      </c>
      <c r="C171" t="s">
        <v>36</v>
      </c>
      <c r="D171">
        <v>-3.992107231169939E-3</v>
      </c>
    </row>
    <row r="172" spans="1:4" x14ac:dyDescent="0.25">
      <c r="A172">
        <v>15539</v>
      </c>
      <c r="B172" s="3">
        <v>45176</v>
      </c>
      <c r="C172" t="s">
        <v>36</v>
      </c>
      <c r="D172">
        <v>-4.0080123580992222E-3</v>
      </c>
    </row>
    <row r="173" spans="1:4" x14ac:dyDescent="0.25">
      <c r="A173">
        <v>15539</v>
      </c>
      <c r="B173" s="3">
        <v>45177</v>
      </c>
      <c r="C173" t="s">
        <v>36</v>
      </c>
      <c r="D173">
        <v>1.0060592321678996E-3</v>
      </c>
    </row>
    <row r="174" spans="1:4" x14ac:dyDescent="0.25">
      <c r="A174">
        <v>15539</v>
      </c>
      <c r="B174" s="3">
        <v>45180</v>
      </c>
      <c r="C174" t="s">
        <v>36</v>
      </c>
      <c r="D174">
        <v>-9.0452414005994797E-3</v>
      </c>
    </row>
    <row r="175" spans="1:4" x14ac:dyDescent="0.25">
      <c r="A175">
        <v>15539</v>
      </c>
      <c r="B175" s="3">
        <v>45181</v>
      </c>
      <c r="C175" t="s">
        <v>36</v>
      </c>
      <c r="D175">
        <v>-1.1156152002513409E-2</v>
      </c>
    </row>
    <row r="176" spans="1:4" x14ac:dyDescent="0.25">
      <c r="A176">
        <v>15539</v>
      </c>
      <c r="B176" s="3">
        <v>45182</v>
      </c>
      <c r="C176" t="s">
        <v>36</v>
      </c>
      <c r="D176">
        <v>2.1538466215133667E-2</v>
      </c>
    </row>
    <row r="177" spans="1:4" x14ac:dyDescent="0.25">
      <c r="A177">
        <v>15539</v>
      </c>
      <c r="B177" s="3">
        <v>45183</v>
      </c>
      <c r="C177" t="s">
        <v>36</v>
      </c>
      <c r="D177">
        <v>4.0160603821277618E-3</v>
      </c>
    </row>
    <row r="178" spans="1:4" x14ac:dyDescent="0.25">
      <c r="A178">
        <v>15539</v>
      </c>
      <c r="B178" s="3">
        <v>45184</v>
      </c>
      <c r="C178" t="s">
        <v>36</v>
      </c>
      <c r="D178">
        <v>-3.1999967992305756E-2</v>
      </c>
    </row>
    <row r="179" spans="1:4" x14ac:dyDescent="0.25">
      <c r="A179">
        <v>15539</v>
      </c>
      <c r="B179" s="3">
        <v>45187</v>
      </c>
      <c r="C179" t="s">
        <v>36</v>
      </c>
      <c r="D179">
        <v>-9.2975357547402382E-3</v>
      </c>
    </row>
    <row r="180" spans="1:4" x14ac:dyDescent="0.25">
      <c r="A180">
        <v>15539</v>
      </c>
      <c r="B180" s="3">
        <v>45188</v>
      </c>
      <c r="C180" t="s">
        <v>36</v>
      </c>
      <c r="D180">
        <v>-4.1710073128342628E-3</v>
      </c>
    </row>
    <row r="181" spans="1:4" x14ac:dyDescent="0.25">
      <c r="A181">
        <v>15539</v>
      </c>
      <c r="B181" s="3">
        <v>45189</v>
      </c>
      <c r="C181" t="s">
        <v>36</v>
      </c>
      <c r="D181">
        <v>1.2565433047711849E-2</v>
      </c>
    </row>
    <row r="182" spans="1:4" x14ac:dyDescent="0.25">
      <c r="A182">
        <v>15539</v>
      </c>
      <c r="B182" s="3">
        <v>45190</v>
      </c>
      <c r="C182" t="s">
        <v>36</v>
      </c>
      <c r="D182">
        <v>2.1716652438044548E-2</v>
      </c>
    </row>
    <row r="183" spans="1:4" x14ac:dyDescent="0.25">
      <c r="A183">
        <v>15539</v>
      </c>
      <c r="B183" s="3">
        <v>45191</v>
      </c>
      <c r="C183" t="s">
        <v>36</v>
      </c>
      <c r="D183">
        <v>1.0121399536728859E-2</v>
      </c>
    </row>
    <row r="184" spans="1:4" x14ac:dyDescent="0.25">
      <c r="A184">
        <v>15539</v>
      </c>
      <c r="B184" s="3">
        <v>45194</v>
      </c>
      <c r="C184" t="s">
        <v>36</v>
      </c>
      <c r="D184">
        <v>-1.0019313776865602E-3</v>
      </c>
    </row>
    <row r="185" spans="1:4" x14ac:dyDescent="0.25">
      <c r="A185">
        <v>15539</v>
      </c>
      <c r="B185" s="3">
        <v>45195</v>
      </c>
      <c r="C185" t="s">
        <v>36</v>
      </c>
      <c r="D185">
        <v>-3.2096352428197861E-2</v>
      </c>
    </row>
    <row r="186" spans="1:4" x14ac:dyDescent="0.25">
      <c r="A186">
        <v>15539</v>
      </c>
      <c r="B186" s="3">
        <v>45196</v>
      </c>
      <c r="C186" t="s">
        <v>36</v>
      </c>
      <c r="D186">
        <v>-2.2797856479883194E-2</v>
      </c>
    </row>
    <row r="187" spans="1:4" x14ac:dyDescent="0.25">
      <c r="A187">
        <v>15539</v>
      </c>
      <c r="B187" s="3">
        <v>45197</v>
      </c>
      <c r="C187" t="s">
        <v>36</v>
      </c>
      <c r="D187">
        <v>1.8027579411864281E-2</v>
      </c>
    </row>
    <row r="188" spans="1:4" x14ac:dyDescent="0.25">
      <c r="A188">
        <v>15539</v>
      </c>
      <c r="B188" s="3">
        <v>45198</v>
      </c>
      <c r="C188" t="s">
        <v>36</v>
      </c>
      <c r="D188">
        <v>9.3749165534973145E-3</v>
      </c>
    </row>
    <row r="189" spans="1:4" x14ac:dyDescent="0.25">
      <c r="A189">
        <v>15539</v>
      </c>
      <c r="B189" s="3">
        <v>45201</v>
      </c>
      <c r="C189" t="s">
        <v>36</v>
      </c>
      <c r="D189">
        <v>-2.8895743191242218E-2</v>
      </c>
    </row>
    <row r="190" spans="1:4" x14ac:dyDescent="0.25">
      <c r="A190">
        <v>15539</v>
      </c>
      <c r="B190" s="3">
        <v>45202</v>
      </c>
      <c r="C190" t="s">
        <v>36</v>
      </c>
      <c r="D190">
        <v>-1.2752379290759563E-2</v>
      </c>
    </row>
    <row r="191" spans="1:4" x14ac:dyDescent="0.25">
      <c r="A191">
        <v>15539</v>
      </c>
      <c r="B191" s="3">
        <v>45203</v>
      </c>
      <c r="C191" t="s">
        <v>36</v>
      </c>
      <c r="D191">
        <v>1.2917103245854378E-2</v>
      </c>
    </row>
    <row r="192" spans="1:4" x14ac:dyDescent="0.25">
      <c r="A192">
        <v>15539</v>
      </c>
      <c r="B192" s="3">
        <v>45204</v>
      </c>
      <c r="C192" t="s">
        <v>36</v>
      </c>
      <c r="D192">
        <v>6.3762404024600983E-3</v>
      </c>
    </row>
    <row r="193" spans="1:4" x14ac:dyDescent="0.25">
      <c r="A193">
        <v>15539</v>
      </c>
      <c r="B193" s="3">
        <v>45205</v>
      </c>
      <c r="C193" t="s">
        <v>36</v>
      </c>
      <c r="D193">
        <v>-1.0559903457760811E-3</v>
      </c>
    </row>
    <row r="194" spans="1:4" x14ac:dyDescent="0.25">
      <c r="A194">
        <v>15539</v>
      </c>
      <c r="B194" s="3">
        <v>45208</v>
      </c>
      <c r="C194" t="s">
        <v>36</v>
      </c>
      <c r="D194">
        <v>-3.1712190248072147E-3</v>
      </c>
    </row>
    <row r="195" spans="1:4" x14ac:dyDescent="0.25">
      <c r="A195">
        <v>15539</v>
      </c>
      <c r="B195" s="3">
        <v>45209</v>
      </c>
      <c r="C195" t="s">
        <v>36</v>
      </c>
      <c r="D195">
        <v>2.4390194565057755E-2</v>
      </c>
    </row>
    <row r="196" spans="1:4" x14ac:dyDescent="0.25">
      <c r="A196">
        <v>15539</v>
      </c>
      <c r="B196" s="3">
        <v>45210</v>
      </c>
      <c r="C196" t="s">
        <v>36</v>
      </c>
      <c r="D196">
        <v>-4.5548610389232635E-2</v>
      </c>
    </row>
    <row r="197" spans="1:4" x14ac:dyDescent="0.25">
      <c r="A197">
        <v>15539</v>
      </c>
      <c r="B197" s="3">
        <v>45211</v>
      </c>
      <c r="C197" t="s">
        <v>36</v>
      </c>
      <c r="D197">
        <v>-1.0846235090866685E-3</v>
      </c>
    </row>
    <row r="198" spans="1:4" x14ac:dyDescent="0.25">
      <c r="A198">
        <v>15539</v>
      </c>
      <c r="B198" s="3">
        <v>45212</v>
      </c>
      <c r="C198" t="s">
        <v>36</v>
      </c>
      <c r="D198">
        <v>2.0629703998565674E-2</v>
      </c>
    </row>
    <row r="199" spans="1:4" x14ac:dyDescent="0.25">
      <c r="A199">
        <v>15539</v>
      </c>
      <c r="B199" s="3">
        <v>45215</v>
      </c>
      <c r="C199" t="s">
        <v>36</v>
      </c>
      <c r="D199">
        <v>-1.5957407653331757E-2</v>
      </c>
    </row>
    <row r="200" spans="1:4" x14ac:dyDescent="0.25">
      <c r="A200">
        <v>15539</v>
      </c>
      <c r="B200" s="3">
        <v>45216</v>
      </c>
      <c r="C200" t="s">
        <v>36</v>
      </c>
      <c r="D200">
        <v>1.6216175630688667E-2</v>
      </c>
    </row>
    <row r="201" spans="1:4" x14ac:dyDescent="0.25">
      <c r="A201">
        <v>15539</v>
      </c>
      <c r="B201" s="3">
        <v>45217</v>
      </c>
      <c r="C201" t="s">
        <v>36</v>
      </c>
      <c r="D201">
        <v>9.5744850113987923E-3</v>
      </c>
    </row>
    <row r="202" spans="1:4" x14ac:dyDescent="0.25">
      <c r="A202">
        <v>15539</v>
      </c>
      <c r="B202" s="3">
        <v>45218</v>
      </c>
      <c r="C202" t="s">
        <v>36</v>
      </c>
      <c r="D202">
        <v>-2.212856151163578E-2</v>
      </c>
    </row>
    <row r="203" spans="1:4" x14ac:dyDescent="0.25">
      <c r="A203">
        <v>15539</v>
      </c>
      <c r="B203" s="3">
        <v>45219</v>
      </c>
      <c r="C203" t="s">
        <v>36</v>
      </c>
      <c r="D203">
        <v>3.5560335963964462E-2</v>
      </c>
    </row>
    <row r="204" spans="1:4" x14ac:dyDescent="0.25">
      <c r="A204">
        <v>15539</v>
      </c>
      <c r="B204" s="3">
        <v>45222</v>
      </c>
      <c r="C204" t="s">
        <v>36</v>
      </c>
      <c r="D204">
        <v>2.0812130533158779E-3</v>
      </c>
    </row>
    <row r="205" spans="1:4" x14ac:dyDescent="0.25">
      <c r="A205">
        <v>15539</v>
      </c>
      <c r="B205" s="3">
        <v>45223</v>
      </c>
      <c r="C205" t="s">
        <v>36</v>
      </c>
      <c r="D205">
        <v>1.5576284378767014E-2</v>
      </c>
    </row>
    <row r="206" spans="1:4" x14ac:dyDescent="0.25">
      <c r="A206">
        <v>15539</v>
      </c>
      <c r="B206" s="3">
        <v>45224</v>
      </c>
      <c r="C206" t="s">
        <v>36</v>
      </c>
      <c r="D206">
        <v>-8.1799514591693878E-3</v>
      </c>
    </row>
    <row r="207" spans="1:4" x14ac:dyDescent="0.25">
      <c r="A207">
        <v>15539</v>
      </c>
      <c r="B207" s="3">
        <v>45225</v>
      </c>
      <c r="C207" t="s">
        <v>36</v>
      </c>
      <c r="D207">
        <v>1.8556732684373856E-2</v>
      </c>
    </row>
    <row r="208" spans="1:4" x14ac:dyDescent="0.25">
      <c r="A208">
        <v>15539</v>
      </c>
      <c r="B208" s="3">
        <v>45226</v>
      </c>
      <c r="C208" t="s">
        <v>36</v>
      </c>
      <c r="D208">
        <v>-1.0121689410880208E-3</v>
      </c>
    </row>
    <row r="209" spans="1:4" x14ac:dyDescent="0.25">
      <c r="A209">
        <v>15539</v>
      </c>
      <c r="B209" s="3">
        <v>45229</v>
      </c>
      <c r="C209" t="s">
        <v>36</v>
      </c>
      <c r="D209">
        <v>-2.0262922625988722E-3</v>
      </c>
    </row>
    <row r="210" spans="1:4" x14ac:dyDescent="0.25">
      <c r="A210">
        <v>15539</v>
      </c>
      <c r="B210" s="3">
        <v>45230</v>
      </c>
      <c r="C210" t="s">
        <v>36</v>
      </c>
      <c r="D210">
        <v>-1.5228483825922012E-2</v>
      </c>
    </row>
    <row r="211" spans="1:4" x14ac:dyDescent="0.25">
      <c r="A211">
        <v>15539</v>
      </c>
      <c r="B211" s="3">
        <v>45231</v>
      </c>
      <c r="C211" t="s">
        <v>36</v>
      </c>
      <c r="D211">
        <v>-2.2680440917611122E-2</v>
      </c>
    </row>
    <row r="212" spans="1:4" x14ac:dyDescent="0.25">
      <c r="A212">
        <v>15539</v>
      </c>
      <c r="B212" s="3">
        <v>45232</v>
      </c>
      <c r="C212" t="s">
        <v>36</v>
      </c>
      <c r="D212">
        <v>-2.1096523851156235E-3</v>
      </c>
    </row>
    <row r="213" spans="1:4" x14ac:dyDescent="0.25">
      <c r="A213">
        <v>15539</v>
      </c>
      <c r="B213" s="3">
        <v>45233</v>
      </c>
      <c r="C213" t="s">
        <v>36</v>
      </c>
      <c r="D213">
        <v>1.0571066522970796E-3</v>
      </c>
    </row>
    <row r="214" spans="1:4" x14ac:dyDescent="0.25">
      <c r="A214">
        <v>15539</v>
      </c>
      <c r="B214" s="3">
        <v>45236</v>
      </c>
      <c r="C214" t="s">
        <v>36</v>
      </c>
      <c r="D214">
        <v>1.1615592055022717E-2</v>
      </c>
    </row>
    <row r="215" spans="1:4" x14ac:dyDescent="0.25">
      <c r="A215">
        <v>15539</v>
      </c>
      <c r="B215" s="3">
        <v>45237</v>
      </c>
      <c r="C215" t="s">
        <v>36</v>
      </c>
      <c r="D215">
        <v>-8.3507224917411804E-3</v>
      </c>
    </row>
    <row r="216" spans="1:4" x14ac:dyDescent="0.25">
      <c r="A216">
        <v>15539</v>
      </c>
      <c r="B216" s="3">
        <v>45238</v>
      </c>
      <c r="C216" t="s">
        <v>36</v>
      </c>
      <c r="D216">
        <v>9.473700076341629E-3</v>
      </c>
    </row>
    <row r="217" spans="1:4" x14ac:dyDescent="0.25">
      <c r="A217">
        <v>15539</v>
      </c>
      <c r="B217" s="3">
        <v>45239</v>
      </c>
      <c r="C217" t="s">
        <v>36</v>
      </c>
      <c r="D217">
        <v>-1.7726806923747063E-2</v>
      </c>
    </row>
    <row r="218" spans="1:4" x14ac:dyDescent="0.25">
      <c r="A218">
        <v>15539</v>
      </c>
      <c r="B218" s="3">
        <v>45240</v>
      </c>
      <c r="C218" t="s">
        <v>36</v>
      </c>
      <c r="D218">
        <v>-7.4309655465185642E-3</v>
      </c>
    </row>
    <row r="219" spans="1:4" x14ac:dyDescent="0.25">
      <c r="A219">
        <v>15539</v>
      </c>
      <c r="B219" s="3">
        <v>45243</v>
      </c>
      <c r="C219" t="s">
        <v>36</v>
      </c>
      <c r="D219">
        <v>3.2085275743156672E-3</v>
      </c>
    </row>
    <row r="220" spans="1:4" x14ac:dyDescent="0.25">
      <c r="A220">
        <v>15539</v>
      </c>
      <c r="B220" s="3">
        <v>45244</v>
      </c>
      <c r="C220" t="s">
        <v>36</v>
      </c>
      <c r="D220">
        <v>1.8123675137758255E-2</v>
      </c>
    </row>
    <row r="221" spans="1:4" x14ac:dyDescent="0.25">
      <c r="A221">
        <v>15539</v>
      </c>
      <c r="B221" s="3">
        <v>45245</v>
      </c>
      <c r="C221" t="s">
        <v>36</v>
      </c>
      <c r="D221">
        <v>5.2356221713125706E-3</v>
      </c>
    </row>
    <row r="222" spans="1:4" x14ac:dyDescent="0.25">
      <c r="A222">
        <v>15539</v>
      </c>
      <c r="B222" s="3">
        <v>45246</v>
      </c>
      <c r="C222" t="s">
        <v>36</v>
      </c>
      <c r="D222">
        <v>-2.0833809394389391E-3</v>
      </c>
    </row>
    <row r="223" spans="1:4" x14ac:dyDescent="0.25">
      <c r="A223">
        <v>15539</v>
      </c>
      <c r="B223" s="3">
        <v>45247</v>
      </c>
      <c r="C223" t="s">
        <v>36</v>
      </c>
      <c r="D223">
        <v>5.2192267030477524E-3</v>
      </c>
    </row>
    <row r="224" spans="1:4" x14ac:dyDescent="0.25">
      <c r="A224">
        <v>15539</v>
      </c>
      <c r="B224" s="3">
        <v>45250</v>
      </c>
      <c r="C224" t="s">
        <v>36</v>
      </c>
      <c r="D224">
        <v>7.2689196094870567E-3</v>
      </c>
    </row>
    <row r="225" spans="1:4" x14ac:dyDescent="0.25">
      <c r="A225">
        <v>15539</v>
      </c>
      <c r="B225" s="3">
        <v>45251</v>
      </c>
      <c r="C225" t="s">
        <v>36</v>
      </c>
      <c r="D225">
        <v>-1.0309515055269003E-3</v>
      </c>
    </row>
    <row r="226" spans="1:4" x14ac:dyDescent="0.25">
      <c r="A226">
        <v>15539</v>
      </c>
      <c r="B226" s="3">
        <v>45252</v>
      </c>
      <c r="C226" t="s">
        <v>36</v>
      </c>
      <c r="D226">
        <v>1.4447920024394989E-2</v>
      </c>
    </row>
    <row r="227" spans="1:4" x14ac:dyDescent="0.25">
      <c r="A227">
        <v>15539</v>
      </c>
      <c r="B227" s="3">
        <v>45254</v>
      </c>
      <c r="C227" t="s">
        <v>36</v>
      </c>
      <c r="D227">
        <v>1.0173172922804952E-3</v>
      </c>
    </row>
    <row r="228" spans="1:4" x14ac:dyDescent="0.25">
      <c r="A228">
        <v>15539</v>
      </c>
      <c r="B228" s="3">
        <v>45257</v>
      </c>
      <c r="C228" t="s">
        <v>36</v>
      </c>
      <c r="D228">
        <v>-4.0650367736816406E-3</v>
      </c>
    </row>
    <row r="229" spans="1:4" x14ac:dyDescent="0.25">
      <c r="A229">
        <v>15539</v>
      </c>
      <c r="B229" s="3">
        <v>45258</v>
      </c>
      <c r="C229" t="s">
        <v>36</v>
      </c>
      <c r="D229">
        <v>-1.020412053912878E-2</v>
      </c>
    </row>
    <row r="230" spans="1:4" x14ac:dyDescent="0.25">
      <c r="A230">
        <v>15539</v>
      </c>
      <c r="B230" s="3">
        <v>45259</v>
      </c>
      <c r="C230" t="s">
        <v>36</v>
      </c>
      <c r="D230">
        <v>9.2783663421869278E-3</v>
      </c>
    </row>
    <row r="231" spans="1:4" x14ac:dyDescent="0.25">
      <c r="A231">
        <v>15539</v>
      </c>
      <c r="B231" s="3">
        <v>45260</v>
      </c>
      <c r="C231" t="s">
        <v>36</v>
      </c>
      <c r="D231">
        <v>-3.0643241479992867E-3</v>
      </c>
    </row>
    <row r="232" spans="1:4" x14ac:dyDescent="0.25">
      <c r="A232">
        <v>15539</v>
      </c>
      <c r="B232" s="3">
        <v>45261</v>
      </c>
      <c r="C232" t="s">
        <v>36</v>
      </c>
      <c r="D232">
        <v>1.8442556262016296E-2</v>
      </c>
    </row>
    <row r="233" spans="1:4" x14ac:dyDescent="0.25">
      <c r="A233">
        <v>15539</v>
      </c>
      <c r="B233" s="3">
        <v>45264</v>
      </c>
      <c r="C233" t="s">
        <v>36</v>
      </c>
      <c r="D233">
        <v>1.0060400702059269E-2</v>
      </c>
    </row>
    <row r="234" spans="1:4" x14ac:dyDescent="0.25">
      <c r="A234">
        <v>15539</v>
      </c>
      <c r="B234" s="3">
        <v>45265</v>
      </c>
      <c r="C234" t="s">
        <v>36</v>
      </c>
      <c r="D234">
        <v>-2.689238078892231E-2</v>
      </c>
    </row>
    <row r="235" spans="1:4" x14ac:dyDescent="0.25">
      <c r="A235">
        <v>15539</v>
      </c>
      <c r="B235" s="3">
        <v>45266</v>
      </c>
      <c r="C235" t="s">
        <v>36</v>
      </c>
      <c r="D235">
        <v>5.1176287233829498E-3</v>
      </c>
    </row>
    <row r="236" spans="1:4" x14ac:dyDescent="0.25">
      <c r="A236">
        <v>15539</v>
      </c>
      <c r="B236" s="3">
        <v>45267</v>
      </c>
      <c r="C236" t="s">
        <v>36</v>
      </c>
      <c r="D236">
        <v>-7.1282787248492241E-3</v>
      </c>
    </row>
    <row r="237" spans="1:4" x14ac:dyDescent="0.25">
      <c r="A237">
        <v>15539</v>
      </c>
      <c r="B237" s="3">
        <v>45268</v>
      </c>
      <c r="C237" t="s">
        <v>36</v>
      </c>
      <c r="D237">
        <v>1.3333344832062721E-2</v>
      </c>
    </row>
    <row r="238" spans="1:4" x14ac:dyDescent="0.25">
      <c r="A238">
        <v>15539</v>
      </c>
      <c r="B238" s="3">
        <v>45271</v>
      </c>
      <c r="C238" t="s">
        <v>36</v>
      </c>
      <c r="D238">
        <v>-5.0607481971383095E-3</v>
      </c>
    </row>
    <row r="239" spans="1:4" x14ac:dyDescent="0.25">
      <c r="A239">
        <v>15539</v>
      </c>
      <c r="B239" s="3">
        <v>45272</v>
      </c>
      <c r="C239" t="s">
        <v>36</v>
      </c>
      <c r="D239">
        <v>-1.1190199293196201E-2</v>
      </c>
    </row>
    <row r="240" spans="1:4" x14ac:dyDescent="0.25">
      <c r="A240">
        <v>15539</v>
      </c>
      <c r="B240" s="3">
        <v>45273</v>
      </c>
      <c r="C240" t="s">
        <v>36</v>
      </c>
      <c r="D240">
        <v>-8.2304449751973152E-3</v>
      </c>
    </row>
    <row r="241" spans="1:4" x14ac:dyDescent="0.25">
      <c r="A241">
        <v>15539</v>
      </c>
      <c r="B241" s="3">
        <v>45274</v>
      </c>
      <c r="C241" t="s">
        <v>36</v>
      </c>
      <c r="D241">
        <v>1.0373384691774845E-2</v>
      </c>
    </row>
    <row r="242" spans="1:4" x14ac:dyDescent="0.25">
      <c r="A242">
        <v>15539</v>
      </c>
      <c r="B242" s="3">
        <v>45275</v>
      </c>
      <c r="C242" t="s">
        <v>36</v>
      </c>
      <c r="D242">
        <v>8.2135442644357681E-3</v>
      </c>
    </row>
    <row r="243" spans="1:4" x14ac:dyDescent="0.25">
      <c r="A243">
        <v>15539</v>
      </c>
      <c r="B243" s="3">
        <v>45278</v>
      </c>
      <c r="C243" t="s">
        <v>36</v>
      </c>
      <c r="D243">
        <v>-3.0549627263098955E-3</v>
      </c>
    </row>
    <row r="244" spans="1:4" x14ac:dyDescent="0.25">
      <c r="A244">
        <v>15539</v>
      </c>
      <c r="B244" s="3">
        <v>45279</v>
      </c>
      <c r="C244" t="s">
        <v>36</v>
      </c>
      <c r="D244">
        <v>1.6343191266059875E-2</v>
      </c>
    </row>
    <row r="245" spans="1:4" x14ac:dyDescent="0.25">
      <c r="A245">
        <v>15539</v>
      </c>
      <c r="B245" s="3">
        <v>45280</v>
      </c>
      <c r="C245" t="s">
        <v>36</v>
      </c>
      <c r="D245">
        <v>0</v>
      </c>
    </row>
    <row r="246" spans="1:4" x14ac:dyDescent="0.25">
      <c r="A246">
        <v>15539</v>
      </c>
      <c r="B246" s="3">
        <v>45281</v>
      </c>
      <c r="C246" t="s">
        <v>36</v>
      </c>
      <c r="D246">
        <v>1.0050289332866669E-2</v>
      </c>
    </row>
    <row r="247" spans="1:4" x14ac:dyDescent="0.25">
      <c r="A247">
        <v>15539</v>
      </c>
      <c r="B247" s="3">
        <v>45282</v>
      </c>
      <c r="C247" t="s">
        <v>36</v>
      </c>
      <c r="D247">
        <v>-4.9751433543860912E-3</v>
      </c>
    </row>
    <row r="248" spans="1:4" x14ac:dyDescent="0.25">
      <c r="A248">
        <v>15539</v>
      </c>
      <c r="B248" s="3">
        <v>45286</v>
      </c>
      <c r="C248" t="s">
        <v>36</v>
      </c>
      <c r="D248">
        <v>0</v>
      </c>
    </row>
    <row r="249" spans="1:4" x14ac:dyDescent="0.25">
      <c r="A249">
        <v>15539</v>
      </c>
      <c r="B249" s="3">
        <v>45287</v>
      </c>
      <c r="C249" t="s">
        <v>36</v>
      </c>
      <c r="D249">
        <v>3.9999959990382195E-3</v>
      </c>
    </row>
    <row r="250" spans="1:4" x14ac:dyDescent="0.25">
      <c r="A250">
        <v>15539</v>
      </c>
      <c r="B250" s="3">
        <v>45288</v>
      </c>
      <c r="C250" t="s">
        <v>36</v>
      </c>
      <c r="D250">
        <v>-1.9919825717806816E-3</v>
      </c>
    </row>
    <row r="251" spans="1:4" x14ac:dyDescent="0.25">
      <c r="A251">
        <v>15539</v>
      </c>
      <c r="B251" s="3">
        <v>45289</v>
      </c>
      <c r="C251" t="s">
        <v>36</v>
      </c>
      <c r="D251">
        <v>4.9899434670805931E-3</v>
      </c>
    </row>
    <row r="252" spans="1:4" x14ac:dyDescent="0.25">
      <c r="A252">
        <v>18134</v>
      </c>
      <c r="B252" s="3">
        <v>44929</v>
      </c>
      <c r="C252" t="s">
        <v>35</v>
      </c>
      <c r="D252">
        <v>3.2567065209150314E-2</v>
      </c>
    </row>
    <row r="253" spans="1:4" x14ac:dyDescent="0.25">
      <c r="A253">
        <v>18134</v>
      </c>
      <c r="B253" s="3">
        <v>44930</v>
      </c>
      <c r="C253" t="s">
        <v>35</v>
      </c>
      <c r="D253">
        <v>5.6586328893899918E-2</v>
      </c>
    </row>
    <row r="254" spans="1:4" x14ac:dyDescent="0.25">
      <c r="A254">
        <v>18134</v>
      </c>
      <c r="B254" s="3">
        <v>44931</v>
      </c>
      <c r="C254" t="s">
        <v>35</v>
      </c>
      <c r="D254">
        <v>9.657563641667366E-3</v>
      </c>
    </row>
    <row r="255" spans="1:4" x14ac:dyDescent="0.25">
      <c r="A255">
        <v>18134</v>
      </c>
      <c r="B255" s="3">
        <v>44932</v>
      </c>
      <c r="C255" t="s">
        <v>35</v>
      </c>
      <c r="D255">
        <v>-8.6956853047013283E-3</v>
      </c>
    </row>
    <row r="256" spans="1:4" x14ac:dyDescent="0.25">
      <c r="A256">
        <v>18134</v>
      </c>
      <c r="B256" s="3">
        <v>44935</v>
      </c>
      <c r="C256" t="s">
        <v>35</v>
      </c>
      <c r="D256">
        <v>1.2280732393264771E-2</v>
      </c>
    </row>
    <row r="257" spans="1:4" x14ac:dyDescent="0.25">
      <c r="A257">
        <v>18134</v>
      </c>
      <c r="B257" s="3">
        <v>44936</v>
      </c>
      <c r="C257" t="s">
        <v>35</v>
      </c>
      <c r="D257">
        <v>-5.1993429660797119E-3</v>
      </c>
    </row>
    <row r="258" spans="1:4" x14ac:dyDescent="0.25">
      <c r="A258">
        <v>18134</v>
      </c>
      <c r="B258" s="3">
        <v>44937</v>
      </c>
      <c r="C258" t="s">
        <v>35</v>
      </c>
      <c r="D258">
        <v>7.2299733757972717E-2</v>
      </c>
    </row>
    <row r="259" spans="1:4" x14ac:dyDescent="0.25">
      <c r="A259">
        <v>18134</v>
      </c>
      <c r="B259" s="3">
        <v>44938</v>
      </c>
      <c r="C259" t="s">
        <v>35</v>
      </c>
      <c r="D259">
        <v>2.3558078333735466E-2</v>
      </c>
    </row>
    <row r="260" spans="1:4" x14ac:dyDescent="0.25">
      <c r="A260">
        <v>18134</v>
      </c>
      <c r="B260" s="3">
        <v>44939</v>
      </c>
      <c r="C260" t="s">
        <v>35</v>
      </c>
      <c r="D260">
        <v>0</v>
      </c>
    </row>
    <row r="261" spans="1:4" x14ac:dyDescent="0.25">
      <c r="A261">
        <v>18134</v>
      </c>
      <c r="B261" s="3">
        <v>44943</v>
      </c>
      <c r="C261" t="s">
        <v>35</v>
      </c>
      <c r="D261">
        <v>-3.9682690985500813E-3</v>
      </c>
    </row>
    <row r="262" spans="1:4" x14ac:dyDescent="0.25">
      <c r="A262">
        <v>18134</v>
      </c>
      <c r="B262" s="3">
        <v>44944</v>
      </c>
      <c r="C262" t="s">
        <v>35</v>
      </c>
      <c r="D262">
        <v>3.9840787649154663E-3</v>
      </c>
    </row>
    <row r="263" spans="1:4" x14ac:dyDescent="0.25">
      <c r="A263">
        <v>18134</v>
      </c>
      <c r="B263" s="3">
        <v>44945</v>
      </c>
      <c r="C263" t="s">
        <v>35</v>
      </c>
      <c r="D263">
        <v>-2.4603206664323807E-2</v>
      </c>
    </row>
    <row r="264" spans="1:4" x14ac:dyDescent="0.25">
      <c r="A264">
        <v>18134</v>
      </c>
      <c r="B264" s="3">
        <v>44946</v>
      </c>
      <c r="C264" t="s">
        <v>35</v>
      </c>
      <c r="D264">
        <v>1.8714442849159241E-2</v>
      </c>
    </row>
    <row r="265" spans="1:4" x14ac:dyDescent="0.25">
      <c r="A265">
        <v>18134</v>
      </c>
      <c r="B265" s="3">
        <v>44949</v>
      </c>
      <c r="C265" t="s">
        <v>35</v>
      </c>
      <c r="D265">
        <v>2.7156485244631767E-2</v>
      </c>
    </row>
    <row r="266" spans="1:4" x14ac:dyDescent="0.25">
      <c r="A266">
        <v>18134</v>
      </c>
      <c r="B266" s="3">
        <v>44950</v>
      </c>
      <c r="C266" t="s">
        <v>35</v>
      </c>
      <c r="D266">
        <v>-3.2659415155649185E-2</v>
      </c>
    </row>
    <row r="267" spans="1:4" x14ac:dyDescent="0.25">
      <c r="A267">
        <v>18134</v>
      </c>
      <c r="B267" s="3">
        <v>44951</v>
      </c>
      <c r="C267" t="s">
        <v>35</v>
      </c>
      <c r="D267">
        <v>-8.8424161076545715E-3</v>
      </c>
    </row>
    <row r="268" spans="1:4" x14ac:dyDescent="0.25">
      <c r="A268">
        <v>18134</v>
      </c>
      <c r="B268" s="3">
        <v>44952</v>
      </c>
      <c r="C268" t="s">
        <v>35</v>
      </c>
      <c r="D268">
        <v>1.1354448273777962E-2</v>
      </c>
    </row>
    <row r="269" spans="1:4" x14ac:dyDescent="0.25">
      <c r="A269">
        <v>18134</v>
      </c>
      <c r="B269" s="3">
        <v>44953</v>
      </c>
      <c r="C269" t="s">
        <v>35</v>
      </c>
      <c r="D269">
        <v>5.0521258264780045E-2</v>
      </c>
    </row>
    <row r="270" spans="1:4" x14ac:dyDescent="0.25">
      <c r="A270">
        <v>18134</v>
      </c>
      <c r="B270" s="3">
        <v>44956</v>
      </c>
      <c r="C270" t="s">
        <v>35</v>
      </c>
      <c r="D270">
        <v>-3.9694689214229584E-2</v>
      </c>
    </row>
    <row r="271" spans="1:4" x14ac:dyDescent="0.25">
      <c r="A271">
        <v>18134</v>
      </c>
      <c r="B271" s="3">
        <v>44957</v>
      </c>
      <c r="C271" t="s">
        <v>35</v>
      </c>
      <c r="D271">
        <v>3.020668588578701E-2</v>
      </c>
    </row>
    <row r="272" spans="1:4" x14ac:dyDescent="0.25">
      <c r="A272">
        <v>18134</v>
      </c>
      <c r="B272" s="3">
        <v>44958</v>
      </c>
      <c r="C272" t="s">
        <v>35</v>
      </c>
      <c r="D272">
        <v>4.5524701476097107E-2</v>
      </c>
    </row>
    <row r="273" spans="1:4" x14ac:dyDescent="0.25">
      <c r="A273">
        <v>18134</v>
      </c>
      <c r="B273" s="3">
        <v>44959</v>
      </c>
      <c r="C273" t="s">
        <v>35</v>
      </c>
      <c r="D273">
        <v>7.2324685752391815E-2</v>
      </c>
    </row>
    <row r="274" spans="1:4" x14ac:dyDescent="0.25">
      <c r="A274">
        <v>18134</v>
      </c>
      <c r="B274" s="3">
        <v>44960</v>
      </c>
      <c r="C274" t="s">
        <v>35</v>
      </c>
      <c r="D274">
        <v>-5.29937744140625E-2</v>
      </c>
    </row>
    <row r="275" spans="1:4" x14ac:dyDescent="0.25">
      <c r="A275">
        <v>18134</v>
      </c>
      <c r="B275" s="3">
        <v>44963</v>
      </c>
      <c r="C275" t="s">
        <v>35</v>
      </c>
      <c r="D275">
        <v>-6.5407087095081806E-3</v>
      </c>
    </row>
    <row r="276" spans="1:4" x14ac:dyDescent="0.25">
      <c r="A276">
        <v>18134</v>
      </c>
      <c r="B276" s="3">
        <v>44964</v>
      </c>
      <c r="C276" t="s">
        <v>35</v>
      </c>
      <c r="D276">
        <v>8.0467928200960159E-3</v>
      </c>
    </row>
    <row r="277" spans="1:4" x14ac:dyDescent="0.25">
      <c r="A277">
        <v>18134</v>
      </c>
      <c r="B277" s="3">
        <v>44965</v>
      </c>
      <c r="C277" t="s">
        <v>35</v>
      </c>
      <c r="D277">
        <v>-2.3222038522362709E-2</v>
      </c>
    </row>
    <row r="278" spans="1:4" x14ac:dyDescent="0.25">
      <c r="A278">
        <v>18134</v>
      </c>
      <c r="B278" s="3">
        <v>44966</v>
      </c>
      <c r="C278" t="s">
        <v>35</v>
      </c>
      <c r="D278">
        <v>-2.971765398979187E-2</v>
      </c>
    </row>
    <row r="279" spans="1:4" x14ac:dyDescent="0.25">
      <c r="A279">
        <v>18134</v>
      </c>
      <c r="B279" s="3">
        <v>44967</v>
      </c>
      <c r="C279" t="s">
        <v>35</v>
      </c>
      <c r="D279">
        <v>-4.2879052460193634E-2</v>
      </c>
    </row>
    <row r="280" spans="1:4" x14ac:dyDescent="0.25">
      <c r="A280">
        <v>18134</v>
      </c>
      <c r="B280" s="3">
        <v>44970</v>
      </c>
      <c r="C280" t="s">
        <v>35</v>
      </c>
      <c r="D280">
        <v>4.4800031930208206E-2</v>
      </c>
    </row>
    <row r="281" spans="1:4" x14ac:dyDescent="0.25">
      <c r="A281">
        <v>18134</v>
      </c>
      <c r="B281" s="3">
        <v>44971</v>
      </c>
      <c r="C281" t="s">
        <v>35</v>
      </c>
      <c r="D281">
        <v>8.4226382896304131E-3</v>
      </c>
    </row>
    <row r="282" spans="1:4" x14ac:dyDescent="0.25">
      <c r="A282">
        <v>18134</v>
      </c>
      <c r="B282" s="3">
        <v>44972</v>
      </c>
      <c r="C282" t="s">
        <v>35</v>
      </c>
      <c r="D282">
        <v>5.8466173708438873E-2</v>
      </c>
    </row>
    <row r="283" spans="1:4" x14ac:dyDescent="0.25">
      <c r="A283">
        <v>18134</v>
      </c>
      <c r="B283" s="3">
        <v>44973</v>
      </c>
      <c r="C283" t="s">
        <v>35</v>
      </c>
      <c r="D283">
        <v>-0.15279765427112579</v>
      </c>
    </row>
    <row r="284" spans="1:4" x14ac:dyDescent="0.25">
      <c r="A284">
        <v>18134</v>
      </c>
      <c r="B284" s="3">
        <v>44974</v>
      </c>
      <c r="C284" t="s">
        <v>35</v>
      </c>
      <c r="D284">
        <v>-7.6206731610000134E-3</v>
      </c>
    </row>
    <row r="285" spans="1:4" x14ac:dyDescent="0.25">
      <c r="A285">
        <v>18134</v>
      </c>
      <c r="B285" s="3">
        <v>44978</v>
      </c>
      <c r="C285" t="s">
        <v>35</v>
      </c>
      <c r="D285">
        <v>-2.3890843614935875E-2</v>
      </c>
    </row>
    <row r="286" spans="1:4" x14ac:dyDescent="0.25">
      <c r="A286">
        <v>18134</v>
      </c>
      <c r="B286" s="3">
        <v>44979</v>
      </c>
      <c r="C286" t="s">
        <v>35</v>
      </c>
      <c r="D286">
        <v>3.3216793090105057E-2</v>
      </c>
    </row>
    <row r="287" spans="1:4" x14ac:dyDescent="0.25">
      <c r="A287">
        <v>18134</v>
      </c>
      <c r="B287" s="3">
        <v>44980</v>
      </c>
      <c r="C287" t="s">
        <v>35</v>
      </c>
      <c r="D287">
        <v>-2.2842599079012871E-2</v>
      </c>
    </row>
    <row r="288" spans="1:4" x14ac:dyDescent="0.25">
      <c r="A288">
        <v>18134</v>
      </c>
      <c r="B288" s="3">
        <v>44981</v>
      </c>
      <c r="C288" t="s">
        <v>35</v>
      </c>
      <c r="D288">
        <v>-4.5887421816587448E-2</v>
      </c>
    </row>
    <row r="289" spans="1:4" x14ac:dyDescent="0.25">
      <c r="A289">
        <v>18134</v>
      </c>
      <c r="B289" s="3">
        <v>44984</v>
      </c>
      <c r="C289" t="s">
        <v>35</v>
      </c>
      <c r="D289">
        <v>-7.2596073150634766E-3</v>
      </c>
    </row>
    <row r="290" spans="1:4" x14ac:dyDescent="0.25">
      <c r="A290">
        <v>18134</v>
      </c>
      <c r="B290" s="3">
        <v>44985</v>
      </c>
      <c r="C290" t="s">
        <v>35</v>
      </c>
      <c r="D290">
        <v>3.6563124507665634E-2</v>
      </c>
    </row>
    <row r="291" spans="1:4" x14ac:dyDescent="0.25">
      <c r="A291">
        <v>18134</v>
      </c>
      <c r="B291" s="3">
        <v>44986</v>
      </c>
      <c r="C291" t="s">
        <v>35</v>
      </c>
      <c r="D291">
        <v>2.9100522398948669E-2</v>
      </c>
    </row>
    <row r="292" spans="1:4" x14ac:dyDescent="0.25">
      <c r="A292">
        <v>18134</v>
      </c>
      <c r="B292" s="3">
        <v>44987</v>
      </c>
      <c r="C292" t="s">
        <v>35</v>
      </c>
      <c r="D292">
        <v>7.7120955102145672E-3</v>
      </c>
    </row>
    <row r="293" spans="1:4" x14ac:dyDescent="0.25">
      <c r="A293">
        <v>18134</v>
      </c>
      <c r="B293" s="3">
        <v>44988</v>
      </c>
      <c r="C293" t="s">
        <v>35</v>
      </c>
      <c r="D293">
        <v>3.826528787612915E-2</v>
      </c>
    </row>
    <row r="294" spans="1:4" x14ac:dyDescent="0.25">
      <c r="A294">
        <v>18134</v>
      </c>
      <c r="B294" s="3">
        <v>44991</v>
      </c>
      <c r="C294" t="s">
        <v>35</v>
      </c>
      <c r="D294">
        <v>-2.2932000458240509E-2</v>
      </c>
    </row>
    <row r="295" spans="1:4" x14ac:dyDescent="0.25">
      <c r="A295">
        <v>18134</v>
      </c>
      <c r="B295" s="3">
        <v>44992</v>
      </c>
      <c r="C295" t="s">
        <v>35</v>
      </c>
      <c r="D295">
        <v>-1.005866564810276E-2</v>
      </c>
    </row>
    <row r="296" spans="1:4" x14ac:dyDescent="0.25">
      <c r="A296">
        <v>18134</v>
      </c>
      <c r="B296" s="3">
        <v>44993</v>
      </c>
      <c r="C296" t="s">
        <v>35</v>
      </c>
      <c r="D296">
        <v>-2.7942495420575142E-2</v>
      </c>
    </row>
    <row r="297" spans="1:4" x14ac:dyDescent="0.25">
      <c r="A297">
        <v>18134</v>
      </c>
      <c r="B297" s="3">
        <v>44994</v>
      </c>
      <c r="C297" t="s">
        <v>35</v>
      </c>
      <c r="D297">
        <v>-3.0487757176160812E-2</v>
      </c>
    </row>
    <row r="298" spans="1:4" x14ac:dyDescent="0.25">
      <c r="A298">
        <v>18134</v>
      </c>
      <c r="B298" s="3">
        <v>44995</v>
      </c>
      <c r="C298" t="s">
        <v>35</v>
      </c>
      <c r="D298">
        <v>-4.5822121202945709E-2</v>
      </c>
    </row>
    <row r="299" spans="1:4" x14ac:dyDescent="0.25">
      <c r="A299">
        <v>18134</v>
      </c>
      <c r="B299" s="3">
        <v>44998</v>
      </c>
      <c r="C299" t="s">
        <v>35</v>
      </c>
      <c r="D299">
        <v>-9.4164116308093071E-4</v>
      </c>
    </row>
    <row r="300" spans="1:4" x14ac:dyDescent="0.25">
      <c r="A300">
        <v>18134</v>
      </c>
      <c r="B300" s="3">
        <v>44999</v>
      </c>
      <c r="C300" t="s">
        <v>35</v>
      </c>
      <c r="D300">
        <v>-1.4137570746243E-2</v>
      </c>
    </row>
    <row r="301" spans="1:4" x14ac:dyDescent="0.25">
      <c r="A301">
        <v>18134</v>
      </c>
      <c r="B301" s="3">
        <v>45000</v>
      </c>
      <c r="C301" t="s">
        <v>35</v>
      </c>
      <c r="D301">
        <v>3.8240880239754915E-3</v>
      </c>
    </row>
    <row r="302" spans="1:4" x14ac:dyDescent="0.25">
      <c r="A302">
        <v>18134</v>
      </c>
      <c r="B302" s="3">
        <v>45001</v>
      </c>
      <c r="C302" t="s">
        <v>35</v>
      </c>
      <c r="D302">
        <v>-1.1428560130298138E-2</v>
      </c>
    </row>
    <row r="303" spans="1:4" x14ac:dyDescent="0.25">
      <c r="A303">
        <v>18134</v>
      </c>
      <c r="B303" s="3">
        <v>45002</v>
      </c>
      <c r="C303" t="s">
        <v>35</v>
      </c>
      <c r="D303">
        <v>-3.2755311578512192E-2</v>
      </c>
    </row>
    <row r="304" spans="1:4" x14ac:dyDescent="0.25">
      <c r="A304">
        <v>18134</v>
      </c>
      <c r="B304" s="3">
        <v>45005</v>
      </c>
      <c r="C304" t="s">
        <v>35</v>
      </c>
      <c r="D304">
        <v>1.7928317189216614E-2</v>
      </c>
    </row>
    <row r="305" spans="1:4" x14ac:dyDescent="0.25">
      <c r="A305">
        <v>18134</v>
      </c>
      <c r="B305" s="3">
        <v>45006</v>
      </c>
      <c r="C305" t="s">
        <v>35</v>
      </c>
      <c r="D305">
        <v>4.4031292200088501E-2</v>
      </c>
    </row>
    <row r="306" spans="1:4" x14ac:dyDescent="0.25">
      <c r="A306">
        <v>18134</v>
      </c>
      <c r="B306" s="3">
        <v>45007</v>
      </c>
      <c r="C306" t="s">
        <v>35</v>
      </c>
      <c r="D306">
        <v>1.8743677064776421E-3</v>
      </c>
    </row>
    <row r="307" spans="1:4" x14ac:dyDescent="0.25">
      <c r="A307">
        <v>18134</v>
      </c>
      <c r="B307" s="3">
        <v>45008</v>
      </c>
      <c r="C307" t="s">
        <v>35</v>
      </c>
      <c r="D307">
        <v>3.2740917056798935E-2</v>
      </c>
    </row>
    <row r="308" spans="1:4" x14ac:dyDescent="0.25">
      <c r="A308">
        <v>18134</v>
      </c>
      <c r="B308" s="3">
        <v>45009</v>
      </c>
      <c r="C308" t="s">
        <v>35</v>
      </c>
      <c r="D308">
        <v>3.8949303328990936E-2</v>
      </c>
    </row>
    <row r="309" spans="1:4" x14ac:dyDescent="0.25">
      <c r="A309">
        <v>18134</v>
      </c>
      <c r="B309" s="3">
        <v>45012</v>
      </c>
      <c r="C309" t="s">
        <v>35</v>
      </c>
      <c r="D309">
        <v>-1.6564998775720596E-2</v>
      </c>
    </row>
    <row r="310" spans="1:4" x14ac:dyDescent="0.25">
      <c r="A310">
        <v>18134</v>
      </c>
      <c r="B310" s="3">
        <v>45013</v>
      </c>
      <c r="C310" t="s">
        <v>35</v>
      </c>
      <c r="D310">
        <v>-5.4077986627817154E-2</v>
      </c>
    </row>
    <row r="311" spans="1:4" x14ac:dyDescent="0.25">
      <c r="A311">
        <v>18134</v>
      </c>
      <c r="B311" s="3">
        <v>45014</v>
      </c>
      <c r="C311" t="s">
        <v>35</v>
      </c>
      <c r="D311">
        <v>1.2183703482151031E-2</v>
      </c>
    </row>
    <row r="312" spans="1:4" x14ac:dyDescent="0.25">
      <c r="A312">
        <v>18134</v>
      </c>
      <c r="B312" s="3">
        <v>45015</v>
      </c>
      <c r="C312" t="s">
        <v>35</v>
      </c>
      <c r="D312">
        <v>1.8518059514462948E-3</v>
      </c>
    </row>
    <row r="313" spans="1:4" x14ac:dyDescent="0.25">
      <c r="A313">
        <v>18134</v>
      </c>
      <c r="B313" s="3">
        <v>45016</v>
      </c>
      <c r="C313" t="s">
        <v>35</v>
      </c>
      <c r="D313">
        <v>4.6210721135139465E-2</v>
      </c>
    </row>
    <row r="314" spans="1:4" x14ac:dyDescent="0.25">
      <c r="A314">
        <v>18134</v>
      </c>
      <c r="B314" s="3">
        <v>45019</v>
      </c>
      <c r="C314" t="s">
        <v>35</v>
      </c>
      <c r="D314">
        <v>-2.7385111898183823E-2</v>
      </c>
    </row>
    <row r="315" spans="1:4" x14ac:dyDescent="0.25">
      <c r="A315">
        <v>18134</v>
      </c>
      <c r="B315" s="3">
        <v>45020</v>
      </c>
      <c r="C315" t="s">
        <v>35</v>
      </c>
      <c r="D315">
        <v>-1.8165719229727983E-3</v>
      </c>
    </row>
    <row r="316" spans="1:4" x14ac:dyDescent="0.25">
      <c r="A316">
        <v>18134</v>
      </c>
      <c r="B316" s="3">
        <v>45021</v>
      </c>
      <c r="C316" t="s">
        <v>35</v>
      </c>
      <c r="D316">
        <v>-7.0973590016365051E-2</v>
      </c>
    </row>
    <row r="317" spans="1:4" x14ac:dyDescent="0.25">
      <c r="A317">
        <v>18134</v>
      </c>
      <c r="B317" s="3">
        <v>45022</v>
      </c>
      <c r="C317" t="s">
        <v>35</v>
      </c>
      <c r="D317">
        <v>1.1753171682357788E-2</v>
      </c>
    </row>
    <row r="318" spans="1:4" x14ac:dyDescent="0.25">
      <c r="A318">
        <v>18134</v>
      </c>
      <c r="B318" s="3">
        <v>45026</v>
      </c>
      <c r="C318" t="s">
        <v>35</v>
      </c>
      <c r="D318">
        <v>-1.0648563504219055E-2</v>
      </c>
    </row>
    <row r="319" spans="1:4" x14ac:dyDescent="0.25">
      <c r="A319">
        <v>18134</v>
      </c>
      <c r="B319" s="3">
        <v>45027</v>
      </c>
      <c r="C319" t="s">
        <v>35</v>
      </c>
      <c r="D319">
        <v>-1.9569918513298035E-3</v>
      </c>
    </row>
    <row r="320" spans="1:4" x14ac:dyDescent="0.25">
      <c r="A320">
        <v>18134</v>
      </c>
      <c r="B320" s="3">
        <v>45028</v>
      </c>
      <c r="C320" t="s">
        <v>35</v>
      </c>
      <c r="D320">
        <v>-3.1372521072626114E-2</v>
      </c>
    </row>
    <row r="321" spans="1:4" x14ac:dyDescent="0.25">
      <c r="A321">
        <v>18134</v>
      </c>
      <c r="B321" s="3">
        <v>45029</v>
      </c>
      <c r="C321" t="s">
        <v>35</v>
      </c>
      <c r="D321">
        <v>4.3522298336029053E-2</v>
      </c>
    </row>
    <row r="322" spans="1:4" x14ac:dyDescent="0.25">
      <c r="A322">
        <v>18134</v>
      </c>
      <c r="B322" s="3">
        <v>45030</v>
      </c>
      <c r="C322" t="s">
        <v>35</v>
      </c>
      <c r="D322">
        <v>1.9398160511627793E-3</v>
      </c>
    </row>
    <row r="323" spans="1:4" x14ac:dyDescent="0.25">
      <c r="A323">
        <v>18134</v>
      </c>
      <c r="B323" s="3">
        <v>45033</v>
      </c>
      <c r="C323" t="s">
        <v>35</v>
      </c>
      <c r="D323">
        <v>5.3243278525769711E-3</v>
      </c>
    </row>
    <row r="324" spans="1:4" x14ac:dyDescent="0.25">
      <c r="A324">
        <v>18134</v>
      </c>
      <c r="B324" s="3">
        <v>45034</v>
      </c>
      <c r="C324" t="s">
        <v>35</v>
      </c>
      <c r="D324">
        <v>9.1477427631616592E-3</v>
      </c>
    </row>
    <row r="325" spans="1:4" x14ac:dyDescent="0.25">
      <c r="A325">
        <v>18134</v>
      </c>
      <c r="B325" s="3">
        <v>45035</v>
      </c>
      <c r="C325" t="s">
        <v>35</v>
      </c>
      <c r="D325">
        <v>-1.6221290454268456E-2</v>
      </c>
    </row>
    <row r="326" spans="1:4" x14ac:dyDescent="0.25">
      <c r="A326">
        <v>18134</v>
      </c>
      <c r="B326" s="3">
        <v>45036</v>
      </c>
      <c r="C326" t="s">
        <v>35</v>
      </c>
      <c r="D326">
        <v>-7.7595417387783527E-3</v>
      </c>
    </row>
    <row r="327" spans="1:4" x14ac:dyDescent="0.25">
      <c r="A327">
        <v>18134</v>
      </c>
      <c r="B327" s="3">
        <v>45037</v>
      </c>
      <c r="C327" t="s">
        <v>35</v>
      </c>
      <c r="D327">
        <v>3.6168217658996582E-2</v>
      </c>
    </row>
    <row r="328" spans="1:4" x14ac:dyDescent="0.25">
      <c r="A328">
        <v>18134</v>
      </c>
      <c r="B328" s="3">
        <v>45040</v>
      </c>
      <c r="C328" t="s">
        <v>35</v>
      </c>
      <c r="D328">
        <v>-5.4716970771551132E-2</v>
      </c>
    </row>
    <row r="329" spans="1:4" x14ac:dyDescent="0.25">
      <c r="A329">
        <v>18134</v>
      </c>
      <c r="B329" s="3">
        <v>45041</v>
      </c>
      <c r="C329" t="s">
        <v>35</v>
      </c>
      <c r="D329">
        <v>-5.9880275279283524E-2</v>
      </c>
    </row>
    <row r="330" spans="1:4" x14ac:dyDescent="0.25">
      <c r="A330">
        <v>18134</v>
      </c>
      <c r="B330" s="3">
        <v>45042</v>
      </c>
      <c r="C330" t="s">
        <v>35</v>
      </c>
      <c r="D330">
        <v>9.5541561022400856E-3</v>
      </c>
    </row>
    <row r="331" spans="1:4" x14ac:dyDescent="0.25">
      <c r="A331">
        <v>18134</v>
      </c>
      <c r="B331" s="3">
        <v>45043</v>
      </c>
      <c r="C331" t="s">
        <v>35</v>
      </c>
      <c r="D331">
        <v>0</v>
      </c>
    </row>
    <row r="332" spans="1:4" x14ac:dyDescent="0.25">
      <c r="A332">
        <v>18134</v>
      </c>
      <c r="B332" s="3">
        <v>45044</v>
      </c>
      <c r="C332" t="s">
        <v>35</v>
      </c>
      <c r="D332">
        <v>6.3090920448303223E-3</v>
      </c>
    </row>
    <row r="333" spans="1:4" x14ac:dyDescent="0.25">
      <c r="A333">
        <v>18134</v>
      </c>
      <c r="B333" s="3">
        <v>45047</v>
      </c>
      <c r="C333" t="s">
        <v>35</v>
      </c>
      <c r="D333">
        <v>-2.0898124203085899E-3</v>
      </c>
    </row>
    <row r="334" spans="1:4" x14ac:dyDescent="0.25">
      <c r="A334">
        <v>18134</v>
      </c>
      <c r="B334" s="3">
        <v>45048</v>
      </c>
      <c r="C334" t="s">
        <v>35</v>
      </c>
      <c r="D334">
        <v>-7.8534029424190521E-2</v>
      </c>
    </row>
    <row r="335" spans="1:4" x14ac:dyDescent="0.25">
      <c r="A335">
        <v>18134</v>
      </c>
      <c r="B335" s="3">
        <v>45049</v>
      </c>
      <c r="C335" t="s">
        <v>35</v>
      </c>
      <c r="D335">
        <v>-7.4999980628490448E-2</v>
      </c>
    </row>
    <row r="336" spans="1:4" x14ac:dyDescent="0.25">
      <c r="A336">
        <v>18134</v>
      </c>
      <c r="B336" s="3">
        <v>45050</v>
      </c>
      <c r="C336" t="s">
        <v>35</v>
      </c>
      <c r="D336">
        <v>-1.8427588045597076E-2</v>
      </c>
    </row>
    <row r="337" spans="1:4" x14ac:dyDescent="0.25">
      <c r="A337">
        <v>18134</v>
      </c>
      <c r="B337" s="3">
        <v>45051</v>
      </c>
      <c r="C337" t="s">
        <v>35</v>
      </c>
      <c r="D337">
        <v>1.2515931157395244E-3</v>
      </c>
    </row>
    <row r="338" spans="1:4" x14ac:dyDescent="0.25">
      <c r="A338">
        <v>18134</v>
      </c>
      <c r="B338" s="3">
        <v>45054</v>
      </c>
      <c r="C338" t="s">
        <v>35</v>
      </c>
      <c r="D338">
        <v>4.999995231628418E-3</v>
      </c>
    </row>
    <row r="339" spans="1:4" x14ac:dyDescent="0.25">
      <c r="A339">
        <v>18134</v>
      </c>
      <c r="B339" s="3">
        <v>45055</v>
      </c>
      <c r="C339" t="s">
        <v>35</v>
      </c>
      <c r="D339">
        <v>-9.9502392113208771E-3</v>
      </c>
    </row>
    <row r="340" spans="1:4" x14ac:dyDescent="0.25">
      <c r="A340">
        <v>18134</v>
      </c>
      <c r="B340" s="3">
        <v>45056</v>
      </c>
      <c r="C340" t="s">
        <v>35</v>
      </c>
      <c r="D340">
        <v>1.1306552216410637E-2</v>
      </c>
    </row>
    <row r="341" spans="1:4" x14ac:dyDescent="0.25">
      <c r="A341">
        <v>18134</v>
      </c>
      <c r="B341" s="3">
        <v>45057</v>
      </c>
      <c r="C341" t="s">
        <v>35</v>
      </c>
      <c r="D341">
        <v>-3.4782633185386658E-2</v>
      </c>
    </row>
    <row r="342" spans="1:4" x14ac:dyDescent="0.25">
      <c r="A342">
        <v>18134</v>
      </c>
      <c r="B342" s="3">
        <v>45058</v>
      </c>
      <c r="C342" t="s">
        <v>35</v>
      </c>
      <c r="D342">
        <v>2.9601031914353371E-2</v>
      </c>
    </row>
    <row r="343" spans="1:4" x14ac:dyDescent="0.25">
      <c r="A343">
        <v>18134</v>
      </c>
      <c r="B343" s="3">
        <v>45061</v>
      </c>
      <c r="C343" t="s">
        <v>35</v>
      </c>
      <c r="D343">
        <v>6.2500238418579102E-3</v>
      </c>
    </row>
    <row r="344" spans="1:4" x14ac:dyDescent="0.25">
      <c r="A344">
        <v>18134</v>
      </c>
      <c r="B344" s="3">
        <v>45062</v>
      </c>
      <c r="C344" t="s">
        <v>35</v>
      </c>
      <c r="D344">
        <v>4.9689393490552902E-3</v>
      </c>
    </row>
    <row r="345" spans="1:4" x14ac:dyDescent="0.25">
      <c r="A345">
        <v>18134</v>
      </c>
      <c r="B345" s="3">
        <v>45063</v>
      </c>
      <c r="C345" t="s">
        <v>35</v>
      </c>
      <c r="D345">
        <v>3.2138470560312271E-2</v>
      </c>
    </row>
    <row r="346" spans="1:4" x14ac:dyDescent="0.25">
      <c r="A346">
        <v>18134</v>
      </c>
      <c r="B346" s="3">
        <v>45064</v>
      </c>
      <c r="C346" t="s">
        <v>35</v>
      </c>
      <c r="D346">
        <v>-1.1976093053817749E-2</v>
      </c>
    </row>
    <row r="347" spans="1:4" x14ac:dyDescent="0.25">
      <c r="A347">
        <v>18134</v>
      </c>
      <c r="B347" s="3">
        <v>45065</v>
      </c>
      <c r="C347" t="s">
        <v>35</v>
      </c>
      <c r="D347">
        <v>-2.7878731489181519E-2</v>
      </c>
    </row>
    <row r="348" spans="1:4" x14ac:dyDescent="0.25">
      <c r="A348">
        <v>18134</v>
      </c>
      <c r="B348" s="3">
        <v>45068</v>
      </c>
      <c r="C348" t="s">
        <v>35</v>
      </c>
      <c r="D348">
        <v>5.1122173666954041E-2</v>
      </c>
    </row>
    <row r="349" spans="1:4" x14ac:dyDescent="0.25">
      <c r="A349">
        <v>18134</v>
      </c>
      <c r="B349" s="3">
        <v>45069</v>
      </c>
      <c r="C349" t="s">
        <v>35</v>
      </c>
      <c r="D349">
        <v>-1.067617442458868E-2</v>
      </c>
    </row>
    <row r="350" spans="1:4" x14ac:dyDescent="0.25">
      <c r="A350">
        <v>18134</v>
      </c>
      <c r="B350" s="3">
        <v>45070</v>
      </c>
      <c r="C350" t="s">
        <v>35</v>
      </c>
      <c r="D350">
        <v>-2.8776951134204865E-2</v>
      </c>
    </row>
    <row r="351" spans="1:4" x14ac:dyDescent="0.25">
      <c r="A351">
        <v>18134</v>
      </c>
      <c r="B351" s="3">
        <v>45071</v>
      </c>
      <c r="C351" t="s">
        <v>35</v>
      </c>
      <c r="D351">
        <v>-6.1728451400995255E-2</v>
      </c>
    </row>
    <row r="352" spans="1:4" x14ac:dyDescent="0.25">
      <c r="A352">
        <v>18134</v>
      </c>
      <c r="B352" s="3">
        <v>45072</v>
      </c>
      <c r="C352" t="s">
        <v>35</v>
      </c>
      <c r="D352">
        <v>3.2894738018512726E-2</v>
      </c>
    </row>
    <row r="353" spans="1:4" x14ac:dyDescent="0.25">
      <c r="A353">
        <v>18134</v>
      </c>
      <c r="B353" s="3">
        <v>45076</v>
      </c>
      <c r="C353" t="s">
        <v>35</v>
      </c>
      <c r="D353">
        <v>-1.6560524702072144E-2</v>
      </c>
    </row>
    <row r="354" spans="1:4" x14ac:dyDescent="0.25">
      <c r="A354">
        <v>18134</v>
      </c>
      <c r="B354" s="3">
        <v>45077</v>
      </c>
      <c r="C354" t="s">
        <v>35</v>
      </c>
      <c r="D354">
        <v>6.2176171690225601E-2</v>
      </c>
    </row>
    <row r="355" spans="1:4" x14ac:dyDescent="0.25">
      <c r="A355">
        <v>18134</v>
      </c>
      <c r="B355" s="3">
        <v>45078</v>
      </c>
      <c r="C355" t="s">
        <v>35</v>
      </c>
      <c r="D355">
        <v>3.7804931402206421E-2</v>
      </c>
    </row>
    <row r="356" spans="1:4" x14ac:dyDescent="0.25">
      <c r="A356">
        <v>18134</v>
      </c>
      <c r="B356" s="3">
        <v>45079</v>
      </c>
      <c r="C356" t="s">
        <v>35</v>
      </c>
      <c r="D356">
        <v>3.1727321445941925E-2</v>
      </c>
    </row>
    <row r="357" spans="1:4" x14ac:dyDescent="0.25">
      <c r="A357">
        <v>18134</v>
      </c>
      <c r="B357" s="3">
        <v>45082</v>
      </c>
      <c r="C357" t="s">
        <v>35</v>
      </c>
      <c r="D357">
        <v>-3.7585414946079254E-2</v>
      </c>
    </row>
    <row r="358" spans="1:4" x14ac:dyDescent="0.25">
      <c r="A358">
        <v>18134</v>
      </c>
      <c r="B358" s="3">
        <v>45083</v>
      </c>
      <c r="C358" t="s">
        <v>35</v>
      </c>
      <c r="D358">
        <v>7.6923146843910217E-2</v>
      </c>
    </row>
    <row r="359" spans="1:4" x14ac:dyDescent="0.25">
      <c r="A359">
        <v>18134</v>
      </c>
      <c r="B359" s="3">
        <v>45084</v>
      </c>
      <c r="C359" t="s">
        <v>35</v>
      </c>
      <c r="D359">
        <v>1.0988214053213596E-3</v>
      </c>
    </row>
    <row r="360" spans="1:4" x14ac:dyDescent="0.25">
      <c r="A360">
        <v>18134</v>
      </c>
      <c r="B360" s="3">
        <v>45085</v>
      </c>
      <c r="C360" t="s">
        <v>35</v>
      </c>
      <c r="D360">
        <v>-5.3787022829055786E-2</v>
      </c>
    </row>
    <row r="361" spans="1:4" x14ac:dyDescent="0.25">
      <c r="A361">
        <v>18134</v>
      </c>
      <c r="B361" s="3">
        <v>45086</v>
      </c>
      <c r="C361" t="s">
        <v>35</v>
      </c>
      <c r="D361">
        <v>-1.3921100646257401E-2</v>
      </c>
    </row>
    <row r="362" spans="1:4" x14ac:dyDescent="0.25">
      <c r="A362">
        <v>18134</v>
      </c>
      <c r="B362" s="3">
        <v>45089</v>
      </c>
      <c r="C362" t="s">
        <v>35</v>
      </c>
      <c r="D362">
        <v>1.647062785923481E-2</v>
      </c>
    </row>
    <row r="363" spans="1:4" x14ac:dyDescent="0.25">
      <c r="A363">
        <v>18134</v>
      </c>
      <c r="B363" s="3">
        <v>45090</v>
      </c>
      <c r="C363" t="s">
        <v>35</v>
      </c>
      <c r="D363">
        <v>7.9861059784889221E-2</v>
      </c>
    </row>
    <row r="364" spans="1:4" x14ac:dyDescent="0.25">
      <c r="A364">
        <v>18134</v>
      </c>
      <c r="B364" s="3">
        <v>45091</v>
      </c>
      <c r="C364" t="s">
        <v>35</v>
      </c>
      <c r="D364">
        <v>-1.5005395747721195E-2</v>
      </c>
    </row>
    <row r="365" spans="1:4" x14ac:dyDescent="0.25">
      <c r="A365">
        <v>18134</v>
      </c>
      <c r="B365" s="3">
        <v>45092</v>
      </c>
      <c r="C365" t="s">
        <v>35</v>
      </c>
      <c r="D365">
        <v>3.3732365816831589E-2</v>
      </c>
    </row>
    <row r="366" spans="1:4" x14ac:dyDescent="0.25">
      <c r="A366">
        <v>18134</v>
      </c>
      <c r="B366" s="3">
        <v>45093</v>
      </c>
      <c r="C366" t="s">
        <v>35</v>
      </c>
      <c r="D366">
        <v>-1.473687868565321E-2</v>
      </c>
    </row>
    <row r="367" spans="1:4" x14ac:dyDescent="0.25">
      <c r="A367">
        <v>18134</v>
      </c>
      <c r="B367" s="3">
        <v>45097</v>
      </c>
      <c r="C367" t="s">
        <v>35</v>
      </c>
      <c r="D367">
        <v>-1.923070102930069E-2</v>
      </c>
    </row>
    <row r="368" spans="1:4" x14ac:dyDescent="0.25">
      <c r="A368">
        <v>18134</v>
      </c>
      <c r="B368" s="3">
        <v>45098</v>
      </c>
      <c r="C368" t="s">
        <v>35</v>
      </c>
      <c r="D368">
        <v>-7.6253428123891354E-3</v>
      </c>
    </row>
    <row r="369" spans="1:4" x14ac:dyDescent="0.25">
      <c r="A369">
        <v>18134</v>
      </c>
      <c r="B369" s="3">
        <v>45099</v>
      </c>
      <c r="C369" t="s">
        <v>35</v>
      </c>
      <c r="D369">
        <v>3.2931601162999868E-3</v>
      </c>
    </row>
    <row r="370" spans="1:4" x14ac:dyDescent="0.25">
      <c r="A370">
        <v>18134</v>
      </c>
      <c r="B370" s="3">
        <v>45100</v>
      </c>
      <c r="C370" t="s">
        <v>35</v>
      </c>
      <c r="D370">
        <v>-2.297593280673027E-2</v>
      </c>
    </row>
    <row r="371" spans="1:4" x14ac:dyDescent="0.25">
      <c r="A371">
        <v>18134</v>
      </c>
      <c r="B371" s="3">
        <v>45103</v>
      </c>
      <c r="C371" t="s">
        <v>35</v>
      </c>
      <c r="D371">
        <v>-1.5677530318498611E-2</v>
      </c>
    </row>
    <row r="372" spans="1:4" x14ac:dyDescent="0.25">
      <c r="A372">
        <v>18134</v>
      </c>
      <c r="B372" s="3">
        <v>45104</v>
      </c>
      <c r="C372" t="s">
        <v>35</v>
      </c>
      <c r="D372">
        <v>2.7303729206323624E-2</v>
      </c>
    </row>
    <row r="373" spans="1:4" x14ac:dyDescent="0.25">
      <c r="A373">
        <v>18134</v>
      </c>
      <c r="B373" s="3">
        <v>45105</v>
      </c>
      <c r="C373" t="s">
        <v>35</v>
      </c>
      <c r="D373">
        <v>2.6578154414892197E-2</v>
      </c>
    </row>
    <row r="374" spans="1:4" x14ac:dyDescent="0.25">
      <c r="A374">
        <v>18134</v>
      </c>
      <c r="B374" s="3">
        <v>45106</v>
      </c>
      <c r="C374" t="s">
        <v>35</v>
      </c>
      <c r="D374">
        <v>-2.5890044867992401E-2</v>
      </c>
    </row>
    <row r="375" spans="1:4" x14ac:dyDescent="0.25">
      <c r="A375">
        <v>18134</v>
      </c>
      <c r="B375" s="3">
        <v>45107</v>
      </c>
      <c r="C375" t="s">
        <v>35</v>
      </c>
      <c r="D375">
        <v>3.4330058842897415E-2</v>
      </c>
    </row>
    <row r="376" spans="1:4" x14ac:dyDescent="0.25">
      <c r="A376">
        <v>18134</v>
      </c>
      <c r="B376" s="3">
        <v>45110</v>
      </c>
      <c r="C376" t="s">
        <v>35</v>
      </c>
      <c r="D376">
        <v>-2.2483943030238152E-2</v>
      </c>
    </row>
    <row r="377" spans="1:4" x14ac:dyDescent="0.25">
      <c r="A377">
        <v>18134</v>
      </c>
      <c r="B377" s="3">
        <v>45112</v>
      </c>
      <c r="C377" t="s">
        <v>35</v>
      </c>
      <c r="D377">
        <v>-2.0810572430491447E-2</v>
      </c>
    </row>
    <row r="378" spans="1:4" x14ac:dyDescent="0.25">
      <c r="A378">
        <v>18134</v>
      </c>
      <c r="B378" s="3">
        <v>45113</v>
      </c>
      <c r="C378" t="s">
        <v>35</v>
      </c>
      <c r="D378">
        <v>-3.2438475638628006E-2</v>
      </c>
    </row>
    <row r="379" spans="1:4" x14ac:dyDescent="0.25">
      <c r="A379">
        <v>18134</v>
      </c>
      <c r="B379" s="3">
        <v>45114</v>
      </c>
      <c r="C379" t="s">
        <v>35</v>
      </c>
      <c r="D379">
        <v>5.4335292428731918E-2</v>
      </c>
    </row>
    <row r="380" spans="1:4" x14ac:dyDescent="0.25">
      <c r="A380">
        <v>18134</v>
      </c>
      <c r="B380" s="3">
        <v>45117</v>
      </c>
      <c r="C380" t="s">
        <v>35</v>
      </c>
      <c r="D380">
        <v>-4.3859607540071011E-3</v>
      </c>
    </row>
    <row r="381" spans="1:4" x14ac:dyDescent="0.25">
      <c r="A381">
        <v>18134</v>
      </c>
      <c r="B381" s="3">
        <v>45118</v>
      </c>
      <c r="C381" t="s">
        <v>35</v>
      </c>
      <c r="D381">
        <v>0.12444934993982315</v>
      </c>
    </row>
    <row r="382" spans="1:4" x14ac:dyDescent="0.25">
      <c r="A382">
        <v>18134</v>
      </c>
      <c r="B382" s="3">
        <v>45119</v>
      </c>
      <c r="C382" t="s">
        <v>35</v>
      </c>
      <c r="D382">
        <v>1.371208019554615E-2</v>
      </c>
    </row>
    <row r="383" spans="1:4" x14ac:dyDescent="0.25">
      <c r="A383">
        <v>18134</v>
      </c>
      <c r="B383" s="3">
        <v>45120</v>
      </c>
      <c r="C383" t="s">
        <v>35</v>
      </c>
      <c r="D383">
        <v>4.0579717606306076E-2</v>
      </c>
    </row>
    <row r="384" spans="1:4" x14ac:dyDescent="0.25">
      <c r="A384">
        <v>18134</v>
      </c>
      <c r="B384" s="3">
        <v>45121</v>
      </c>
      <c r="C384" t="s">
        <v>35</v>
      </c>
      <c r="D384">
        <v>-1.8570526735857129E-3</v>
      </c>
    </row>
    <row r="385" spans="1:4" x14ac:dyDescent="0.25">
      <c r="A385">
        <v>18134</v>
      </c>
      <c r="B385" s="3">
        <v>45124</v>
      </c>
      <c r="C385" t="s">
        <v>35</v>
      </c>
      <c r="D385">
        <v>1.3953452929854393E-2</v>
      </c>
    </row>
    <row r="386" spans="1:4" x14ac:dyDescent="0.25">
      <c r="A386">
        <v>18134</v>
      </c>
      <c r="B386" s="3">
        <v>45125</v>
      </c>
      <c r="C386" t="s">
        <v>35</v>
      </c>
      <c r="D386">
        <v>-1.9266059622168541E-2</v>
      </c>
    </row>
    <row r="387" spans="1:4" x14ac:dyDescent="0.25">
      <c r="A387">
        <v>18134</v>
      </c>
      <c r="B387" s="3">
        <v>45126</v>
      </c>
      <c r="C387" t="s">
        <v>35</v>
      </c>
      <c r="D387">
        <v>-1.1225434020161629E-2</v>
      </c>
    </row>
    <row r="388" spans="1:4" x14ac:dyDescent="0.25">
      <c r="A388">
        <v>18134</v>
      </c>
      <c r="B388" s="3">
        <v>45127</v>
      </c>
      <c r="C388" t="s">
        <v>35</v>
      </c>
      <c r="D388">
        <v>-2.8382143005728722E-2</v>
      </c>
    </row>
    <row r="389" spans="1:4" x14ac:dyDescent="0.25">
      <c r="A389">
        <v>18134</v>
      </c>
      <c r="B389" s="3">
        <v>45128</v>
      </c>
      <c r="C389" t="s">
        <v>35</v>
      </c>
      <c r="D389">
        <v>-1.9474269822239876E-2</v>
      </c>
    </row>
    <row r="390" spans="1:4" x14ac:dyDescent="0.25">
      <c r="A390">
        <v>18134</v>
      </c>
      <c r="B390" s="3">
        <v>45131</v>
      </c>
      <c r="C390" t="s">
        <v>35</v>
      </c>
      <c r="D390">
        <v>-1.390262134373188E-2</v>
      </c>
    </row>
    <row r="391" spans="1:4" x14ac:dyDescent="0.25">
      <c r="A391">
        <v>18134</v>
      </c>
      <c r="B391" s="3">
        <v>45132</v>
      </c>
      <c r="C391" t="s">
        <v>35</v>
      </c>
      <c r="D391">
        <v>-3.0212171841412783E-3</v>
      </c>
    </row>
    <row r="392" spans="1:4" x14ac:dyDescent="0.25">
      <c r="A392">
        <v>18134</v>
      </c>
      <c r="B392" s="3">
        <v>45133</v>
      </c>
      <c r="C392" t="s">
        <v>35</v>
      </c>
      <c r="D392">
        <v>3.8383852690458298E-2</v>
      </c>
    </row>
    <row r="393" spans="1:4" x14ac:dyDescent="0.25">
      <c r="A393">
        <v>18134</v>
      </c>
      <c r="B393" s="3">
        <v>45134</v>
      </c>
      <c r="C393" t="s">
        <v>35</v>
      </c>
      <c r="D393">
        <v>-1.7509665340185165E-2</v>
      </c>
    </row>
    <row r="394" spans="1:4" x14ac:dyDescent="0.25">
      <c r="A394">
        <v>18134</v>
      </c>
      <c r="B394" s="3">
        <v>45135</v>
      </c>
      <c r="C394" t="s">
        <v>35</v>
      </c>
      <c r="D394">
        <v>2.5742501020431519E-2</v>
      </c>
    </row>
    <row r="395" spans="1:4" x14ac:dyDescent="0.25">
      <c r="A395">
        <v>18134</v>
      </c>
      <c r="B395" s="3">
        <v>45138</v>
      </c>
      <c r="C395" t="s">
        <v>35</v>
      </c>
      <c r="D395">
        <v>6.7568197846412659E-3</v>
      </c>
    </row>
    <row r="396" spans="1:4" x14ac:dyDescent="0.25">
      <c r="A396">
        <v>18134</v>
      </c>
      <c r="B396" s="3">
        <v>45139</v>
      </c>
      <c r="C396" t="s">
        <v>35</v>
      </c>
      <c r="D396">
        <v>-3.930966928601265E-2</v>
      </c>
    </row>
    <row r="397" spans="1:4" x14ac:dyDescent="0.25">
      <c r="A397">
        <v>18134</v>
      </c>
      <c r="B397" s="3">
        <v>45140</v>
      </c>
      <c r="C397" t="s">
        <v>35</v>
      </c>
      <c r="D397">
        <v>-4.9900389276444912E-3</v>
      </c>
    </row>
    <row r="398" spans="1:4" x14ac:dyDescent="0.25">
      <c r="A398">
        <v>18134</v>
      </c>
      <c r="B398" s="3">
        <v>45141</v>
      </c>
      <c r="C398" t="s">
        <v>35</v>
      </c>
      <c r="D398">
        <v>0.44232696294784546</v>
      </c>
    </row>
    <row r="399" spans="1:4" x14ac:dyDescent="0.25">
      <c r="A399">
        <v>18134</v>
      </c>
      <c r="B399" s="3">
        <v>45142</v>
      </c>
      <c r="C399" t="s">
        <v>35</v>
      </c>
      <c r="D399">
        <v>2.9207237064838409E-2</v>
      </c>
    </row>
    <row r="400" spans="1:4" x14ac:dyDescent="0.25">
      <c r="A400">
        <v>18134</v>
      </c>
      <c r="B400" s="3">
        <v>45145</v>
      </c>
      <c r="C400" t="s">
        <v>35</v>
      </c>
      <c r="D400">
        <v>-2.0945973694324493E-2</v>
      </c>
    </row>
    <row r="401" spans="1:4" x14ac:dyDescent="0.25">
      <c r="A401">
        <v>18134</v>
      </c>
      <c r="B401" s="3">
        <v>45146</v>
      </c>
      <c r="C401" t="s">
        <v>35</v>
      </c>
      <c r="D401">
        <v>-1.1732234619557858E-2</v>
      </c>
    </row>
    <row r="402" spans="1:4" x14ac:dyDescent="0.25">
      <c r="A402">
        <v>18134</v>
      </c>
      <c r="B402" s="3">
        <v>45147</v>
      </c>
      <c r="C402" t="s">
        <v>35</v>
      </c>
      <c r="D402">
        <v>-1.3268127106130123E-2</v>
      </c>
    </row>
    <row r="403" spans="1:4" x14ac:dyDescent="0.25">
      <c r="A403">
        <v>18134</v>
      </c>
      <c r="B403" s="3">
        <v>45148</v>
      </c>
      <c r="C403" t="s">
        <v>35</v>
      </c>
      <c r="D403">
        <v>4.2462465353310108E-3</v>
      </c>
    </row>
    <row r="404" spans="1:4" x14ac:dyDescent="0.25">
      <c r="A404">
        <v>18134</v>
      </c>
      <c r="B404" s="3">
        <v>45149</v>
      </c>
      <c r="C404" t="s">
        <v>35</v>
      </c>
      <c r="D404">
        <v>9.8661277443170547E-3</v>
      </c>
    </row>
    <row r="405" spans="1:4" x14ac:dyDescent="0.25">
      <c r="A405">
        <v>18134</v>
      </c>
      <c r="B405" s="3">
        <v>45152</v>
      </c>
      <c r="C405" t="s">
        <v>35</v>
      </c>
      <c r="D405">
        <v>-3.3496130257844925E-2</v>
      </c>
    </row>
    <row r="406" spans="1:4" x14ac:dyDescent="0.25">
      <c r="A406">
        <v>18134</v>
      </c>
      <c r="B406" s="3">
        <v>45153</v>
      </c>
      <c r="C406" t="s">
        <v>35</v>
      </c>
      <c r="D406">
        <v>3.1046884134411812E-2</v>
      </c>
    </row>
    <row r="407" spans="1:4" x14ac:dyDescent="0.25">
      <c r="A407">
        <v>18134</v>
      </c>
      <c r="B407" s="3">
        <v>45154</v>
      </c>
      <c r="C407" t="s">
        <v>35</v>
      </c>
      <c r="D407">
        <v>-2.3109238594770432E-2</v>
      </c>
    </row>
    <row r="408" spans="1:4" x14ac:dyDescent="0.25">
      <c r="A408">
        <v>18134</v>
      </c>
      <c r="B408" s="3">
        <v>45155</v>
      </c>
      <c r="C408" t="s">
        <v>35</v>
      </c>
      <c r="D408">
        <v>-1.2186385691165924E-2</v>
      </c>
    </row>
    <row r="409" spans="1:4" x14ac:dyDescent="0.25">
      <c r="A409">
        <v>18134</v>
      </c>
      <c r="B409" s="3">
        <v>45156</v>
      </c>
      <c r="C409" t="s">
        <v>35</v>
      </c>
      <c r="D409">
        <v>8.7082646787166595E-3</v>
      </c>
    </row>
    <row r="410" spans="1:4" x14ac:dyDescent="0.25">
      <c r="A410">
        <v>18134</v>
      </c>
      <c r="B410" s="3">
        <v>45159</v>
      </c>
      <c r="C410" t="s">
        <v>35</v>
      </c>
      <c r="D410">
        <v>1.3669103384017944E-2</v>
      </c>
    </row>
    <row r="411" spans="1:4" x14ac:dyDescent="0.25">
      <c r="A411">
        <v>18134</v>
      </c>
      <c r="B411" s="3">
        <v>45160</v>
      </c>
      <c r="C411" t="s">
        <v>35</v>
      </c>
      <c r="D411">
        <v>1.9872231408953667E-2</v>
      </c>
    </row>
    <row r="412" spans="1:4" x14ac:dyDescent="0.25">
      <c r="A412">
        <v>18134</v>
      </c>
      <c r="B412" s="3">
        <v>45161</v>
      </c>
      <c r="C412" t="s">
        <v>35</v>
      </c>
      <c r="D412">
        <v>8.2115538418292999E-2</v>
      </c>
    </row>
    <row r="413" spans="1:4" x14ac:dyDescent="0.25">
      <c r="A413">
        <v>18134</v>
      </c>
      <c r="B413" s="3">
        <v>45162</v>
      </c>
      <c r="C413" t="s">
        <v>35</v>
      </c>
      <c r="D413">
        <v>-5.1446955651044846E-2</v>
      </c>
    </row>
    <row r="414" spans="1:4" x14ac:dyDescent="0.25">
      <c r="A414">
        <v>18134</v>
      </c>
      <c r="B414" s="3">
        <v>45163</v>
      </c>
      <c r="C414" t="s">
        <v>35</v>
      </c>
      <c r="D414">
        <v>0</v>
      </c>
    </row>
    <row r="415" spans="1:4" x14ac:dyDescent="0.25">
      <c r="A415">
        <v>18134</v>
      </c>
      <c r="B415" s="3">
        <v>45166</v>
      </c>
      <c r="C415" t="s">
        <v>35</v>
      </c>
      <c r="D415">
        <v>-4.3389853090047836E-2</v>
      </c>
    </row>
    <row r="416" spans="1:4" x14ac:dyDescent="0.25">
      <c r="A416">
        <v>18134</v>
      </c>
      <c r="B416" s="3">
        <v>45167</v>
      </c>
      <c r="C416" t="s">
        <v>35</v>
      </c>
      <c r="D416">
        <v>2.4096397683024406E-2</v>
      </c>
    </row>
    <row r="417" spans="1:4" x14ac:dyDescent="0.25">
      <c r="A417">
        <v>18134</v>
      </c>
      <c r="B417" s="3">
        <v>45168</v>
      </c>
      <c r="C417" t="s">
        <v>35</v>
      </c>
      <c r="D417">
        <v>3.5294134169816971E-2</v>
      </c>
    </row>
    <row r="418" spans="1:4" x14ac:dyDescent="0.25">
      <c r="A418">
        <v>18134</v>
      </c>
      <c r="B418" s="3">
        <v>45169</v>
      </c>
      <c r="C418" t="s">
        <v>35</v>
      </c>
      <c r="D418">
        <v>-1.0026712901890278E-2</v>
      </c>
    </row>
    <row r="419" spans="1:4" x14ac:dyDescent="0.25">
      <c r="A419">
        <v>18134</v>
      </c>
      <c r="B419" s="3">
        <v>45170</v>
      </c>
      <c r="C419" t="s">
        <v>35</v>
      </c>
      <c r="D419">
        <v>1.0128265246748924E-2</v>
      </c>
    </row>
    <row r="420" spans="1:4" x14ac:dyDescent="0.25">
      <c r="A420">
        <v>18134</v>
      </c>
      <c r="B420" s="3">
        <v>45174</v>
      </c>
      <c r="C420" t="s">
        <v>35</v>
      </c>
      <c r="D420">
        <v>-4.0107234381139278E-3</v>
      </c>
    </row>
    <row r="421" spans="1:4" x14ac:dyDescent="0.25">
      <c r="A421">
        <v>18134</v>
      </c>
      <c r="B421" s="3">
        <v>45175</v>
      </c>
      <c r="C421" t="s">
        <v>35</v>
      </c>
      <c r="D421">
        <v>-5.3691226057708263E-3</v>
      </c>
    </row>
    <row r="422" spans="1:4" x14ac:dyDescent="0.25">
      <c r="A422">
        <v>18134</v>
      </c>
      <c r="B422" s="3">
        <v>45176</v>
      </c>
      <c r="C422" t="s">
        <v>35</v>
      </c>
      <c r="D422">
        <v>-2.3616695776581764E-2</v>
      </c>
    </row>
    <row r="423" spans="1:4" x14ac:dyDescent="0.25">
      <c r="A423">
        <v>18134</v>
      </c>
      <c r="B423" s="3">
        <v>45177</v>
      </c>
      <c r="C423" t="s">
        <v>35</v>
      </c>
      <c r="D423">
        <v>-1.1057348921895027E-2</v>
      </c>
    </row>
    <row r="424" spans="1:4" x14ac:dyDescent="0.25">
      <c r="A424">
        <v>18134</v>
      </c>
      <c r="B424" s="3">
        <v>45180</v>
      </c>
      <c r="C424" t="s">
        <v>35</v>
      </c>
      <c r="D424">
        <v>-2.7952452655881643E-3</v>
      </c>
    </row>
    <row r="425" spans="1:4" x14ac:dyDescent="0.25">
      <c r="A425">
        <v>18134</v>
      </c>
      <c r="B425" s="3">
        <v>45181</v>
      </c>
      <c r="C425" t="s">
        <v>35</v>
      </c>
      <c r="D425">
        <v>-4.0644768625497818E-2</v>
      </c>
    </row>
    <row r="426" spans="1:4" x14ac:dyDescent="0.25">
      <c r="A426">
        <v>18134</v>
      </c>
      <c r="B426" s="3">
        <v>45182</v>
      </c>
      <c r="C426" t="s">
        <v>35</v>
      </c>
      <c r="D426">
        <v>-2.2644227370619774E-2</v>
      </c>
    </row>
    <row r="427" spans="1:4" x14ac:dyDescent="0.25">
      <c r="A427">
        <v>18134</v>
      </c>
      <c r="B427" s="3">
        <v>45183</v>
      </c>
      <c r="C427" t="s">
        <v>35</v>
      </c>
      <c r="D427">
        <v>5.9790676459670067E-3</v>
      </c>
    </row>
    <row r="428" spans="1:4" x14ac:dyDescent="0.25">
      <c r="A428">
        <v>18134</v>
      </c>
      <c r="B428" s="3">
        <v>45184</v>
      </c>
      <c r="C428" t="s">
        <v>35</v>
      </c>
      <c r="D428">
        <v>-1.8573550507426262E-2</v>
      </c>
    </row>
    <row r="429" spans="1:4" x14ac:dyDescent="0.25">
      <c r="A429">
        <v>18134</v>
      </c>
      <c r="B429" s="3">
        <v>45187</v>
      </c>
      <c r="C429" t="s">
        <v>35</v>
      </c>
      <c r="D429">
        <v>-4.9205116927623749E-2</v>
      </c>
    </row>
    <row r="430" spans="1:4" x14ac:dyDescent="0.25">
      <c r="A430">
        <v>18134</v>
      </c>
      <c r="B430" s="3">
        <v>45188</v>
      </c>
      <c r="C430" t="s">
        <v>35</v>
      </c>
      <c r="D430">
        <v>6.3694203272461891E-3</v>
      </c>
    </row>
    <row r="431" spans="1:4" x14ac:dyDescent="0.25">
      <c r="A431">
        <v>18134</v>
      </c>
      <c r="B431" s="3">
        <v>45189</v>
      </c>
      <c r="C431" t="s">
        <v>35</v>
      </c>
      <c r="D431">
        <v>-3.9557111449539661E-3</v>
      </c>
    </row>
    <row r="432" spans="1:4" x14ac:dyDescent="0.25">
      <c r="A432">
        <v>18134</v>
      </c>
      <c r="B432" s="3">
        <v>45190</v>
      </c>
      <c r="C432" t="s">
        <v>35</v>
      </c>
      <c r="D432">
        <v>-7.6250992715358734E-2</v>
      </c>
    </row>
    <row r="433" spans="1:4" x14ac:dyDescent="0.25">
      <c r="A433">
        <v>18134</v>
      </c>
      <c r="B433" s="3">
        <v>45191</v>
      </c>
      <c r="C433" t="s">
        <v>35</v>
      </c>
      <c r="D433">
        <v>-1.6337106004357338E-2</v>
      </c>
    </row>
    <row r="434" spans="1:4" x14ac:dyDescent="0.25">
      <c r="A434">
        <v>18134</v>
      </c>
      <c r="B434" s="3">
        <v>45194</v>
      </c>
      <c r="C434" t="s">
        <v>35</v>
      </c>
      <c r="D434">
        <v>6.9930837489664555E-3</v>
      </c>
    </row>
    <row r="435" spans="1:4" x14ac:dyDescent="0.25">
      <c r="A435">
        <v>18134</v>
      </c>
      <c r="B435" s="3">
        <v>45195</v>
      </c>
      <c r="C435" t="s">
        <v>35</v>
      </c>
      <c r="D435">
        <v>-2.17013880610466E-2</v>
      </c>
    </row>
    <row r="436" spans="1:4" x14ac:dyDescent="0.25">
      <c r="A436">
        <v>18134</v>
      </c>
      <c r="B436" s="3">
        <v>45196</v>
      </c>
      <c r="C436" t="s">
        <v>35</v>
      </c>
      <c r="D436">
        <v>8.8724709348753095E-4</v>
      </c>
    </row>
    <row r="437" spans="1:4" x14ac:dyDescent="0.25">
      <c r="A437">
        <v>18134</v>
      </c>
      <c r="B437" s="3">
        <v>45197</v>
      </c>
      <c r="C437" t="s">
        <v>35</v>
      </c>
      <c r="D437">
        <v>1.9503571093082428E-2</v>
      </c>
    </row>
    <row r="438" spans="1:4" x14ac:dyDescent="0.25">
      <c r="A438">
        <v>18134</v>
      </c>
      <c r="B438" s="3">
        <v>45198</v>
      </c>
      <c r="C438" t="s">
        <v>35</v>
      </c>
      <c r="D438">
        <v>-1.2173943221569061E-2</v>
      </c>
    </row>
    <row r="439" spans="1:4" x14ac:dyDescent="0.25">
      <c r="A439">
        <v>18134</v>
      </c>
      <c r="B439" s="3">
        <v>45201</v>
      </c>
      <c r="C439" t="s">
        <v>35</v>
      </c>
      <c r="D439">
        <v>2.1126825362443924E-2</v>
      </c>
    </row>
    <row r="440" spans="1:4" x14ac:dyDescent="0.25">
      <c r="A440">
        <v>18134</v>
      </c>
      <c r="B440" s="3">
        <v>45202</v>
      </c>
      <c r="C440" t="s">
        <v>35</v>
      </c>
      <c r="D440">
        <v>-5.9482801705598831E-2</v>
      </c>
    </row>
    <row r="441" spans="1:4" x14ac:dyDescent="0.25">
      <c r="A441">
        <v>18134</v>
      </c>
      <c r="B441" s="3">
        <v>45203</v>
      </c>
      <c r="C441" t="s">
        <v>35</v>
      </c>
      <c r="D441">
        <v>0</v>
      </c>
    </row>
    <row r="442" spans="1:4" x14ac:dyDescent="0.25">
      <c r="A442">
        <v>18134</v>
      </c>
      <c r="B442" s="3">
        <v>45204</v>
      </c>
      <c r="C442" t="s">
        <v>35</v>
      </c>
      <c r="D442">
        <v>-1.4665430411696434E-2</v>
      </c>
    </row>
    <row r="443" spans="1:4" x14ac:dyDescent="0.25">
      <c r="A443">
        <v>18134</v>
      </c>
      <c r="B443" s="3">
        <v>45205</v>
      </c>
      <c r="C443" t="s">
        <v>35</v>
      </c>
      <c r="D443">
        <v>3.3488340675830841E-2</v>
      </c>
    </row>
    <row r="444" spans="1:4" x14ac:dyDescent="0.25">
      <c r="A444">
        <v>18134</v>
      </c>
      <c r="B444" s="3">
        <v>45208</v>
      </c>
      <c r="C444" t="s">
        <v>35</v>
      </c>
      <c r="D444">
        <v>2.7003318537026644E-3</v>
      </c>
    </row>
    <row r="445" spans="1:4" x14ac:dyDescent="0.25">
      <c r="A445">
        <v>18134</v>
      </c>
      <c r="B445" s="3">
        <v>45209</v>
      </c>
      <c r="C445" t="s">
        <v>35</v>
      </c>
      <c r="D445">
        <v>3.3213634043931961E-2</v>
      </c>
    </row>
    <row r="446" spans="1:4" x14ac:dyDescent="0.25">
      <c r="A446">
        <v>18134</v>
      </c>
      <c r="B446" s="3">
        <v>45210</v>
      </c>
      <c r="C446" t="s">
        <v>35</v>
      </c>
      <c r="D446">
        <v>-4.3440652079880238E-3</v>
      </c>
    </row>
    <row r="447" spans="1:4" x14ac:dyDescent="0.25">
      <c r="A447">
        <v>18134</v>
      </c>
      <c r="B447" s="3">
        <v>45211</v>
      </c>
      <c r="C447" t="s">
        <v>35</v>
      </c>
      <c r="D447">
        <v>-3.2286204397678375E-2</v>
      </c>
    </row>
    <row r="448" spans="1:4" x14ac:dyDescent="0.25">
      <c r="A448">
        <v>18134</v>
      </c>
      <c r="B448" s="3">
        <v>45212</v>
      </c>
      <c r="C448" t="s">
        <v>35</v>
      </c>
      <c r="D448">
        <v>2.7051155921071768E-3</v>
      </c>
    </row>
    <row r="449" spans="1:4" x14ac:dyDescent="0.25">
      <c r="A449">
        <v>18134</v>
      </c>
      <c r="B449" s="3">
        <v>45215</v>
      </c>
      <c r="C449" t="s">
        <v>35</v>
      </c>
      <c r="D449">
        <v>8.0935386940836906E-3</v>
      </c>
    </row>
    <row r="450" spans="1:4" x14ac:dyDescent="0.25">
      <c r="A450">
        <v>18134</v>
      </c>
      <c r="B450" s="3">
        <v>45216</v>
      </c>
      <c r="C450" t="s">
        <v>35</v>
      </c>
      <c r="D450">
        <v>1.2488880194723606E-2</v>
      </c>
    </row>
    <row r="451" spans="1:4" x14ac:dyDescent="0.25">
      <c r="A451">
        <v>18134</v>
      </c>
      <c r="B451" s="3">
        <v>45217</v>
      </c>
      <c r="C451" t="s">
        <v>35</v>
      </c>
      <c r="D451">
        <v>-1.4977979473769665E-2</v>
      </c>
    </row>
    <row r="452" spans="1:4" x14ac:dyDescent="0.25">
      <c r="A452">
        <v>18134</v>
      </c>
      <c r="B452" s="3">
        <v>45218</v>
      </c>
      <c r="C452" t="s">
        <v>35</v>
      </c>
      <c r="D452">
        <v>-1.0733442381024361E-2</v>
      </c>
    </row>
    <row r="453" spans="1:4" x14ac:dyDescent="0.25">
      <c r="A453">
        <v>18134</v>
      </c>
      <c r="B453" s="3">
        <v>45219</v>
      </c>
      <c r="C453" t="s">
        <v>35</v>
      </c>
      <c r="D453">
        <v>-1.2658257968723774E-2</v>
      </c>
    </row>
    <row r="454" spans="1:4" x14ac:dyDescent="0.25">
      <c r="A454">
        <v>18134</v>
      </c>
      <c r="B454" s="3">
        <v>45222</v>
      </c>
      <c r="C454" t="s">
        <v>35</v>
      </c>
      <c r="D454">
        <v>-1.2820543721318245E-2</v>
      </c>
    </row>
    <row r="455" spans="1:4" x14ac:dyDescent="0.25">
      <c r="A455">
        <v>18134</v>
      </c>
      <c r="B455" s="3">
        <v>45223</v>
      </c>
      <c r="C455" t="s">
        <v>35</v>
      </c>
      <c r="D455">
        <v>3.3395234495401382E-2</v>
      </c>
    </row>
    <row r="456" spans="1:4" x14ac:dyDescent="0.25">
      <c r="A456">
        <v>18134</v>
      </c>
      <c r="B456" s="3">
        <v>45224</v>
      </c>
      <c r="C456" t="s">
        <v>35</v>
      </c>
      <c r="D456">
        <v>-8.7073631584644318E-2</v>
      </c>
    </row>
    <row r="457" spans="1:4" x14ac:dyDescent="0.25">
      <c r="A457">
        <v>18134</v>
      </c>
      <c r="B457" s="3">
        <v>45225</v>
      </c>
      <c r="C457" t="s">
        <v>35</v>
      </c>
      <c r="D457">
        <v>5.8996523730456829E-3</v>
      </c>
    </row>
    <row r="458" spans="1:4" x14ac:dyDescent="0.25">
      <c r="A458">
        <v>18134</v>
      </c>
      <c r="B458" s="3">
        <v>45226</v>
      </c>
      <c r="C458" t="s">
        <v>35</v>
      </c>
      <c r="D458">
        <v>7.8202225267887115E-3</v>
      </c>
    </row>
    <row r="459" spans="1:4" x14ac:dyDescent="0.25">
      <c r="A459">
        <v>18134</v>
      </c>
      <c r="B459" s="3">
        <v>45229</v>
      </c>
      <c r="C459" t="s">
        <v>35</v>
      </c>
      <c r="D459">
        <v>-9.6995424246415496E-4</v>
      </c>
    </row>
    <row r="460" spans="1:4" x14ac:dyDescent="0.25">
      <c r="A460">
        <v>18134</v>
      </c>
      <c r="B460" s="3">
        <v>45230</v>
      </c>
      <c r="C460" t="s">
        <v>35</v>
      </c>
      <c r="D460">
        <v>1.4563069678843021E-2</v>
      </c>
    </row>
    <row r="461" spans="1:4" x14ac:dyDescent="0.25">
      <c r="A461">
        <v>18134</v>
      </c>
      <c r="B461" s="3">
        <v>45231</v>
      </c>
      <c r="C461" t="s">
        <v>35</v>
      </c>
      <c r="D461">
        <v>-4.497610405087471E-2</v>
      </c>
    </row>
    <row r="462" spans="1:4" x14ac:dyDescent="0.25">
      <c r="A462">
        <v>18134</v>
      </c>
      <c r="B462" s="3">
        <v>45232</v>
      </c>
      <c r="C462" t="s">
        <v>35</v>
      </c>
      <c r="D462">
        <v>8.9178398251533508E-2</v>
      </c>
    </row>
    <row r="463" spans="1:4" x14ac:dyDescent="0.25">
      <c r="A463">
        <v>18134</v>
      </c>
      <c r="B463" s="3">
        <v>45233</v>
      </c>
      <c r="C463" t="s">
        <v>35</v>
      </c>
      <c r="D463">
        <v>3.6798581480979919E-2</v>
      </c>
    </row>
    <row r="464" spans="1:4" x14ac:dyDescent="0.25">
      <c r="A464">
        <v>18134</v>
      </c>
      <c r="B464" s="3">
        <v>45236</v>
      </c>
      <c r="C464" t="s">
        <v>35</v>
      </c>
      <c r="D464">
        <v>5.3238212130963802E-3</v>
      </c>
    </row>
    <row r="465" spans="1:4" x14ac:dyDescent="0.25">
      <c r="A465">
        <v>18134</v>
      </c>
      <c r="B465" s="3">
        <v>45237</v>
      </c>
      <c r="C465" t="s">
        <v>35</v>
      </c>
      <c r="D465">
        <v>6.1341542750597E-2</v>
      </c>
    </row>
    <row r="466" spans="1:4" x14ac:dyDescent="0.25">
      <c r="A466">
        <v>18134</v>
      </c>
      <c r="B466" s="3">
        <v>45238</v>
      </c>
      <c r="C466" t="s">
        <v>35</v>
      </c>
      <c r="D466">
        <v>0.10519753396511078</v>
      </c>
    </row>
    <row r="467" spans="1:4" x14ac:dyDescent="0.25">
      <c r="A467">
        <v>18134</v>
      </c>
      <c r="B467" s="3">
        <v>45239</v>
      </c>
      <c r="C467" t="s">
        <v>35</v>
      </c>
      <c r="D467">
        <v>3.7622416857630014E-3</v>
      </c>
    </row>
    <row r="468" spans="1:4" x14ac:dyDescent="0.25">
      <c r="A468">
        <v>18134</v>
      </c>
      <c r="B468" s="3">
        <v>45240</v>
      </c>
      <c r="C468" t="s">
        <v>35</v>
      </c>
      <c r="D468">
        <v>3.4482762217521667E-2</v>
      </c>
    </row>
    <row r="469" spans="1:4" x14ac:dyDescent="0.25">
      <c r="A469">
        <v>18134</v>
      </c>
      <c r="B469" s="3">
        <v>45243</v>
      </c>
      <c r="C469" t="s">
        <v>35</v>
      </c>
      <c r="D469">
        <v>-6.5217502415180206E-3</v>
      </c>
    </row>
    <row r="470" spans="1:4" x14ac:dyDescent="0.25">
      <c r="A470">
        <v>18134</v>
      </c>
      <c r="B470" s="3">
        <v>45244</v>
      </c>
      <c r="C470" t="s">
        <v>35</v>
      </c>
      <c r="D470">
        <v>5.1787018775939941E-2</v>
      </c>
    </row>
    <row r="471" spans="1:4" x14ac:dyDescent="0.25">
      <c r="A471">
        <v>18134</v>
      </c>
      <c r="B471" s="3">
        <v>45245</v>
      </c>
      <c r="C471" t="s">
        <v>35</v>
      </c>
      <c r="D471">
        <v>4.1608507744967937E-3</v>
      </c>
    </row>
    <row r="472" spans="1:4" x14ac:dyDescent="0.25">
      <c r="A472">
        <v>18134</v>
      </c>
      <c r="B472" s="3">
        <v>45246</v>
      </c>
      <c r="C472" t="s">
        <v>35</v>
      </c>
      <c r="D472">
        <v>-2.5552479550242424E-2</v>
      </c>
    </row>
    <row r="473" spans="1:4" x14ac:dyDescent="0.25">
      <c r="A473">
        <v>18134</v>
      </c>
      <c r="B473" s="3">
        <v>45247</v>
      </c>
      <c r="C473" t="s">
        <v>35</v>
      </c>
      <c r="D473">
        <v>1.4883064664900303E-2</v>
      </c>
    </row>
    <row r="474" spans="1:4" x14ac:dyDescent="0.25">
      <c r="A474">
        <v>18134</v>
      </c>
      <c r="B474" s="3">
        <v>45250</v>
      </c>
      <c r="C474" t="s">
        <v>35</v>
      </c>
      <c r="D474">
        <v>-6.2849270179867744E-3</v>
      </c>
    </row>
    <row r="475" spans="1:4" x14ac:dyDescent="0.25">
      <c r="A475">
        <v>18134</v>
      </c>
      <c r="B475" s="3">
        <v>45251</v>
      </c>
      <c r="C475" t="s">
        <v>35</v>
      </c>
      <c r="D475">
        <v>-4.0758956223726273E-2</v>
      </c>
    </row>
    <row r="476" spans="1:4" x14ac:dyDescent="0.25">
      <c r="A476">
        <v>18134</v>
      </c>
      <c r="B476" s="3">
        <v>45252</v>
      </c>
      <c r="C476" t="s">
        <v>35</v>
      </c>
      <c r="D476">
        <v>4.1025672107934952E-2</v>
      </c>
    </row>
    <row r="477" spans="1:4" x14ac:dyDescent="0.25">
      <c r="A477">
        <v>18134</v>
      </c>
      <c r="B477" s="3">
        <v>45254</v>
      </c>
      <c r="C477" t="s">
        <v>35</v>
      </c>
      <c r="D477">
        <v>2.8149164281785488E-3</v>
      </c>
    </row>
    <row r="478" spans="1:4" x14ac:dyDescent="0.25">
      <c r="A478">
        <v>18134</v>
      </c>
      <c r="B478" s="3">
        <v>45257</v>
      </c>
      <c r="C478" t="s">
        <v>35</v>
      </c>
      <c r="D478">
        <v>-1.3333303853869438E-2</v>
      </c>
    </row>
    <row r="479" spans="1:4" x14ac:dyDescent="0.25">
      <c r="A479">
        <v>18134</v>
      </c>
      <c r="B479" s="3">
        <v>45258</v>
      </c>
      <c r="C479" t="s">
        <v>35</v>
      </c>
      <c r="D479">
        <v>1.3513483107089996E-2</v>
      </c>
    </row>
    <row r="480" spans="1:4" x14ac:dyDescent="0.25">
      <c r="A480">
        <v>18134</v>
      </c>
      <c r="B480" s="3">
        <v>45259</v>
      </c>
      <c r="C480" t="s">
        <v>35</v>
      </c>
      <c r="D480">
        <v>7.0177041925489902E-4</v>
      </c>
    </row>
    <row r="481" spans="1:4" x14ac:dyDescent="0.25">
      <c r="A481">
        <v>18134</v>
      </c>
      <c r="B481" s="3">
        <v>45260</v>
      </c>
      <c r="C481" t="s">
        <v>35</v>
      </c>
      <c r="D481">
        <v>-1.1921463534235954E-2</v>
      </c>
    </row>
    <row r="482" spans="1:4" x14ac:dyDescent="0.25">
      <c r="A482">
        <v>18134</v>
      </c>
      <c r="B482" s="3">
        <v>45261</v>
      </c>
      <c r="C482" t="s">
        <v>35</v>
      </c>
      <c r="D482">
        <v>1.3484710827469826E-2</v>
      </c>
    </row>
    <row r="483" spans="1:4" x14ac:dyDescent="0.25">
      <c r="A483">
        <v>18134</v>
      </c>
      <c r="B483" s="3">
        <v>45264</v>
      </c>
      <c r="C483" t="s">
        <v>35</v>
      </c>
      <c r="D483">
        <v>-2.1708646789193153E-2</v>
      </c>
    </row>
    <row r="484" spans="1:4" x14ac:dyDescent="0.25">
      <c r="A484">
        <v>18134</v>
      </c>
      <c r="B484" s="3">
        <v>45265</v>
      </c>
      <c r="C484" t="s">
        <v>35</v>
      </c>
      <c r="D484">
        <v>-7.8740594908595085E-3</v>
      </c>
    </row>
    <row r="485" spans="1:4" x14ac:dyDescent="0.25">
      <c r="A485">
        <v>18134</v>
      </c>
      <c r="B485" s="3">
        <v>45266</v>
      </c>
      <c r="C485" t="s">
        <v>35</v>
      </c>
      <c r="D485">
        <v>7.9365521669387817E-3</v>
      </c>
    </row>
    <row r="486" spans="1:4" x14ac:dyDescent="0.25">
      <c r="A486">
        <v>18134</v>
      </c>
      <c r="B486" s="3">
        <v>45267</v>
      </c>
      <c r="C486" t="s">
        <v>35</v>
      </c>
      <c r="D486">
        <v>-1.5748050063848495E-2</v>
      </c>
    </row>
    <row r="487" spans="1:4" x14ac:dyDescent="0.25">
      <c r="A487">
        <v>18134</v>
      </c>
      <c r="B487" s="3">
        <v>45268</v>
      </c>
      <c r="C487" t="s">
        <v>35</v>
      </c>
      <c r="D487">
        <v>2.2545484825968742E-2</v>
      </c>
    </row>
    <row r="488" spans="1:4" x14ac:dyDescent="0.25">
      <c r="A488">
        <v>18134</v>
      </c>
      <c r="B488" s="3">
        <v>45271</v>
      </c>
      <c r="C488" t="s">
        <v>35</v>
      </c>
      <c r="D488">
        <v>3.5561334807425737E-3</v>
      </c>
    </row>
    <row r="489" spans="1:4" x14ac:dyDescent="0.25">
      <c r="A489">
        <v>18134</v>
      </c>
      <c r="B489" s="3">
        <v>45272</v>
      </c>
      <c r="C489" t="s">
        <v>35</v>
      </c>
      <c r="D489">
        <v>1.063079945743084E-2</v>
      </c>
    </row>
    <row r="490" spans="1:4" x14ac:dyDescent="0.25">
      <c r="A490">
        <v>18134</v>
      </c>
      <c r="B490" s="3">
        <v>45273</v>
      </c>
      <c r="C490" t="s">
        <v>35</v>
      </c>
      <c r="D490">
        <v>2.8751742094755173E-2</v>
      </c>
    </row>
    <row r="491" spans="1:4" x14ac:dyDescent="0.25">
      <c r="A491">
        <v>18134</v>
      </c>
      <c r="B491" s="3">
        <v>45274</v>
      </c>
      <c r="C491" t="s">
        <v>35</v>
      </c>
      <c r="D491">
        <v>1.6359902918338776E-2</v>
      </c>
    </row>
    <row r="492" spans="1:4" x14ac:dyDescent="0.25">
      <c r="A492">
        <v>18134</v>
      </c>
      <c r="B492" s="3">
        <v>45275</v>
      </c>
      <c r="C492" t="s">
        <v>35</v>
      </c>
      <c r="D492">
        <v>-7.37757608294487E-3</v>
      </c>
    </row>
    <row r="493" spans="1:4" x14ac:dyDescent="0.25">
      <c r="A493">
        <v>18134</v>
      </c>
      <c r="B493" s="3">
        <v>45278</v>
      </c>
      <c r="C493" t="s">
        <v>35</v>
      </c>
      <c r="D493">
        <v>4.6621590852737427E-2</v>
      </c>
    </row>
    <row r="494" spans="1:4" x14ac:dyDescent="0.25">
      <c r="A494">
        <v>18134</v>
      </c>
      <c r="B494" s="3">
        <v>45279</v>
      </c>
      <c r="C494" t="s">
        <v>35</v>
      </c>
      <c r="D494">
        <v>-1.2265951372683048E-2</v>
      </c>
    </row>
    <row r="495" spans="1:4" x14ac:dyDescent="0.25">
      <c r="A495">
        <v>18134</v>
      </c>
      <c r="B495" s="3">
        <v>45280</v>
      </c>
      <c r="C495" t="s">
        <v>35</v>
      </c>
      <c r="D495">
        <v>-3.9869319647550583E-2</v>
      </c>
    </row>
    <row r="496" spans="1:4" x14ac:dyDescent="0.25">
      <c r="A496">
        <v>18134</v>
      </c>
      <c r="B496" s="3">
        <v>45281</v>
      </c>
      <c r="C496" t="s">
        <v>35</v>
      </c>
      <c r="D496">
        <v>5.4459413513541222E-3</v>
      </c>
    </row>
    <row r="497" spans="1:4" x14ac:dyDescent="0.25">
      <c r="A497">
        <v>18134</v>
      </c>
      <c r="B497" s="3">
        <v>45282</v>
      </c>
      <c r="C497" t="s">
        <v>35</v>
      </c>
      <c r="D497">
        <v>-9.4786956906318665E-3</v>
      </c>
    </row>
    <row r="498" spans="1:4" x14ac:dyDescent="0.25">
      <c r="A498">
        <v>18134</v>
      </c>
      <c r="B498" s="3">
        <v>45286</v>
      </c>
      <c r="C498" t="s">
        <v>35</v>
      </c>
      <c r="D498">
        <v>4.4429227709770203E-2</v>
      </c>
    </row>
    <row r="499" spans="1:4" x14ac:dyDescent="0.25">
      <c r="A499">
        <v>18134</v>
      </c>
      <c r="B499" s="3">
        <v>45287</v>
      </c>
      <c r="C499" t="s">
        <v>35</v>
      </c>
      <c r="D499">
        <v>-6.5444651991128922E-3</v>
      </c>
    </row>
    <row r="500" spans="1:4" x14ac:dyDescent="0.25">
      <c r="A500">
        <v>18134</v>
      </c>
      <c r="B500" s="3">
        <v>45288</v>
      </c>
      <c r="C500" t="s">
        <v>35</v>
      </c>
      <c r="D500">
        <v>-7.2464169934391975E-3</v>
      </c>
    </row>
    <row r="501" spans="1:4" x14ac:dyDescent="0.25">
      <c r="A501">
        <v>18134</v>
      </c>
      <c r="B501" s="3">
        <v>45289</v>
      </c>
      <c r="C501" t="s">
        <v>35</v>
      </c>
      <c r="D501">
        <v>-1.3271387666463852E-2</v>
      </c>
    </row>
    <row r="502" spans="1:4" x14ac:dyDescent="0.25">
      <c r="A502">
        <v>26710</v>
      </c>
      <c r="B502" s="3">
        <v>44929</v>
      </c>
      <c r="C502" t="s">
        <v>32</v>
      </c>
      <c r="D502">
        <v>4.457368515431881E-3</v>
      </c>
    </row>
    <row r="503" spans="1:4" x14ac:dyDescent="0.25">
      <c r="A503">
        <v>26710</v>
      </c>
      <c r="B503" s="3">
        <v>44930</v>
      </c>
      <c r="C503" t="s">
        <v>32</v>
      </c>
      <c r="D503">
        <v>1.1606081388890743E-2</v>
      </c>
    </row>
    <row r="504" spans="1:4" x14ac:dyDescent="0.25">
      <c r="A504">
        <v>26710</v>
      </c>
      <c r="B504" s="3">
        <v>44931</v>
      </c>
      <c r="C504" t="s">
        <v>32</v>
      </c>
      <c r="D504">
        <v>-1.0123397223651409E-3</v>
      </c>
    </row>
    <row r="505" spans="1:4" x14ac:dyDescent="0.25">
      <c r="A505">
        <v>26710</v>
      </c>
      <c r="B505" s="3">
        <v>44932</v>
      </c>
      <c r="C505" t="s">
        <v>32</v>
      </c>
      <c r="D505">
        <v>2.1280225366353989E-2</v>
      </c>
    </row>
    <row r="506" spans="1:4" x14ac:dyDescent="0.25">
      <c r="A506">
        <v>26710</v>
      </c>
      <c r="B506" s="3">
        <v>44935</v>
      </c>
      <c r="C506" t="s">
        <v>32</v>
      </c>
      <c r="D506">
        <v>-2.4805687367916107E-2</v>
      </c>
    </row>
    <row r="507" spans="1:4" x14ac:dyDescent="0.25">
      <c r="A507">
        <v>26710</v>
      </c>
      <c r="B507" s="3">
        <v>44936</v>
      </c>
      <c r="C507" t="s">
        <v>32</v>
      </c>
      <c r="D507">
        <v>1.1870390735566616E-3</v>
      </c>
    </row>
    <row r="508" spans="1:4" x14ac:dyDescent="0.25">
      <c r="A508">
        <v>26710</v>
      </c>
      <c r="B508" s="3">
        <v>44937</v>
      </c>
      <c r="C508" t="s">
        <v>32</v>
      </c>
      <c r="D508">
        <v>1.3380774296820164E-2</v>
      </c>
    </row>
    <row r="509" spans="1:4" x14ac:dyDescent="0.25">
      <c r="A509">
        <v>26710</v>
      </c>
      <c r="B509" s="3">
        <v>44938</v>
      </c>
      <c r="C509" t="s">
        <v>32</v>
      </c>
      <c r="D509">
        <v>8.3568837726488709E-4</v>
      </c>
    </row>
    <row r="510" spans="1:4" x14ac:dyDescent="0.25">
      <c r="A510">
        <v>26710</v>
      </c>
      <c r="B510" s="3">
        <v>44939</v>
      </c>
      <c r="C510" t="s">
        <v>32</v>
      </c>
      <c r="D510">
        <v>5.6780250743031502E-3</v>
      </c>
    </row>
    <row r="511" spans="1:4" x14ac:dyDescent="0.25">
      <c r="A511">
        <v>26710</v>
      </c>
      <c r="B511" s="3">
        <v>44943</v>
      </c>
      <c r="C511" t="s">
        <v>32</v>
      </c>
      <c r="D511">
        <v>-1.4447072520852089E-2</v>
      </c>
    </row>
    <row r="512" spans="1:4" x14ac:dyDescent="0.25">
      <c r="A512">
        <v>26710</v>
      </c>
      <c r="B512" s="3">
        <v>44944</v>
      </c>
      <c r="C512" t="s">
        <v>32</v>
      </c>
      <c r="D512">
        <v>-1.4827249571681023E-2</v>
      </c>
    </row>
    <row r="513" spans="1:4" x14ac:dyDescent="0.25">
      <c r="A513">
        <v>26710</v>
      </c>
      <c r="B513" s="3">
        <v>44945</v>
      </c>
      <c r="C513" t="s">
        <v>32</v>
      </c>
      <c r="D513">
        <v>-6.841141264885664E-3</v>
      </c>
    </row>
    <row r="514" spans="1:4" x14ac:dyDescent="0.25">
      <c r="A514">
        <v>26710</v>
      </c>
      <c r="B514" s="3">
        <v>44946</v>
      </c>
      <c r="C514" t="s">
        <v>32</v>
      </c>
      <c r="D514">
        <v>1.5326320193707943E-2</v>
      </c>
    </row>
    <row r="515" spans="1:4" x14ac:dyDescent="0.25">
      <c r="A515">
        <v>26710</v>
      </c>
      <c r="B515" s="3">
        <v>44949</v>
      </c>
      <c r="C515" t="s">
        <v>32</v>
      </c>
      <c r="D515">
        <v>1.0515650734305382E-2</v>
      </c>
    </row>
    <row r="516" spans="1:4" x14ac:dyDescent="0.25">
      <c r="A516">
        <v>26710</v>
      </c>
      <c r="B516" s="3">
        <v>44950</v>
      </c>
      <c r="C516" t="s">
        <v>32</v>
      </c>
      <c r="D516">
        <v>1.0909662581980228E-2</v>
      </c>
    </row>
    <row r="517" spans="1:4" x14ac:dyDescent="0.25">
      <c r="A517">
        <v>26710</v>
      </c>
      <c r="B517" s="3">
        <v>44951</v>
      </c>
      <c r="C517" t="s">
        <v>32</v>
      </c>
      <c r="D517">
        <v>5.9770978987216949E-3</v>
      </c>
    </row>
    <row r="518" spans="1:4" x14ac:dyDescent="0.25">
      <c r="A518">
        <v>26710</v>
      </c>
      <c r="B518" s="3">
        <v>44952</v>
      </c>
      <c r="C518" t="s">
        <v>32</v>
      </c>
      <c r="D518">
        <v>9.2424722388386726E-3</v>
      </c>
    </row>
    <row r="519" spans="1:4" x14ac:dyDescent="0.25">
      <c r="A519">
        <v>26710</v>
      </c>
      <c r="B519" s="3">
        <v>44953</v>
      </c>
      <c r="C519" t="s">
        <v>32</v>
      </c>
      <c r="D519">
        <v>-2.6165142189711332E-3</v>
      </c>
    </row>
    <row r="520" spans="1:4" x14ac:dyDescent="0.25">
      <c r="A520">
        <v>26710</v>
      </c>
      <c r="B520" s="3">
        <v>44956</v>
      </c>
      <c r="C520" t="s">
        <v>32</v>
      </c>
      <c r="D520">
        <v>-9.3458518385887146E-3</v>
      </c>
    </row>
    <row r="521" spans="1:4" x14ac:dyDescent="0.25">
      <c r="A521">
        <v>26710</v>
      </c>
      <c r="B521" s="3">
        <v>44957</v>
      </c>
      <c r="C521" t="s">
        <v>32</v>
      </c>
      <c r="D521">
        <v>1.7543882131576538E-2</v>
      </c>
    </row>
    <row r="522" spans="1:4" x14ac:dyDescent="0.25">
      <c r="A522">
        <v>26710</v>
      </c>
      <c r="B522" s="3">
        <v>44958</v>
      </c>
      <c r="C522" t="s">
        <v>32</v>
      </c>
      <c r="D522">
        <v>-1.5289503149688244E-2</v>
      </c>
    </row>
    <row r="523" spans="1:4" x14ac:dyDescent="0.25">
      <c r="A523">
        <v>26710</v>
      </c>
      <c r="B523" s="3">
        <v>44959</v>
      </c>
      <c r="C523" t="s">
        <v>32</v>
      </c>
      <c r="D523">
        <v>-5.9464918449521065E-3</v>
      </c>
    </row>
    <row r="524" spans="1:4" x14ac:dyDescent="0.25">
      <c r="A524">
        <v>26710</v>
      </c>
      <c r="B524" s="3">
        <v>44960</v>
      </c>
      <c r="C524" t="s">
        <v>32</v>
      </c>
      <c r="D524">
        <v>-1.3293756637722254E-3</v>
      </c>
    </row>
    <row r="525" spans="1:4" x14ac:dyDescent="0.25">
      <c r="A525">
        <v>26710</v>
      </c>
      <c r="B525" s="3">
        <v>44963</v>
      </c>
      <c r="C525" t="s">
        <v>32</v>
      </c>
      <c r="D525">
        <v>2.2296175360679626E-2</v>
      </c>
    </row>
    <row r="526" spans="1:4" x14ac:dyDescent="0.25">
      <c r="A526">
        <v>26710</v>
      </c>
      <c r="B526" s="3">
        <v>44964</v>
      </c>
      <c r="C526" t="s">
        <v>32</v>
      </c>
      <c r="D526">
        <v>2.1321637555956841E-2</v>
      </c>
    </row>
    <row r="527" spans="1:4" x14ac:dyDescent="0.25">
      <c r="A527">
        <v>26710</v>
      </c>
      <c r="B527" s="3">
        <v>44965</v>
      </c>
      <c r="C527" t="s">
        <v>32</v>
      </c>
      <c r="D527">
        <v>-1.0995994322001934E-2</v>
      </c>
    </row>
    <row r="528" spans="1:4" x14ac:dyDescent="0.25">
      <c r="A528">
        <v>26710</v>
      </c>
      <c r="B528" s="3">
        <v>44966</v>
      </c>
      <c r="C528" t="s">
        <v>32</v>
      </c>
      <c r="D528">
        <v>-4.9951882101595402E-3</v>
      </c>
    </row>
    <row r="529" spans="1:4" x14ac:dyDescent="0.25">
      <c r="A529">
        <v>26710</v>
      </c>
      <c r="B529" s="3">
        <v>44967</v>
      </c>
      <c r="C529" t="s">
        <v>32</v>
      </c>
      <c r="D529">
        <v>6.8015898577868938E-3</v>
      </c>
    </row>
    <row r="530" spans="1:4" x14ac:dyDescent="0.25">
      <c r="A530">
        <v>26710</v>
      </c>
      <c r="B530" s="3">
        <v>44970</v>
      </c>
      <c r="C530" t="s">
        <v>32</v>
      </c>
      <c r="D530">
        <v>6.4339959062635899E-3</v>
      </c>
    </row>
    <row r="531" spans="1:4" x14ac:dyDescent="0.25">
      <c r="A531">
        <v>26710</v>
      </c>
      <c r="B531" s="3">
        <v>44971</v>
      </c>
      <c r="C531" t="s">
        <v>32</v>
      </c>
      <c r="D531">
        <v>-1.2625874020159245E-2</v>
      </c>
    </row>
    <row r="532" spans="1:4" x14ac:dyDescent="0.25">
      <c r="A532">
        <v>26710</v>
      </c>
      <c r="B532" s="3">
        <v>44972</v>
      </c>
      <c r="C532" t="s">
        <v>32</v>
      </c>
      <c r="D532">
        <v>5.9890379197895527E-3</v>
      </c>
    </row>
    <row r="533" spans="1:4" x14ac:dyDescent="0.25">
      <c r="A533">
        <v>26710</v>
      </c>
      <c r="B533" s="3">
        <v>44973</v>
      </c>
      <c r="C533" t="s">
        <v>32</v>
      </c>
      <c r="D533">
        <v>-7.8841783106327057E-3</v>
      </c>
    </row>
    <row r="534" spans="1:4" x14ac:dyDescent="0.25">
      <c r="A534">
        <v>26710</v>
      </c>
      <c r="B534" s="3">
        <v>44974</v>
      </c>
      <c r="C534" t="s">
        <v>32</v>
      </c>
      <c r="D534">
        <v>-2.4327202700078487E-3</v>
      </c>
    </row>
    <row r="535" spans="1:4" x14ac:dyDescent="0.25">
      <c r="A535">
        <v>26710</v>
      </c>
      <c r="B535" s="3">
        <v>44978</v>
      </c>
      <c r="C535" t="s">
        <v>32</v>
      </c>
      <c r="D535">
        <v>-1.0851887054741383E-2</v>
      </c>
    </row>
    <row r="536" spans="1:4" x14ac:dyDescent="0.25">
      <c r="A536">
        <v>26710</v>
      </c>
      <c r="B536" s="3">
        <v>44979</v>
      </c>
      <c r="C536" t="s">
        <v>32</v>
      </c>
      <c r="D536">
        <v>-2.3033793549984694E-3</v>
      </c>
    </row>
    <row r="537" spans="1:4" x14ac:dyDescent="0.25">
      <c r="A537">
        <v>26710</v>
      </c>
      <c r="B537" s="3">
        <v>44980</v>
      </c>
      <c r="C537" t="s">
        <v>32</v>
      </c>
      <c r="D537">
        <v>9.8946853540837765E-4</v>
      </c>
    </row>
    <row r="538" spans="1:4" x14ac:dyDescent="0.25">
      <c r="A538">
        <v>26710</v>
      </c>
      <c r="B538" s="3">
        <v>44981</v>
      </c>
      <c r="C538" t="s">
        <v>32</v>
      </c>
      <c r="D538">
        <v>6.2603140249848366E-3</v>
      </c>
    </row>
    <row r="539" spans="1:4" x14ac:dyDescent="0.25">
      <c r="A539">
        <v>26710</v>
      </c>
      <c r="B539" s="3">
        <v>44984</v>
      </c>
      <c r="C539" t="s">
        <v>32</v>
      </c>
      <c r="D539">
        <v>-2.9469598084688187E-3</v>
      </c>
    </row>
    <row r="540" spans="1:4" x14ac:dyDescent="0.25">
      <c r="A540">
        <v>26710</v>
      </c>
      <c r="B540" s="3">
        <v>44985</v>
      </c>
      <c r="C540" t="s">
        <v>32</v>
      </c>
      <c r="D540">
        <v>3.1198461074382067E-3</v>
      </c>
    </row>
    <row r="541" spans="1:4" x14ac:dyDescent="0.25">
      <c r="A541">
        <v>26710</v>
      </c>
      <c r="B541" s="3">
        <v>44986</v>
      </c>
      <c r="C541" t="s">
        <v>32</v>
      </c>
      <c r="D541">
        <v>2.6190842036157846E-3</v>
      </c>
    </row>
    <row r="542" spans="1:4" x14ac:dyDescent="0.25">
      <c r="A542">
        <v>26710</v>
      </c>
      <c r="B542" s="3">
        <v>44987</v>
      </c>
      <c r="C542" t="s">
        <v>32</v>
      </c>
      <c r="D542">
        <v>3.1020184978842735E-3</v>
      </c>
    </row>
    <row r="543" spans="1:4" x14ac:dyDescent="0.25">
      <c r="A543">
        <v>26710</v>
      </c>
      <c r="B543" s="3">
        <v>44988</v>
      </c>
      <c r="C543" t="s">
        <v>32</v>
      </c>
      <c r="D543">
        <v>5.2083283662796021E-3</v>
      </c>
    </row>
    <row r="544" spans="1:4" x14ac:dyDescent="0.25">
      <c r="A544">
        <v>26710</v>
      </c>
      <c r="B544" s="3">
        <v>44991</v>
      </c>
      <c r="C544" t="s">
        <v>32</v>
      </c>
      <c r="D544">
        <v>-6.9623785093426704E-3</v>
      </c>
    </row>
    <row r="545" spans="1:4" x14ac:dyDescent="0.25">
      <c r="A545">
        <v>26710</v>
      </c>
      <c r="B545" s="3">
        <v>44992</v>
      </c>
      <c r="C545" t="s">
        <v>32</v>
      </c>
      <c r="D545">
        <v>-2.608841098845005E-2</v>
      </c>
    </row>
    <row r="546" spans="1:4" x14ac:dyDescent="0.25">
      <c r="A546">
        <v>26710</v>
      </c>
      <c r="B546" s="3">
        <v>44993</v>
      </c>
      <c r="C546" t="s">
        <v>32</v>
      </c>
      <c r="D546">
        <v>-1.4732982963323593E-2</v>
      </c>
    </row>
    <row r="547" spans="1:4" x14ac:dyDescent="0.25">
      <c r="A547">
        <v>26710</v>
      </c>
      <c r="B547" s="3">
        <v>44994</v>
      </c>
      <c r="C547" t="s">
        <v>32</v>
      </c>
      <c r="D547">
        <v>-1.1554805561900139E-2</v>
      </c>
    </row>
    <row r="548" spans="1:4" x14ac:dyDescent="0.25">
      <c r="A548">
        <v>26710</v>
      </c>
      <c r="B548" s="3">
        <v>44995</v>
      </c>
      <c r="C548" t="s">
        <v>32</v>
      </c>
      <c r="D548">
        <v>-1.4096608385443687E-2</v>
      </c>
    </row>
    <row r="549" spans="1:4" x14ac:dyDescent="0.25">
      <c r="A549">
        <v>26710</v>
      </c>
      <c r="B549" s="3">
        <v>44998</v>
      </c>
      <c r="C549" t="s">
        <v>32</v>
      </c>
      <c r="D549">
        <v>-3.1560551375150681E-2</v>
      </c>
    </row>
    <row r="550" spans="1:4" x14ac:dyDescent="0.25">
      <c r="A550">
        <v>26710</v>
      </c>
      <c r="B550" s="3">
        <v>44999</v>
      </c>
      <c r="C550" t="s">
        <v>32</v>
      </c>
      <c r="D550">
        <v>1.3323691673576832E-2</v>
      </c>
    </row>
    <row r="551" spans="1:4" x14ac:dyDescent="0.25">
      <c r="A551">
        <v>26710</v>
      </c>
      <c r="B551" s="3">
        <v>45000</v>
      </c>
      <c r="C551" t="s">
        <v>32</v>
      </c>
      <c r="D551">
        <v>-3.5003509372472763E-2</v>
      </c>
    </row>
    <row r="552" spans="1:4" x14ac:dyDescent="0.25">
      <c r="A552">
        <v>26710</v>
      </c>
      <c r="B552" s="3">
        <v>45001</v>
      </c>
      <c r="C552" t="s">
        <v>32</v>
      </c>
      <c r="D552">
        <v>2.8723945841193199E-2</v>
      </c>
    </row>
    <row r="553" spans="1:4" x14ac:dyDescent="0.25">
      <c r="A553">
        <v>26710</v>
      </c>
      <c r="B553" s="3">
        <v>45002</v>
      </c>
      <c r="C553" t="s">
        <v>32</v>
      </c>
      <c r="D553">
        <v>-4.0808998048305511E-2</v>
      </c>
    </row>
    <row r="554" spans="1:4" x14ac:dyDescent="0.25">
      <c r="A554">
        <v>26710</v>
      </c>
      <c r="B554" s="3">
        <v>45005</v>
      </c>
      <c r="C554" t="s">
        <v>32</v>
      </c>
      <c r="D554">
        <v>3.1162496656179428E-2</v>
      </c>
    </row>
    <row r="555" spans="1:4" x14ac:dyDescent="0.25">
      <c r="A555">
        <v>26710</v>
      </c>
      <c r="B555" s="3">
        <v>45006</v>
      </c>
      <c r="C555" t="s">
        <v>32</v>
      </c>
      <c r="D555">
        <v>1.3753205537796021E-2</v>
      </c>
    </row>
    <row r="556" spans="1:4" x14ac:dyDescent="0.25">
      <c r="A556">
        <v>26710</v>
      </c>
      <c r="B556" s="3">
        <v>45007</v>
      </c>
      <c r="C556" t="s">
        <v>32</v>
      </c>
      <c r="D556">
        <v>-2.8204245492815971E-2</v>
      </c>
    </row>
    <row r="557" spans="1:4" x14ac:dyDescent="0.25">
      <c r="A557">
        <v>26710</v>
      </c>
      <c r="B557" s="3">
        <v>45008</v>
      </c>
      <c r="C557" t="s">
        <v>32</v>
      </c>
      <c r="D557">
        <v>-1.2123435735702515E-2</v>
      </c>
    </row>
    <row r="558" spans="1:4" x14ac:dyDescent="0.25">
      <c r="A558">
        <v>26710</v>
      </c>
      <c r="B558" s="3">
        <v>45009</v>
      </c>
      <c r="C558" t="s">
        <v>32</v>
      </c>
      <c r="D558">
        <v>1.4503581449389458E-2</v>
      </c>
    </row>
    <row r="559" spans="1:4" x14ac:dyDescent="0.25">
      <c r="A559">
        <v>26710</v>
      </c>
      <c r="B559" s="3">
        <v>45012</v>
      </c>
      <c r="C559" t="s">
        <v>32</v>
      </c>
      <c r="D559">
        <v>1.9428107887506485E-2</v>
      </c>
    </row>
    <row r="560" spans="1:4" x14ac:dyDescent="0.25">
      <c r="A560">
        <v>26710</v>
      </c>
      <c r="B560" s="3">
        <v>45013</v>
      </c>
      <c r="C560" t="s">
        <v>32</v>
      </c>
      <c r="D560">
        <v>4.6746158041059971E-3</v>
      </c>
    </row>
    <row r="561" spans="1:4" x14ac:dyDescent="0.25">
      <c r="A561">
        <v>26710</v>
      </c>
      <c r="B561" s="3">
        <v>45014</v>
      </c>
      <c r="C561" t="s">
        <v>32</v>
      </c>
      <c r="D561">
        <v>1.8253408372402191E-2</v>
      </c>
    </row>
    <row r="562" spans="1:4" x14ac:dyDescent="0.25">
      <c r="A562">
        <v>26710</v>
      </c>
      <c r="B562" s="3">
        <v>45015</v>
      </c>
      <c r="C562" t="s">
        <v>32</v>
      </c>
      <c r="D562">
        <v>7.0298365317285061E-3</v>
      </c>
    </row>
    <row r="563" spans="1:4" x14ac:dyDescent="0.25">
      <c r="A563">
        <v>26710</v>
      </c>
      <c r="B563" s="3">
        <v>45016</v>
      </c>
      <c r="C563" t="s">
        <v>32</v>
      </c>
      <c r="D563">
        <v>1.2565466575324535E-2</v>
      </c>
    </row>
    <row r="564" spans="1:4" x14ac:dyDescent="0.25">
      <c r="A564">
        <v>26710</v>
      </c>
      <c r="B564" s="3">
        <v>45019</v>
      </c>
      <c r="C564" t="s">
        <v>32</v>
      </c>
      <c r="D564">
        <v>-7.4112429283559322E-3</v>
      </c>
    </row>
    <row r="565" spans="1:4" x14ac:dyDescent="0.25">
      <c r="A565">
        <v>26710</v>
      </c>
      <c r="B565" s="3">
        <v>45020</v>
      </c>
      <c r="C565" t="s">
        <v>32</v>
      </c>
      <c r="D565">
        <v>-2.3962512612342834E-2</v>
      </c>
    </row>
    <row r="566" spans="1:4" x14ac:dyDescent="0.25">
      <c r="A566">
        <v>26710</v>
      </c>
      <c r="B566" s="3">
        <v>45021</v>
      </c>
      <c r="C566" t="s">
        <v>32</v>
      </c>
      <c r="D566">
        <v>1.7794228915590793E-4</v>
      </c>
    </row>
    <row r="567" spans="1:4" x14ac:dyDescent="0.25">
      <c r="A567">
        <v>26710</v>
      </c>
      <c r="B567" s="3">
        <v>45022</v>
      </c>
      <c r="C567" t="s">
        <v>32</v>
      </c>
      <c r="D567">
        <v>2.8459595050662756E-3</v>
      </c>
    </row>
    <row r="568" spans="1:4" x14ac:dyDescent="0.25">
      <c r="A568">
        <v>26710</v>
      </c>
      <c r="B568" s="3">
        <v>45026</v>
      </c>
      <c r="C568" t="s">
        <v>32</v>
      </c>
      <c r="D568">
        <v>1.2415696401149035E-3</v>
      </c>
    </row>
    <row r="569" spans="1:4" x14ac:dyDescent="0.25">
      <c r="A569">
        <v>26710</v>
      </c>
      <c r="B569" s="3">
        <v>45027</v>
      </c>
      <c r="C569" t="s">
        <v>32</v>
      </c>
      <c r="D569">
        <v>7.6173655688762665E-3</v>
      </c>
    </row>
    <row r="570" spans="1:4" x14ac:dyDescent="0.25">
      <c r="A570">
        <v>26710</v>
      </c>
      <c r="B570" s="3">
        <v>45028</v>
      </c>
      <c r="C570" t="s">
        <v>32</v>
      </c>
      <c r="D570">
        <v>-5.0984690897166729E-3</v>
      </c>
    </row>
    <row r="571" spans="1:4" x14ac:dyDescent="0.25">
      <c r="A571">
        <v>26710</v>
      </c>
      <c r="B571" s="3">
        <v>45029</v>
      </c>
      <c r="C571" t="s">
        <v>32</v>
      </c>
      <c r="D571">
        <v>2.1204971708357334E-3</v>
      </c>
    </row>
    <row r="572" spans="1:4" x14ac:dyDescent="0.25">
      <c r="A572">
        <v>26710</v>
      </c>
      <c r="B572" s="3">
        <v>45030</v>
      </c>
      <c r="C572" t="s">
        <v>32</v>
      </c>
      <c r="D572">
        <v>-8.2877343520522118E-3</v>
      </c>
    </row>
    <row r="573" spans="1:4" x14ac:dyDescent="0.25">
      <c r="A573">
        <v>26710</v>
      </c>
      <c r="B573" s="3">
        <v>45033</v>
      </c>
      <c r="C573" t="s">
        <v>32</v>
      </c>
      <c r="D573">
        <v>1.7069684341549873E-2</v>
      </c>
    </row>
    <row r="574" spans="1:4" x14ac:dyDescent="0.25">
      <c r="A574">
        <v>26710</v>
      </c>
      <c r="B574" s="3">
        <v>45034</v>
      </c>
      <c r="C574" t="s">
        <v>32</v>
      </c>
      <c r="D574">
        <v>5.419537890702486E-3</v>
      </c>
    </row>
    <row r="575" spans="1:4" x14ac:dyDescent="0.25">
      <c r="A575">
        <v>26710</v>
      </c>
      <c r="B575" s="3">
        <v>45035</v>
      </c>
      <c r="C575" t="s">
        <v>32</v>
      </c>
      <c r="D575">
        <v>-3.4770724596455693E-4</v>
      </c>
    </row>
    <row r="576" spans="1:4" x14ac:dyDescent="0.25">
      <c r="A576">
        <v>26710</v>
      </c>
      <c r="B576" s="3">
        <v>45036</v>
      </c>
      <c r="C576" t="s">
        <v>32</v>
      </c>
      <c r="D576">
        <v>-6.4359493553638458E-3</v>
      </c>
    </row>
    <row r="577" spans="1:4" x14ac:dyDescent="0.25">
      <c r="A577">
        <v>26710</v>
      </c>
      <c r="B577" s="3">
        <v>45037</v>
      </c>
      <c r="C577" t="s">
        <v>32</v>
      </c>
      <c r="D577">
        <v>-1.1904767714440823E-2</v>
      </c>
    </row>
    <row r="578" spans="1:4" x14ac:dyDescent="0.25">
      <c r="A578">
        <v>26710</v>
      </c>
      <c r="B578" s="3">
        <v>45040</v>
      </c>
      <c r="C578" t="s">
        <v>32</v>
      </c>
      <c r="D578">
        <v>3.3664500806480646E-3</v>
      </c>
    </row>
    <row r="579" spans="1:4" x14ac:dyDescent="0.25">
      <c r="A579">
        <v>26710</v>
      </c>
      <c r="B579" s="3">
        <v>45041</v>
      </c>
      <c r="C579" t="s">
        <v>32</v>
      </c>
      <c r="D579">
        <v>-9.182419627904892E-3</v>
      </c>
    </row>
    <row r="580" spans="1:4" x14ac:dyDescent="0.25">
      <c r="A580">
        <v>26710</v>
      </c>
      <c r="B580" s="3">
        <v>45042</v>
      </c>
      <c r="C580" t="s">
        <v>32</v>
      </c>
      <c r="D580">
        <v>-7.3070726357400417E-3</v>
      </c>
    </row>
    <row r="581" spans="1:4" x14ac:dyDescent="0.25">
      <c r="A581">
        <v>26710</v>
      </c>
      <c r="B581" s="3">
        <v>45043</v>
      </c>
      <c r="C581" t="s">
        <v>32</v>
      </c>
      <c r="D581">
        <v>2.082584984600544E-2</v>
      </c>
    </row>
    <row r="582" spans="1:4" x14ac:dyDescent="0.25">
      <c r="A582">
        <v>26710</v>
      </c>
      <c r="B582" s="3">
        <v>45044</v>
      </c>
      <c r="C582" t="s">
        <v>32</v>
      </c>
      <c r="D582">
        <v>1.2486793100833893E-2</v>
      </c>
    </row>
    <row r="583" spans="1:4" x14ac:dyDescent="0.25">
      <c r="A583">
        <v>26710</v>
      </c>
      <c r="B583" s="3">
        <v>45047</v>
      </c>
      <c r="C583" t="s">
        <v>32</v>
      </c>
      <c r="D583">
        <v>4.4467628002166748E-2</v>
      </c>
    </row>
    <row r="584" spans="1:4" x14ac:dyDescent="0.25">
      <c r="A584">
        <v>26710</v>
      </c>
      <c r="B584" s="3">
        <v>45048</v>
      </c>
      <c r="C584" t="s">
        <v>32</v>
      </c>
      <c r="D584">
        <v>-1.8460012972354889E-2</v>
      </c>
    </row>
    <row r="585" spans="1:4" x14ac:dyDescent="0.25">
      <c r="A585">
        <v>26710</v>
      </c>
      <c r="B585" s="3">
        <v>45049</v>
      </c>
      <c r="C585" t="s">
        <v>32</v>
      </c>
      <c r="D585">
        <v>-1.016608439385891E-2</v>
      </c>
    </row>
    <row r="586" spans="1:4" x14ac:dyDescent="0.25">
      <c r="A586">
        <v>26710</v>
      </c>
      <c r="B586" s="3">
        <v>45050</v>
      </c>
      <c r="C586" t="s">
        <v>32</v>
      </c>
      <c r="D586">
        <v>-5.8198622427880764E-3</v>
      </c>
    </row>
    <row r="587" spans="1:4" x14ac:dyDescent="0.25">
      <c r="A587">
        <v>26710</v>
      </c>
      <c r="B587" s="3">
        <v>45051</v>
      </c>
      <c r="C587" t="s">
        <v>32</v>
      </c>
      <c r="D587">
        <v>9.2974705621600151E-3</v>
      </c>
    </row>
    <row r="588" spans="1:4" x14ac:dyDescent="0.25">
      <c r="A588">
        <v>26710</v>
      </c>
      <c r="B588" s="3">
        <v>45054</v>
      </c>
      <c r="C588" t="s">
        <v>32</v>
      </c>
      <c r="D588">
        <v>3.241256345063448E-3</v>
      </c>
    </row>
    <row r="589" spans="1:4" x14ac:dyDescent="0.25">
      <c r="A589">
        <v>26710</v>
      </c>
      <c r="B589" s="3">
        <v>45055</v>
      </c>
      <c r="C589" t="s">
        <v>32</v>
      </c>
      <c r="D589">
        <v>-3.2307845540344715E-3</v>
      </c>
    </row>
    <row r="590" spans="1:4" x14ac:dyDescent="0.25">
      <c r="A590">
        <v>26710</v>
      </c>
      <c r="B590" s="3">
        <v>45056</v>
      </c>
      <c r="C590" t="s">
        <v>32</v>
      </c>
      <c r="D590">
        <v>-2.2176264319568872E-3</v>
      </c>
    </row>
    <row r="591" spans="1:4" x14ac:dyDescent="0.25">
      <c r="A591">
        <v>26710</v>
      </c>
      <c r="B591" s="3">
        <v>45057</v>
      </c>
      <c r="C591" t="s">
        <v>32</v>
      </c>
      <c r="D591">
        <v>-1.5387270832434297E-3</v>
      </c>
    </row>
    <row r="592" spans="1:4" x14ac:dyDescent="0.25">
      <c r="A592">
        <v>26710</v>
      </c>
      <c r="B592" s="3">
        <v>45058</v>
      </c>
      <c r="C592" t="s">
        <v>32</v>
      </c>
      <c r="D592">
        <v>1.8835067749023438E-3</v>
      </c>
    </row>
    <row r="593" spans="1:4" x14ac:dyDescent="0.25">
      <c r="A593">
        <v>26710</v>
      </c>
      <c r="B593" s="3">
        <v>45061</v>
      </c>
      <c r="C593" t="s">
        <v>32</v>
      </c>
      <c r="D593">
        <v>-2.2217954974621534E-3</v>
      </c>
    </row>
    <row r="594" spans="1:4" x14ac:dyDescent="0.25">
      <c r="A594">
        <v>26710</v>
      </c>
      <c r="B594" s="3">
        <v>45062</v>
      </c>
      <c r="C594" t="s">
        <v>32</v>
      </c>
      <c r="D594">
        <v>-9.4210216775536537E-3</v>
      </c>
    </row>
    <row r="595" spans="1:4" x14ac:dyDescent="0.25">
      <c r="A595">
        <v>26710</v>
      </c>
      <c r="B595" s="3">
        <v>45063</v>
      </c>
      <c r="C595" t="s">
        <v>32</v>
      </c>
      <c r="D595">
        <v>7.0897429250180721E-3</v>
      </c>
    </row>
    <row r="596" spans="1:4" x14ac:dyDescent="0.25">
      <c r="A596">
        <v>26710</v>
      </c>
      <c r="B596" s="3">
        <v>45064</v>
      </c>
      <c r="C596" t="s">
        <v>32</v>
      </c>
      <c r="D596">
        <v>1.0817260481417179E-2</v>
      </c>
    </row>
    <row r="597" spans="1:4" x14ac:dyDescent="0.25">
      <c r="A597">
        <v>26710</v>
      </c>
      <c r="B597" s="3">
        <v>45065</v>
      </c>
      <c r="C597" t="s">
        <v>32</v>
      </c>
      <c r="D597">
        <v>-1.1890555033460259E-3</v>
      </c>
    </row>
    <row r="598" spans="1:4" x14ac:dyDescent="0.25">
      <c r="A598">
        <v>26710</v>
      </c>
      <c r="B598" s="3">
        <v>45068</v>
      </c>
      <c r="C598" t="s">
        <v>32</v>
      </c>
      <c r="D598">
        <v>-2.0407980773597956E-3</v>
      </c>
    </row>
    <row r="599" spans="1:4" x14ac:dyDescent="0.25">
      <c r="A599">
        <v>26710</v>
      </c>
      <c r="B599" s="3">
        <v>45069</v>
      </c>
      <c r="C599" t="s">
        <v>32</v>
      </c>
      <c r="D599">
        <v>-1.2056926265358925E-2</v>
      </c>
    </row>
    <row r="600" spans="1:4" x14ac:dyDescent="0.25">
      <c r="A600">
        <v>26710</v>
      </c>
      <c r="B600" s="3">
        <v>45070</v>
      </c>
      <c r="C600" t="s">
        <v>32</v>
      </c>
      <c r="D600">
        <v>-1.2778478674590588E-2</v>
      </c>
    </row>
    <row r="601" spans="1:4" x14ac:dyDescent="0.25">
      <c r="A601">
        <v>26710</v>
      </c>
      <c r="B601" s="3">
        <v>45071</v>
      </c>
      <c r="C601" t="s">
        <v>32</v>
      </c>
      <c r="D601">
        <v>-3.3233973663300276E-3</v>
      </c>
    </row>
    <row r="602" spans="1:4" x14ac:dyDescent="0.25">
      <c r="A602">
        <v>26710</v>
      </c>
      <c r="B602" s="3">
        <v>45072</v>
      </c>
      <c r="C602" t="s">
        <v>32</v>
      </c>
      <c r="D602">
        <v>2.2815209813416004E-3</v>
      </c>
    </row>
    <row r="603" spans="1:4" x14ac:dyDescent="0.25">
      <c r="A603">
        <v>26710</v>
      </c>
      <c r="B603" s="3">
        <v>45076</v>
      </c>
      <c r="C603" t="s">
        <v>32</v>
      </c>
      <c r="D603">
        <v>5.0779357552528381E-3</v>
      </c>
    </row>
    <row r="604" spans="1:4" x14ac:dyDescent="0.25">
      <c r="A604">
        <v>26710</v>
      </c>
      <c r="B604" s="3">
        <v>45077</v>
      </c>
      <c r="C604" t="s">
        <v>32</v>
      </c>
      <c r="D604">
        <v>-2.4390269070863724E-2</v>
      </c>
    </row>
    <row r="605" spans="1:4" x14ac:dyDescent="0.25">
      <c r="A605">
        <v>26710</v>
      </c>
      <c r="B605" s="3">
        <v>45078</v>
      </c>
      <c r="C605" t="s">
        <v>32</v>
      </c>
      <c r="D605">
        <v>6.9642746821045876E-3</v>
      </c>
    </row>
    <row r="606" spans="1:4" x14ac:dyDescent="0.25">
      <c r="A606">
        <v>26710</v>
      </c>
      <c r="B606" s="3">
        <v>45079</v>
      </c>
      <c r="C606" t="s">
        <v>32</v>
      </c>
      <c r="D606">
        <v>2.8905853629112244E-2</v>
      </c>
    </row>
    <row r="607" spans="1:4" x14ac:dyDescent="0.25">
      <c r="A607">
        <v>26710</v>
      </c>
      <c r="B607" s="3">
        <v>45082</v>
      </c>
      <c r="C607" t="s">
        <v>32</v>
      </c>
      <c r="D607">
        <v>7.7559594064950943E-3</v>
      </c>
    </row>
    <row r="608" spans="1:4" x14ac:dyDescent="0.25">
      <c r="A608">
        <v>26710</v>
      </c>
      <c r="B608" s="3">
        <v>45083</v>
      </c>
      <c r="C608" t="s">
        <v>32</v>
      </c>
      <c r="D608">
        <v>2.7364434208720922E-3</v>
      </c>
    </row>
    <row r="609" spans="1:4" x14ac:dyDescent="0.25">
      <c r="A609">
        <v>26710</v>
      </c>
      <c r="B609" s="3">
        <v>45084</v>
      </c>
      <c r="C609" t="s">
        <v>32</v>
      </c>
      <c r="D609">
        <v>1.8591167405247688E-2</v>
      </c>
    </row>
    <row r="610" spans="1:4" x14ac:dyDescent="0.25">
      <c r="A610">
        <v>26710</v>
      </c>
      <c r="B610" s="3">
        <v>45085</v>
      </c>
      <c r="C610" t="s">
        <v>32</v>
      </c>
      <c r="D610">
        <v>-6.6979490220546722E-3</v>
      </c>
    </row>
    <row r="611" spans="1:4" x14ac:dyDescent="0.25">
      <c r="A611">
        <v>26710</v>
      </c>
      <c r="B611" s="3">
        <v>45086</v>
      </c>
      <c r="C611" t="s">
        <v>32</v>
      </c>
      <c r="D611">
        <v>3.3716214238665998E-4</v>
      </c>
    </row>
    <row r="612" spans="1:4" x14ac:dyDescent="0.25">
      <c r="A612">
        <v>26710</v>
      </c>
      <c r="B612" s="3">
        <v>45089</v>
      </c>
      <c r="C612" t="s">
        <v>32</v>
      </c>
      <c r="D612">
        <v>-7.7519225887954235E-3</v>
      </c>
    </row>
    <row r="613" spans="1:4" x14ac:dyDescent="0.25">
      <c r="A613">
        <v>26710</v>
      </c>
      <c r="B613" s="3">
        <v>45090</v>
      </c>
      <c r="C613" t="s">
        <v>32</v>
      </c>
      <c r="D613">
        <v>6.2839491292834282E-3</v>
      </c>
    </row>
    <row r="614" spans="1:4" x14ac:dyDescent="0.25">
      <c r="A614">
        <v>26710</v>
      </c>
      <c r="B614" s="3">
        <v>45091</v>
      </c>
      <c r="C614" t="s">
        <v>32</v>
      </c>
      <c r="D614">
        <v>-1.9071748480200768E-2</v>
      </c>
    </row>
    <row r="615" spans="1:4" x14ac:dyDescent="0.25">
      <c r="A615">
        <v>26710</v>
      </c>
      <c r="B615" s="3">
        <v>45092</v>
      </c>
      <c r="C615" t="s">
        <v>32</v>
      </c>
      <c r="D615">
        <v>1.2388183735311031E-2</v>
      </c>
    </row>
    <row r="616" spans="1:4" x14ac:dyDescent="0.25">
      <c r="A616">
        <v>26710</v>
      </c>
      <c r="B616" s="3">
        <v>45093</v>
      </c>
      <c r="C616" t="s">
        <v>32</v>
      </c>
      <c r="D616">
        <v>-4.5887227170169353E-3</v>
      </c>
    </row>
    <row r="617" spans="1:4" x14ac:dyDescent="0.25">
      <c r="A617">
        <v>26710</v>
      </c>
      <c r="B617" s="3">
        <v>45097</v>
      </c>
      <c r="C617" t="s">
        <v>32</v>
      </c>
      <c r="D617">
        <v>-8.1953136250376701E-3</v>
      </c>
    </row>
    <row r="618" spans="1:4" x14ac:dyDescent="0.25">
      <c r="A618">
        <v>26710</v>
      </c>
      <c r="B618" s="3">
        <v>45098</v>
      </c>
      <c r="C618" t="s">
        <v>32</v>
      </c>
      <c r="D618">
        <v>2.4100427981466055E-3</v>
      </c>
    </row>
    <row r="619" spans="1:4" x14ac:dyDescent="0.25">
      <c r="A619">
        <v>26710</v>
      </c>
      <c r="B619" s="3">
        <v>45099</v>
      </c>
      <c r="C619" t="s">
        <v>32</v>
      </c>
      <c r="D619">
        <v>-1.717039558570832E-4</v>
      </c>
    </row>
    <row r="620" spans="1:4" x14ac:dyDescent="0.25">
      <c r="A620">
        <v>26710</v>
      </c>
      <c r="B620" s="3">
        <v>45100</v>
      </c>
      <c r="C620" t="s">
        <v>32</v>
      </c>
      <c r="D620">
        <v>-5.4963878355920315E-3</v>
      </c>
    </row>
    <row r="621" spans="1:4" x14ac:dyDescent="0.25">
      <c r="A621">
        <v>26710</v>
      </c>
      <c r="B621" s="3">
        <v>45103</v>
      </c>
      <c r="C621" t="s">
        <v>32</v>
      </c>
      <c r="D621">
        <v>7.2538540698587894E-3</v>
      </c>
    </row>
    <row r="622" spans="1:4" x14ac:dyDescent="0.25">
      <c r="A622">
        <v>26710</v>
      </c>
      <c r="B622" s="3">
        <v>45104</v>
      </c>
      <c r="C622" t="s">
        <v>32</v>
      </c>
      <c r="D622">
        <v>1.0802487842738628E-2</v>
      </c>
    </row>
    <row r="623" spans="1:4" x14ac:dyDescent="0.25">
      <c r="A623">
        <v>26710</v>
      </c>
      <c r="B623" s="3">
        <v>45105</v>
      </c>
      <c r="C623" t="s">
        <v>32</v>
      </c>
      <c r="D623">
        <v>-1.2383367866277695E-2</v>
      </c>
    </row>
    <row r="624" spans="1:4" x14ac:dyDescent="0.25">
      <c r="A624">
        <v>26710</v>
      </c>
      <c r="B624" s="3">
        <v>45106</v>
      </c>
      <c r="C624" t="s">
        <v>32</v>
      </c>
      <c r="D624">
        <v>1.5286832116544247E-2</v>
      </c>
    </row>
    <row r="625" spans="1:4" x14ac:dyDescent="0.25">
      <c r="A625">
        <v>26710</v>
      </c>
      <c r="B625" s="3">
        <v>45107</v>
      </c>
      <c r="C625" t="s">
        <v>32</v>
      </c>
      <c r="D625">
        <v>4.5677628368139267E-3</v>
      </c>
    </row>
    <row r="626" spans="1:4" x14ac:dyDescent="0.25">
      <c r="A626">
        <v>26710</v>
      </c>
      <c r="B626" s="3">
        <v>45110</v>
      </c>
      <c r="C626" t="s">
        <v>32</v>
      </c>
      <c r="D626">
        <v>5.7258359156548977E-3</v>
      </c>
    </row>
    <row r="627" spans="1:4" x14ac:dyDescent="0.25">
      <c r="A627">
        <v>26710</v>
      </c>
      <c r="B627" s="3">
        <v>45112</v>
      </c>
      <c r="C627" t="s">
        <v>32</v>
      </c>
      <c r="D627">
        <v>-8.3729153266176581E-4</v>
      </c>
    </row>
    <row r="628" spans="1:4" x14ac:dyDescent="0.25">
      <c r="A628">
        <v>26710</v>
      </c>
      <c r="B628" s="3">
        <v>45113</v>
      </c>
      <c r="C628" t="s">
        <v>32</v>
      </c>
      <c r="D628">
        <v>4.8600793816149235E-3</v>
      </c>
    </row>
    <row r="629" spans="1:4" x14ac:dyDescent="0.25">
      <c r="A629">
        <v>26710</v>
      </c>
      <c r="B629" s="3">
        <v>45114</v>
      </c>
      <c r="C629" t="s">
        <v>32</v>
      </c>
      <c r="D629">
        <v>8.1721432507038116E-3</v>
      </c>
    </row>
    <row r="630" spans="1:4" x14ac:dyDescent="0.25">
      <c r="A630">
        <v>26710</v>
      </c>
      <c r="B630" s="3">
        <v>45117</v>
      </c>
      <c r="C630" t="s">
        <v>32</v>
      </c>
      <c r="D630">
        <v>-1.5053761191666126E-2</v>
      </c>
    </row>
    <row r="631" spans="1:4" x14ac:dyDescent="0.25">
      <c r="A631">
        <v>26710</v>
      </c>
      <c r="B631" s="3">
        <v>45118</v>
      </c>
      <c r="C631" t="s">
        <v>32</v>
      </c>
      <c r="D631">
        <v>1.6795432195067406E-2</v>
      </c>
    </row>
    <row r="632" spans="1:4" x14ac:dyDescent="0.25">
      <c r="A632">
        <v>26710</v>
      </c>
      <c r="B632" s="3">
        <v>45119</v>
      </c>
      <c r="C632" t="s">
        <v>32</v>
      </c>
      <c r="D632">
        <v>-1.4866229612380266E-3</v>
      </c>
    </row>
    <row r="633" spans="1:4" x14ac:dyDescent="0.25">
      <c r="A633">
        <v>26710</v>
      </c>
      <c r="B633" s="3">
        <v>45120</v>
      </c>
      <c r="C633" t="s">
        <v>32</v>
      </c>
      <c r="D633">
        <v>6.617190083488822E-4</v>
      </c>
    </row>
    <row r="634" spans="1:4" x14ac:dyDescent="0.25">
      <c r="A634">
        <v>26710</v>
      </c>
      <c r="B634" s="3">
        <v>45121</v>
      </c>
      <c r="C634" t="s">
        <v>32</v>
      </c>
      <c r="D634">
        <v>-1.7358291894197464E-2</v>
      </c>
    </row>
    <row r="635" spans="1:4" x14ac:dyDescent="0.25">
      <c r="A635">
        <v>26710</v>
      </c>
      <c r="B635" s="3">
        <v>45124</v>
      </c>
      <c r="C635" t="s">
        <v>32</v>
      </c>
      <c r="D635">
        <v>1.1271904222667217E-2</v>
      </c>
    </row>
    <row r="636" spans="1:4" x14ac:dyDescent="0.25">
      <c r="A636">
        <v>26710</v>
      </c>
      <c r="B636" s="3">
        <v>45125</v>
      </c>
      <c r="C636" t="s">
        <v>32</v>
      </c>
      <c r="D636">
        <v>3.826310858130455E-3</v>
      </c>
    </row>
    <row r="637" spans="1:4" x14ac:dyDescent="0.25">
      <c r="A637">
        <v>26710</v>
      </c>
      <c r="B637" s="3">
        <v>45126</v>
      </c>
      <c r="C637" t="s">
        <v>32</v>
      </c>
      <c r="D637">
        <v>4.9718138761818409E-3</v>
      </c>
    </row>
    <row r="638" spans="1:4" x14ac:dyDescent="0.25">
      <c r="A638">
        <v>26710</v>
      </c>
      <c r="B638" s="3">
        <v>45127</v>
      </c>
      <c r="C638" t="s">
        <v>32</v>
      </c>
      <c r="D638">
        <v>1.9459107890725136E-2</v>
      </c>
    </row>
    <row r="639" spans="1:4" x14ac:dyDescent="0.25">
      <c r="A639">
        <v>26710</v>
      </c>
      <c r="B639" s="3">
        <v>45128</v>
      </c>
      <c r="C639" t="s">
        <v>32</v>
      </c>
      <c r="D639">
        <v>-5.1763132214546204E-3</v>
      </c>
    </row>
    <row r="640" spans="1:4" x14ac:dyDescent="0.25">
      <c r="A640">
        <v>26710</v>
      </c>
      <c r="B640" s="3">
        <v>45131</v>
      </c>
      <c r="C640" t="s">
        <v>32</v>
      </c>
      <c r="D640">
        <v>-3.2521068351343274E-4</v>
      </c>
    </row>
    <row r="641" spans="1:4" x14ac:dyDescent="0.25">
      <c r="A641">
        <v>26710</v>
      </c>
      <c r="B641" s="3">
        <v>45132</v>
      </c>
      <c r="C641" t="s">
        <v>32</v>
      </c>
      <c r="D641">
        <v>-7.8074098564684391E-3</v>
      </c>
    </row>
    <row r="642" spans="1:4" x14ac:dyDescent="0.25">
      <c r="A642">
        <v>26710</v>
      </c>
      <c r="B642" s="3">
        <v>45133</v>
      </c>
      <c r="C642" t="s">
        <v>32</v>
      </c>
      <c r="D642">
        <v>1.0327886790037155E-2</v>
      </c>
    </row>
    <row r="643" spans="1:4" x14ac:dyDescent="0.25">
      <c r="A643">
        <v>26710</v>
      </c>
      <c r="B643" s="3">
        <v>45134</v>
      </c>
      <c r="C643" t="s">
        <v>32</v>
      </c>
      <c r="D643">
        <v>6.6526015289127827E-3</v>
      </c>
    </row>
    <row r="644" spans="1:4" x14ac:dyDescent="0.25">
      <c r="A644">
        <v>26710</v>
      </c>
      <c r="B644" s="3">
        <v>45135</v>
      </c>
      <c r="C644" t="s">
        <v>32</v>
      </c>
      <c r="D644">
        <v>2.4177581071853638E-3</v>
      </c>
    </row>
    <row r="645" spans="1:4" x14ac:dyDescent="0.25">
      <c r="A645">
        <v>26710</v>
      </c>
      <c r="B645" s="3">
        <v>45138</v>
      </c>
      <c r="C645" t="s">
        <v>32</v>
      </c>
      <c r="D645">
        <v>7.396734319627285E-3</v>
      </c>
    </row>
    <row r="646" spans="1:4" x14ac:dyDescent="0.25">
      <c r="A646">
        <v>26710</v>
      </c>
      <c r="B646" s="3">
        <v>45139</v>
      </c>
      <c r="C646" t="s">
        <v>32</v>
      </c>
      <c r="D646">
        <v>4.9480856396257877E-3</v>
      </c>
    </row>
    <row r="647" spans="1:4" x14ac:dyDescent="0.25">
      <c r="A647">
        <v>26710</v>
      </c>
      <c r="B647" s="3">
        <v>45140</v>
      </c>
      <c r="C647" t="s">
        <v>32</v>
      </c>
      <c r="D647">
        <v>-1.4294814318418503E-3</v>
      </c>
    </row>
    <row r="648" spans="1:4" x14ac:dyDescent="0.25">
      <c r="A648">
        <v>26710</v>
      </c>
      <c r="B648" s="3">
        <v>45141</v>
      </c>
      <c r="C648" t="s">
        <v>32</v>
      </c>
      <c r="D648">
        <v>7.1576391346752644E-3</v>
      </c>
    </row>
    <row r="649" spans="1:4" x14ac:dyDescent="0.25">
      <c r="A649">
        <v>26710</v>
      </c>
      <c r="B649" s="3">
        <v>45142</v>
      </c>
      <c r="C649" t="s">
        <v>32</v>
      </c>
      <c r="D649">
        <v>-6.3171433284878731E-3</v>
      </c>
    </row>
    <row r="650" spans="1:4" x14ac:dyDescent="0.25">
      <c r="A650">
        <v>26710</v>
      </c>
      <c r="B650" s="3">
        <v>45145</v>
      </c>
      <c r="C650" t="s">
        <v>32</v>
      </c>
      <c r="D650">
        <v>9.2180836945772171E-3</v>
      </c>
    </row>
    <row r="651" spans="1:4" x14ac:dyDescent="0.25">
      <c r="A651">
        <v>26710</v>
      </c>
      <c r="B651" s="3">
        <v>45146</v>
      </c>
      <c r="C651" t="s">
        <v>32</v>
      </c>
      <c r="D651">
        <v>1.7322930507361889E-3</v>
      </c>
    </row>
    <row r="652" spans="1:4" x14ac:dyDescent="0.25">
      <c r="A652">
        <v>26710</v>
      </c>
      <c r="B652" s="3">
        <v>45147</v>
      </c>
      <c r="C652" t="s">
        <v>32</v>
      </c>
      <c r="D652">
        <v>-6.9171898066997528E-3</v>
      </c>
    </row>
    <row r="653" spans="1:4" x14ac:dyDescent="0.25">
      <c r="A653">
        <v>26710</v>
      </c>
      <c r="B653" s="3">
        <v>45148</v>
      </c>
      <c r="C653" t="s">
        <v>32</v>
      </c>
      <c r="D653">
        <v>-3.6409616004675627E-3</v>
      </c>
    </row>
    <row r="654" spans="1:4" x14ac:dyDescent="0.25">
      <c r="A654">
        <v>26710</v>
      </c>
      <c r="B654" s="3">
        <v>45149</v>
      </c>
      <c r="C654" t="s">
        <v>32</v>
      </c>
      <c r="D654">
        <v>7.6263034716248512E-3</v>
      </c>
    </row>
    <row r="655" spans="1:4" x14ac:dyDescent="0.25">
      <c r="A655">
        <v>26710</v>
      </c>
      <c r="B655" s="3">
        <v>45152</v>
      </c>
      <c r="C655" t="s">
        <v>32</v>
      </c>
      <c r="D655">
        <v>-7.568583358079195E-3</v>
      </c>
    </row>
    <row r="656" spans="1:4" x14ac:dyDescent="0.25">
      <c r="A656">
        <v>26710</v>
      </c>
      <c r="B656" s="3">
        <v>45153</v>
      </c>
      <c r="C656" t="s">
        <v>32</v>
      </c>
      <c r="D656">
        <v>-8.3810007199645042E-3</v>
      </c>
    </row>
    <row r="657" spans="1:4" x14ac:dyDescent="0.25">
      <c r="A657">
        <v>26710</v>
      </c>
      <c r="B657" s="3">
        <v>45154</v>
      </c>
      <c r="C657" t="s">
        <v>32</v>
      </c>
      <c r="D657">
        <v>1.4434667536988854E-3</v>
      </c>
    </row>
    <row r="658" spans="1:4" x14ac:dyDescent="0.25">
      <c r="A658">
        <v>26710</v>
      </c>
      <c r="B658" s="3">
        <v>45155</v>
      </c>
      <c r="C658" t="s">
        <v>32</v>
      </c>
      <c r="D658">
        <v>-1.329272985458374E-2</v>
      </c>
    </row>
    <row r="659" spans="1:4" x14ac:dyDescent="0.25">
      <c r="A659">
        <v>26710</v>
      </c>
      <c r="B659" s="3">
        <v>45156</v>
      </c>
      <c r="C659" t="s">
        <v>32</v>
      </c>
      <c r="D659">
        <v>-3.246300620958209E-4</v>
      </c>
    </row>
    <row r="660" spans="1:4" x14ac:dyDescent="0.25">
      <c r="A660">
        <v>26710</v>
      </c>
      <c r="B660" s="3">
        <v>45159</v>
      </c>
      <c r="C660" t="s">
        <v>32</v>
      </c>
      <c r="D660">
        <v>1.7860141815617681E-3</v>
      </c>
    </row>
    <row r="661" spans="1:4" x14ac:dyDescent="0.25">
      <c r="A661">
        <v>26710</v>
      </c>
      <c r="B661" s="3">
        <v>45160</v>
      </c>
      <c r="C661" t="s">
        <v>32</v>
      </c>
      <c r="D661">
        <v>-5.1863808184862137E-3</v>
      </c>
    </row>
    <row r="662" spans="1:4" x14ac:dyDescent="0.25">
      <c r="A662">
        <v>26710</v>
      </c>
      <c r="B662" s="3">
        <v>45161</v>
      </c>
      <c r="C662" t="s">
        <v>32</v>
      </c>
      <c r="D662">
        <v>9.4492994248867035E-3</v>
      </c>
    </row>
    <row r="663" spans="1:4" x14ac:dyDescent="0.25">
      <c r="A663">
        <v>26710</v>
      </c>
      <c r="B663" s="3">
        <v>45162</v>
      </c>
      <c r="C663" t="s">
        <v>32</v>
      </c>
      <c r="D663">
        <v>2.0981451962143183E-3</v>
      </c>
    </row>
    <row r="664" spans="1:4" x14ac:dyDescent="0.25">
      <c r="A664">
        <v>26710</v>
      </c>
      <c r="B664" s="3">
        <v>45163</v>
      </c>
      <c r="C664" t="s">
        <v>32</v>
      </c>
      <c r="D664">
        <v>-4.8314992454834282E-4</v>
      </c>
    </row>
    <row r="665" spans="1:4" x14ac:dyDescent="0.25">
      <c r="A665">
        <v>26710</v>
      </c>
      <c r="B665" s="3">
        <v>45166</v>
      </c>
      <c r="C665" t="s">
        <v>32</v>
      </c>
      <c r="D665">
        <v>2.7392550837248564E-3</v>
      </c>
    </row>
    <row r="666" spans="1:4" x14ac:dyDescent="0.25">
      <c r="A666">
        <v>26710</v>
      </c>
      <c r="B666" s="3">
        <v>45167</v>
      </c>
      <c r="C666" t="s">
        <v>32</v>
      </c>
      <c r="D666">
        <v>6.4279150683432817E-4</v>
      </c>
    </row>
    <row r="667" spans="1:4" x14ac:dyDescent="0.25">
      <c r="A667">
        <v>26710</v>
      </c>
      <c r="B667" s="3">
        <v>45168</v>
      </c>
      <c r="C667" t="s">
        <v>32</v>
      </c>
      <c r="D667">
        <v>-3.3723956439644098E-3</v>
      </c>
    </row>
    <row r="668" spans="1:4" x14ac:dyDescent="0.25">
      <c r="A668">
        <v>26710</v>
      </c>
      <c r="B668" s="3">
        <v>45169</v>
      </c>
      <c r="C668" t="s">
        <v>32</v>
      </c>
      <c r="D668">
        <v>4.8338348278775811E-4</v>
      </c>
    </row>
    <row r="669" spans="1:4" x14ac:dyDescent="0.25">
      <c r="A669">
        <v>26710</v>
      </c>
      <c r="B669" s="3">
        <v>45170</v>
      </c>
      <c r="C669" t="s">
        <v>32</v>
      </c>
      <c r="D669">
        <v>3.3821724355220795E-3</v>
      </c>
    </row>
    <row r="670" spans="1:4" x14ac:dyDescent="0.25">
      <c r="A670">
        <v>26710</v>
      </c>
      <c r="B670" s="3">
        <v>45174</v>
      </c>
      <c r="C670" t="s">
        <v>32</v>
      </c>
      <c r="D670">
        <v>-9.1492729261517525E-3</v>
      </c>
    </row>
    <row r="671" spans="1:4" x14ac:dyDescent="0.25">
      <c r="A671">
        <v>26710</v>
      </c>
      <c r="B671" s="3">
        <v>45175</v>
      </c>
      <c r="C671" t="s">
        <v>32</v>
      </c>
      <c r="D671">
        <v>-1.6196859360206872E-4</v>
      </c>
    </row>
    <row r="672" spans="1:4" x14ac:dyDescent="0.25">
      <c r="A672">
        <v>26710</v>
      </c>
      <c r="B672" s="3">
        <v>45176</v>
      </c>
      <c r="C672" t="s">
        <v>32</v>
      </c>
      <c r="D672">
        <v>5.3466949611902237E-3</v>
      </c>
    </row>
    <row r="673" spans="1:4" x14ac:dyDescent="0.25">
      <c r="A673">
        <v>26710</v>
      </c>
      <c r="B673" s="3">
        <v>45177</v>
      </c>
      <c r="C673" t="s">
        <v>32</v>
      </c>
      <c r="D673">
        <v>6.1241108924150467E-3</v>
      </c>
    </row>
    <row r="674" spans="1:4" x14ac:dyDescent="0.25">
      <c r="A674">
        <v>26710</v>
      </c>
      <c r="B674" s="3">
        <v>45180</v>
      </c>
      <c r="C674" t="s">
        <v>32</v>
      </c>
      <c r="D674">
        <v>7.3682377114892006E-3</v>
      </c>
    </row>
    <row r="675" spans="1:4" x14ac:dyDescent="0.25">
      <c r="A675">
        <v>26710</v>
      </c>
      <c r="B675" s="3">
        <v>45181</v>
      </c>
      <c r="C675" t="s">
        <v>32</v>
      </c>
      <c r="D675">
        <v>1.7808916047215462E-2</v>
      </c>
    </row>
    <row r="676" spans="1:4" x14ac:dyDescent="0.25">
      <c r="A676">
        <v>26710</v>
      </c>
      <c r="B676" s="3">
        <v>45182</v>
      </c>
      <c r="C676" t="s">
        <v>32</v>
      </c>
      <c r="D676">
        <v>-3.1245236750692129E-3</v>
      </c>
    </row>
    <row r="677" spans="1:4" x14ac:dyDescent="0.25">
      <c r="A677">
        <v>26710</v>
      </c>
      <c r="B677" s="3">
        <v>45183</v>
      </c>
      <c r="C677" t="s">
        <v>32</v>
      </c>
      <c r="D677">
        <v>1.144020538777113E-2</v>
      </c>
    </row>
    <row r="678" spans="1:4" x14ac:dyDescent="0.25">
      <c r="A678">
        <v>26710</v>
      </c>
      <c r="B678" s="3">
        <v>45184</v>
      </c>
      <c r="C678" t="s">
        <v>32</v>
      </c>
      <c r="D678">
        <v>-4.4933515600860119E-3</v>
      </c>
    </row>
    <row r="679" spans="1:4" x14ac:dyDescent="0.25">
      <c r="A679">
        <v>26710</v>
      </c>
      <c r="B679" s="3">
        <v>45187</v>
      </c>
      <c r="C679" t="s">
        <v>32</v>
      </c>
      <c r="D679">
        <v>4.8248646780848503E-3</v>
      </c>
    </row>
    <row r="680" spans="1:4" x14ac:dyDescent="0.25">
      <c r="A680">
        <v>26710</v>
      </c>
      <c r="B680" s="3">
        <v>45188</v>
      </c>
      <c r="C680" t="s">
        <v>32</v>
      </c>
      <c r="D680">
        <v>8.0545898526906967E-3</v>
      </c>
    </row>
    <row r="681" spans="1:4" x14ac:dyDescent="0.25">
      <c r="A681">
        <v>26710</v>
      </c>
      <c r="B681" s="3">
        <v>45189</v>
      </c>
      <c r="C681" t="s">
        <v>32</v>
      </c>
      <c r="D681">
        <v>-1.6902367351576686E-3</v>
      </c>
    </row>
    <row r="682" spans="1:4" x14ac:dyDescent="0.25">
      <c r="A682">
        <v>26710</v>
      </c>
      <c r="B682" s="3">
        <v>45190</v>
      </c>
      <c r="C682" t="s">
        <v>32</v>
      </c>
      <c r="D682">
        <v>-1.2005521915853024E-2</v>
      </c>
    </row>
    <row r="683" spans="1:4" x14ac:dyDescent="0.25">
      <c r="A683">
        <v>26710</v>
      </c>
      <c r="B683" s="3">
        <v>45191</v>
      </c>
      <c r="C683" t="s">
        <v>32</v>
      </c>
      <c r="D683">
        <v>4.8293746076524258E-3</v>
      </c>
    </row>
    <row r="684" spans="1:4" x14ac:dyDescent="0.25">
      <c r="A684">
        <v>26710</v>
      </c>
      <c r="B684" s="3">
        <v>45194</v>
      </c>
      <c r="C684" t="s">
        <v>32</v>
      </c>
      <c r="D684">
        <v>2.9457742348313332E-3</v>
      </c>
    </row>
    <row r="685" spans="1:4" x14ac:dyDescent="0.25">
      <c r="A685">
        <v>26710</v>
      </c>
      <c r="B685" s="3">
        <v>45195</v>
      </c>
      <c r="C685" t="s">
        <v>32</v>
      </c>
      <c r="D685">
        <v>-1.1902987025678158E-2</v>
      </c>
    </row>
    <row r="686" spans="1:4" x14ac:dyDescent="0.25">
      <c r="A686">
        <v>26710</v>
      </c>
      <c r="B686" s="3">
        <v>45196</v>
      </c>
      <c r="C686" t="s">
        <v>32</v>
      </c>
      <c r="D686">
        <v>-1.8773300107568502E-3</v>
      </c>
    </row>
    <row r="687" spans="1:4" x14ac:dyDescent="0.25">
      <c r="A687">
        <v>26710</v>
      </c>
      <c r="B687" s="3">
        <v>45197</v>
      </c>
      <c r="C687" t="s">
        <v>32</v>
      </c>
      <c r="D687">
        <v>1.4106606831774116E-3</v>
      </c>
    </row>
    <row r="688" spans="1:4" x14ac:dyDescent="0.25">
      <c r="A688">
        <v>26710</v>
      </c>
      <c r="B688" s="3">
        <v>45198</v>
      </c>
      <c r="C688" t="s">
        <v>32</v>
      </c>
      <c r="D688">
        <v>-9.0780723839998245E-3</v>
      </c>
    </row>
    <row r="689" spans="1:4" x14ac:dyDescent="0.25">
      <c r="A689">
        <v>26710</v>
      </c>
      <c r="B689" s="3">
        <v>45201</v>
      </c>
      <c r="C689" t="s">
        <v>32</v>
      </c>
      <c r="D689">
        <v>-1.5953280031681061E-2</v>
      </c>
    </row>
    <row r="690" spans="1:4" x14ac:dyDescent="0.25">
      <c r="A690">
        <v>26710</v>
      </c>
      <c r="B690" s="3">
        <v>45202</v>
      </c>
      <c r="C690" t="s">
        <v>32</v>
      </c>
      <c r="D690">
        <v>-7.7046477235853672E-3</v>
      </c>
    </row>
    <row r="691" spans="1:4" x14ac:dyDescent="0.25">
      <c r="A691">
        <v>26710</v>
      </c>
      <c r="B691" s="3">
        <v>45203</v>
      </c>
      <c r="C691" t="s">
        <v>32</v>
      </c>
      <c r="D691">
        <v>1.1970262974500656E-2</v>
      </c>
    </row>
    <row r="692" spans="1:4" x14ac:dyDescent="0.25">
      <c r="A692">
        <v>26710</v>
      </c>
      <c r="B692" s="3">
        <v>45204</v>
      </c>
      <c r="C692" t="s">
        <v>32</v>
      </c>
      <c r="D692">
        <v>4.1559832170605659E-3</v>
      </c>
    </row>
    <row r="693" spans="1:4" x14ac:dyDescent="0.25">
      <c r="A693">
        <v>26710</v>
      </c>
      <c r="B693" s="3">
        <v>45205</v>
      </c>
      <c r="C693" t="s">
        <v>32</v>
      </c>
      <c r="D693">
        <v>7.1633360348641872E-3</v>
      </c>
    </row>
    <row r="694" spans="1:4" x14ac:dyDescent="0.25">
      <c r="A694">
        <v>26710</v>
      </c>
      <c r="B694" s="3">
        <v>45208</v>
      </c>
      <c r="C694" t="s">
        <v>32</v>
      </c>
      <c r="D694">
        <v>6.3220751471817493E-3</v>
      </c>
    </row>
    <row r="695" spans="1:4" x14ac:dyDescent="0.25">
      <c r="A695">
        <v>26710</v>
      </c>
      <c r="B695" s="3">
        <v>45209</v>
      </c>
      <c r="C695" t="s">
        <v>32</v>
      </c>
      <c r="D695">
        <v>-2.3558617103844881E-3</v>
      </c>
    </row>
    <row r="696" spans="1:4" x14ac:dyDescent="0.25">
      <c r="A696">
        <v>26710</v>
      </c>
      <c r="B696" s="3">
        <v>45210</v>
      </c>
      <c r="C696" t="s">
        <v>32</v>
      </c>
      <c r="D696">
        <v>1.2122173793613911E-2</v>
      </c>
    </row>
    <row r="697" spans="1:4" x14ac:dyDescent="0.25">
      <c r="A697">
        <v>26710</v>
      </c>
      <c r="B697" s="3">
        <v>45211</v>
      </c>
      <c r="C697" t="s">
        <v>32</v>
      </c>
      <c r="D697">
        <v>-1.0732655413448811E-2</v>
      </c>
    </row>
    <row r="698" spans="1:4" x14ac:dyDescent="0.25">
      <c r="A698">
        <v>26710</v>
      </c>
      <c r="B698" s="3">
        <v>45212</v>
      </c>
      <c r="C698" t="s">
        <v>32</v>
      </c>
      <c r="D698">
        <v>3.3019324764609337E-3</v>
      </c>
    </row>
    <row r="699" spans="1:4" x14ac:dyDescent="0.25">
      <c r="A699">
        <v>26710</v>
      </c>
      <c r="B699" s="3">
        <v>45215</v>
      </c>
      <c r="C699" t="s">
        <v>32</v>
      </c>
      <c r="D699">
        <v>1.3477460481226444E-2</v>
      </c>
    </row>
    <row r="700" spans="1:4" x14ac:dyDescent="0.25">
      <c r="A700">
        <v>26710</v>
      </c>
      <c r="B700" s="3">
        <v>45216</v>
      </c>
      <c r="C700" t="s">
        <v>32</v>
      </c>
      <c r="D700">
        <v>1.2834418565034866E-2</v>
      </c>
    </row>
    <row r="701" spans="1:4" x14ac:dyDescent="0.25">
      <c r="A701">
        <v>26710</v>
      </c>
      <c r="B701" s="3">
        <v>45217</v>
      </c>
      <c r="C701" t="s">
        <v>32</v>
      </c>
      <c r="D701">
        <v>-8.3969933912158012E-3</v>
      </c>
    </row>
    <row r="702" spans="1:4" x14ac:dyDescent="0.25">
      <c r="A702">
        <v>26710</v>
      </c>
      <c r="B702" s="3">
        <v>45218</v>
      </c>
      <c r="C702" t="s">
        <v>32</v>
      </c>
      <c r="D702">
        <v>-1.3394844718277454E-2</v>
      </c>
    </row>
    <row r="703" spans="1:4" x14ac:dyDescent="0.25">
      <c r="A703">
        <v>26710</v>
      </c>
      <c r="B703" s="3">
        <v>45219</v>
      </c>
      <c r="C703" t="s">
        <v>32</v>
      </c>
      <c r="D703">
        <v>-1.7634224146604538E-2</v>
      </c>
    </row>
    <row r="704" spans="1:4" x14ac:dyDescent="0.25">
      <c r="A704">
        <v>26710</v>
      </c>
      <c r="B704" s="3">
        <v>45222</v>
      </c>
      <c r="C704" t="s">
        <v>32</v>
      </c>
      <c r="D704">
        <v>-1.0007959790527821E-2</v>
      </c>
    </row>
    <row r="705" spans="1:4" x14ac:dyDescent="0.25">
      <c r="A705">
        <v>26710</v>
      </c>
      <c r="B705" s="3">
        <v>45223</v>
      </c>
      <c r="C705" t="s">
        <v>32</v>
      </c>
      <c r="D705">
        <v>1.5564846806228161E-2</v>
      </c>
    </row>
    <row r="706" spans="1:4" x14ac:dyDescent="0.25">
      <c r="A706">
        <v>26710</v>
      </c>
      <c r="B706" s="3">
        <v>45224</v>
      </c>
      <c r="C706" t="s">
        <v>32</v>
      </c>
      <c r="D706">
        <v>8.0581186339259148E-3</v>
      </c>
    </row>
    <row r="707" spans="1:4" x14ac:dyDescent="0.25">
      <c r="A707">
        <v>26710</v>
      </c>
      <c r="B707" s="3">
        <v>45225</v>
      </c>
      <c r="C707" t="s">
        <v>32</v>
      </c>
      <c r="D707">
        <v>2.8213213663548231E-3</v>
      </c>
    </row>
    <row r="708" spans="1:4" x14ac:dyDescent="0.25">
      <c r="A708">
        <v>26710</v>
      </c>
      <c r="B708" s="3">
        <v>45226</v>
      </c>
      <c r="C708" t="s">
        <v>32</v>
      </c>
      <c r="D708">
        <v>-1.813066378235817E-2</v>
      </c>
    </row>
    <row r="709" spans="1:4" x14ac:dyDescent="0.25">
      <c r="A709">
        <v>26710</v>
      </c>
      <c r="B709" s="3">
        <v>45229</v>
      </c>
      <c r="C709" t="s">
        <v>32</v>
      </c>
      <c r="D709">
        <v>1.7510444158688188E-3</v>
      </c>
    </row>
    <row r="710" spans="1:4" x14ac:dyDescent="0.25">
      <c r="A710">
        <v>26710</v>
      </c>
      <c r="B710" s="3">
        <v>45230</v>
      </c>
      <c r="C710" t="s">
        <v>32</v>
      </c>
      <c r="D710">
        <v>1.7161954194307327E-2</v>
      </c>
    </row>
    <row r="711" spans="1:4" x14ac:dyDescent="0.25">
      <c r="A711">
        <v>26710</v>
      </c>
      <c r="B711" s="3">
        <v>45231</v>
      </c>
      <c r="C711" t="s">
        <v>32</v>
      </c>
      <c r="D711">
        <v>1.7809707671403885E-2</v>
      </c>
    </row>
    <row r="712" spans="1:4" x14ac:dyDescent="0.25">
      <c r="A712">
        <v>26710</v>
      </c>
      <c r="B712" s="3">
        <v>45232</v>
      </c>
      <c r="C712" t="s">
        <v>32</v>
      </c>
      <c r="D712">
        <v>-1.5352472837548703E-4</v>
      </c>
    </row>
    <row r="713" spans="1:4" x14ac:dyDescent="0.25">
      <c r="A713">
        <v>26710</v>
      </c>
      <c r="B713" s="3">
        <v>45233</v>
      </c>
      <c r="C713" t="s">
        <v>32</v>
      </c>
      <c r="D713">
        <v>9.9785309284925461E-3</v>
      </c>
    </row>
    <row r="714" spans="1:4" x14ac:dyDescent="0.25">
      <c r="A714">
        <v>26710</v>
      </c>
      <c r="B714" s="3">
        <v>45236</v>
      </c>
      <c r="C714" t="s">
        <v>32</v>
      </c>
      <c r="D714">
        <v>-5.9279431588947773E-3</v>
      </c>
    </row>
    <row r="715" spans="1:4" x14ac:dyDescent="0.25">
      <c r="A715">
        <v>26710</v>
      </c>
      <c r="B715" s="3">
        <v>45237</v>
      </c>
      <c r="C715" t="s">
        <v>32</v>
      </c>
      <c r="D715">
        <v>3.057590511161834E-4</v>
      </c>
    </row>
    <row r="716" spans="1:4" x14ac:dyDescent="0.25">
      <c r="A716">
        <v>26710</v>
      </c>
      <c r="B716" s="3">
        <v>45238</v>
      </c>
      <c r="C716" t="s">
        <v>32</v>
      </c>
      <c r="D716">
        <v>-7.3371408507227898E-3</v>
      </c>
    </row>
    <row r="717" spans="1:4" x14ac:dyDescent="0.25">
      <c r="A717">
        <v>26710</v>
      </c>
      <c r="B717" s="3">
        <v>45239</v>
      </c>
      <c r="C717" t="s">
        <v>32</v>
      </c>
      <c r="D717">
        <v>4.773599561303854E-3</v>
      </c>
    </row>
    <row r="718" spans="1:4" x14ac:dyDescent="0.25">
      <c r="A718">
        <v>26710</v>
      </c>
      <c r="B718" s="3">
        <v>45240</v>
      </c>
      <c r="C718" t="s">
        <v>32</v>
      </c>
      <c r="D718">
        <v>9.8084202036261559E-3</v>
      </c>
    </row>
    <row r="719" spans="1:4" x14ac:dyDescent="0.25">
      <c r="A719">
        <v>26710</v>
      </c>
      <c r="B719" s="3">
        <v>45243</v>
      </c>
      <c r="C719" t="s">
        <v>32</v>
      </c>
      <c r="D719">
        <v>1.2141725746914744E-3</v>
      </c>
    </row>
    <row r="720" spans="1:4" x14ac:dyDescent="0.25">
      <c r="A720">
        <v>26710</v>
      </c>
      <c r="B720" s="3">
        <v>45244</v>
      </c>
      <c r="C720" t="s">
        <v>32</v>
      </c>
      <c r="D720">
        <v>7.1244686841964722E-3</v>
      </c>
    </row>
    <row r="721" spans="1:4" x14ac:dyDescent="0.25">
      <c r="A721">
        <v>26710</v>
      </c>
      <c r="B721" s="3">
        <v>45245</v>
      </c>
      <c r="C721" t="s">
        <v>32</v>
      </c>
      <c r="D721">
        <v>1.3545504771173E-3</v>
      </c>
    </row>
    <row r="722" spans="1:4" x14ac:dyDescent="0.25">
      <c r="A722">
        <v>26710</v>
      </c>
      <c r="B722" s="3">
        <v>45246</v>
      </c>
      <c r="C722" t="s">
        <v>32</v>
      </c>
      <c r="D722">
        <v>7.9663125798106194E-3</v>
      </c>
    </row>
    <row r="723" spans="1:4" x14ac:dyDescent="0.25">
      <c r="A723">
        <v>26710</v>
      </c>
      <c r="B723" s="3">
        <v>45247</v>
      </c>
      <c r="C723" t="s">
        <v>32</v>
      </c>
      <c r="D723">
        <v>-8.9468475198373199E-4</v>
      </c>
    </row>
    <row r="724" spans="1:4" x14ac:dyDescent="0.25">
      <c r="A724">
        <v>26710</v>
      </c>
      <c r="B724" s="3">
        <v>45250</v>
      </c>
      <c r="C724" t="s">
        <v>32</v>
      </c>
      <c r="D724">
        <v>7.3134009726345539E-3</v>
      </c>
    </row>
    <row r="725" spans="1:4" x14ac:dyDescent="0.25">
      <c r="A725">
        <v>26710</v>
      </c>
      <c r="B725" s="3">
        <v>45251</v>
      </c>
      <c r="C725" t="s">
        <v>32</v>
      </c>
      <c r="D725">
        <v>9.8162470385432243E-3</v>
      </c>
    </row>
    <row r="726" spans="1:4" x14ac:dyDescent="0.25">
      <c r="A726">
        <v>26710</v>
      </c>
      <c r="B726" s="3">
        <v>45252</v>
      </c>
      <c r="C726" t="s">
        <v>32</v>
      </c>
      <c r="D726">
        <v>6.0214963741600513E-3</v>
      </c>
    </row>
    <row r="727" spans="1:4" x14ac:dyDescent="0.25">
      <c r="A727">
        <v>26710</v>
      </c>
      <c r="B727" s="3">
        <v>45254</v>
      </c>
      <c r="C727" t="s">
        <v>32</v>
      </c>
      <c r="D727">
        <v>1.1678876355290413E-2</v>
      </c>
    </row>
    <row r="728" spans="1:4" x14ac:dyDescent="0.25">
      <c r="A728">
        <v>26710</v>
      </c>
      <c r="B728" s="3">
        <v>45257</v>
      </c>
      <c r="C728" t="s">
        <v>32</v>
      </c>
      <c r="D728">
        <v>-1.7316412413492799E-3</v>
      </c>
    </row>
    <row r="729" spans="1:4" x14ac:dyDescent="0.25">
      <c r="A729">
        <v>26710</v>
      </c>
      <c r="B729" s="3">
        <v>45258</v>
      </c>
      <c r="C729" t="s">
        <v>32</v>
      </c>
      <c r="D729">
        <v>-7.8057372011244297E-3</v>
      </c>
    </row>
    <row r="730" spans="1:4" x14ac:dyDescent="0.25">
      <c r="A730">
        <v>26710</v>
      </c>
      <c r="B730" s="3">
        <v>45259</v>
      </c>
      <c r="C730" t="s">
        <v>32</v>
      </c>
      <c r="D730">
        <v>-1.8938994035124779E-3</v>
      </c>
    </row>
    <row r="731" spans="1:4" x14ac:dyDescent="0.25">
      <c r="A731">
        <v>26710</v>
      </c>
      <c r="B731" s="3">
        <v>45260</v>
      </c>
      <c r="C731" t="s">
        <v>32</v>
      </c>
      <c r="D731">
        <v>2.5981590151786804E-2</v>
      </c>
    </row>
    <row r="732" spans="1:4" x14ac:dyDescent="0.25">
      <c r="A732">
        <v>26710</v>
      </c>
      <c r="B732" s="3">
        <v>45261</v>
      </c>
      <c r="C732" t="s">
        <v>32</v>
      </c>
      <c r="D732">
        <v>-3.9834794588387012E-3</v>
      </c>
    </row>
    <row r="733" spans="1:4" x14ac:dyDescent="0.25">
      <c r="A733">
        <v>26710</v>
      </c>
      <c r="B733" s="3">
        <v>45264</v>
      </c>
      <c r="C733" t="s">
        <v>32</v>
      </c>
      <c r="D733">
        <v>1.0141395032405853E-2</v>
      </c>
    </row>
    <row r="734" spans="1:4" x14ac:dyDescent="0.25">
      <c r="A734">
        <v>26710</v>
      </c>
      <c r="B734" s="3">
        <v>45265</v>
      </c>
      <c r="C734" t="s">
        <v>32</v>
      </c>
      <c r="D734">
        <v>-5.3733722306787968E-3</v>
      </c>
    </row>
    <row r="735" spans="1:4" x14ac:dyDescent="0.25">
      <c r="A735">
        <v>26710</v>
      </c>
      <c r="B735" s="3">
        <v>45266</v>
      </c>
      <c r="C735" t="s">
        <v>32</v>
      </c>
      <c r="D735">
        <v>-1.2226230464875698E-2</v>
      </c>
    </row>
    <row r="736" spans="1:4" x14ac:dyDescent="0.25">
      <c r="A736">
        <v>26710</v>
      </c>
      <c r="B736" s="3">
        <v>45267</v>
      </c>
      <c r="C736" t="s">
        <v>32</v>
      </c>
      <c r="D736">
        <v>-9.4991885125637054E-3</v>
      </c>
    </row>
    <row r="737" spans="1:4" x14ac:dyDescent="0.25">
      <c r="A737">
        <v>26710</v>
      </c>
      <c r="B737" s="3">
        <v>45268</v>
      </c>
      <c r="C737" t="s">
        <v>32</v>
      </c>
      <c r="D737">
        <v>2.9056440689601004E-4</v>
      </c>
    </row>
    <row r="738" spans="1:4" x14ac:dyDescent="0.25">
      <c r="A738">
        <v>26710</v>
      </c>
      <c r="B738" s="3">
        <v>45271</v>
      </c>
      <c r="C738" t="s">
        <v>32</v>
      </c>
      <c r="D738">
        <v>1.2783337384462357E-2</v>
      </c>
    </row>
    <row r="739" spans="1:4" x14ac:dyDescent="0.25">
      <c r="A739">
        <v>26710</v>
      </c>
      <c r="B739" s="3">
        <v>45272</v>
      </c>
      <c r="C739" t="s">
        <v>32</v>
      </c>
      <c r="D739">
        <v>3.1554964371025562E-3</v>
      </c>
    </row>
    <row r="740" spans="1:4" x14ac:dyDescent="0.25">
      <c r="A740">
        <v>26710</v>
      </c>
      <c r="B740" s="3">
        <v>45273</v>
      </c>
      <c r="C740" t="s">
        <v>32</v>
      </c>
      <c r="D740">
        <v>5.5761993862688541E-3</v>
      </c>
    </row>
    <row r="741" spans="1:4" x14ac:dyDescent="0.25">
      <c r="A741">
        <v>26710</v>
      </c>
      <c r="B741" s="3">
        <v>45274</v>
      </c>
      <c r="C741" t="s">
        <v>32</v>
      </c>
      <c r="D741">
        <v>-2.3318631574511528E-2</v>
      </c>
    </row>
    <row r="742" spans="1:4" x14ac:dyDescent="0.25">
      <c r="A742">
        <v>26710</v>
      </c>
      <c r="B742" s="3">
        <v>45275</v>
      </c>
      <c r="C742" t="s">
        <v>32</v>
      </c>
      <c r="D742">
        <v>-1.0045165196061134E-2</v>
      </c>
    </row>
    <row r="743" spans="1:4" x14ac:dyDescent="0.25">
      <c r="A743">
        <v>26710</v>
      </c>
      <c r="B743" s="3">
        <v>45278</v>
      </c>
      <c r="C743" t="s">
        <v>32</v>
      </c>
      <c r="D743">
        <v>7.3529412038624287E-3</v>
      </c>
    </row>
    <row r="744" spans="1:4" x14ac:dyDescent="0.25">
      <c r="A744">
        <v>26710</v>
      </c>
      <c r="B744" s="3">
        <v>45279</v>
      </c>
      <c r="C744" t="s">
        <v>32</v>
      </c>
      <c r="D744">
        <v>5.8394381776452065E-3</v>
      </c>
    </row>
    <row r="745" spans="1:4" x14ac:dyDescent="0.25">
      <c r="A745">
        <v>26710</v>
      </c>
      <c r="B745" s="3">
        <v>45280</v>
      </c>
      <c r="C745" t="s">
        <v>32</v>
      </c>
      <c r="D745">
        <v>-1.1465905234217644E-2</v>
      </c>
    </row>
    <row r="746" spans="1:4" x14ac:dyDescent="0.25">
      <c r="A746">
        <v>26710</v>
      </c>
      <c r="B746" s="3">
        <v>45281</v>
      </c>
      <c r="C746" t="s">
        <v>32</v>
      </c>
      <c r="D746">
        <v>6.0196155682206154E-3</v>
      </c>
    </row>
    <row r="747" spans="1:4" x14ac:dyDescent="0.25">
      <c r="A747">
        <v>26710</v>
      </c>
      <c r="B747" s="3">
        <v>45282</v>
      </c>
      <c r="C747" t="s">
        <v>32</v>
      </c>
      <c r="D747">
        <v>4.0864916518330574E-3</v>
      </c>
    </row>
    <row r="748" spans="1:4" x14ac:dyDescent="0.25">
      <c r="A748">
        <v>26710</v>
      </c>
      <c r="B748" s="3">
        <v>45286</v>
      </c>
      <c r="C748" t="s">
        <v>32</v>
      </c>
      <c r="D748">
        <v>2.7615523431450129E-3</v>
      </c>
    </row>
    <row r="749" spans="1:4" x14ac:dyDescent="0.25">
      <c r="A749">
        <v>26710</v>
      </c>
      <c r="B749" s="3">
        <v>45287</v>
      </c>
      <c r="C749" t="s">
        <v>32</v>
      </c>
      <c r="D749">
        <v>2.7540577575564384E-3</v>
      </c>
    </row>
    <row r="750" spans="1:4" x14ac:dyDescent="0.25">
      <c r="A750">
        <v>26710</v>
      </c>
      <c r="B750" s="3">
        <v>45288</v>
      </c>
      <c r="C750" t="s">
        <v>32</v>
      </c>
      <c r="D750">
        <v>4.1919760406017303E-3</v>
      </c>
    </row>
    <row r="751" spans="1:4" x14ac:dyDescent="0.25">
      <c r="A751">
        <v>26710</v>
      </c>
      <c r="B751" s="3">
        <v>45289</v>
      </c>
      <c r="C751" t="s">
        <v>32</v>
      </c>
      <c r="D751">
        <v>1.7272940604016185E-3</v>
      </c>
    </row>
    <row r="752" spans="1:4" x14ac:dyDescent="0.25">
      <c r="A752">
        <v>31480</v>
      </c>
      <c r="B752" s="3">
        <v>44929</v>
      </c>
      <c r="C752" t="s">
        <v>37</v>
      </c>
      <c r="D752">
        <v>2.7489561587572098E-2</v>
      </c>
    </row>
    <row r="753" spans="1:4" x14ac:dyDescent="0.25">
      <c r="A753">
        <v>31480</v>
      </c>
      <c r="B753" s="3">
        <v>44930</v>
      </c>
      <c r="C753" t="s">
        <v>37</v>
      </c>
      <c r="D753">
        <v>-2.5239393580704927E-3</v>
      </c>
    </row>
    <row r="754" spans="1:4" x14ac:dyDescent="0.25">
      <c r="A754">
        <v>31480</v>
      </c>
      <c r="B754" s="3">
        <v>44931</v>
      </c>
      <c r="C754" t="s">
        <v>37</v>
      </c>
      <c r="D754">
        <v>-1.4170074835419655E-2</v>
      </c>
    </row>
    <row r="755" spans="1:4" x14ac:dyDescent="0.25">
      <c r="A755">
        <v>31480</v>
      </c>
      <c r="B755" s="3">
        <v>44932</v>
      </c>
      <c r="C755" t="s">
        <v>37</v>
      </c>
      <c r="D755">
        <v>7.7001857571303844E-3</v>
      </c>
    </row>
    <row r="756" spans="1:4" x14ac:dyDescent="0.25">
      <c r="A756">
        <v>31480</v>
      </c>
      <c r="B756" s="3">
        <v>44935</v>
      </c>
      <c r="C756" t="s">
        <v>37</v>
      </c>
      <c r="D756">
        <v>8.9658699929714203E-2</v>
      </c>
    </row>
    <row r="757" spans="1:4" x14ac:dyDescent="0.25">
      <c r="A757">
        <v>31480</v>
      </c>
      <c r="B757" s="3">
        <v>44936</v>
      </c>
      <c r="C757" t="s">
        <v>37</v>
      </c>
      <c r="D757">
        <v>6.8723760545253754E-2</v>
      </c>
    </row>
    <row r="758" spans="1:4" x14ac:dyDescent="0.25">
      <c r="A758">
        <v>31480</v>
      </c>
      <c r="B758" s="3">
        <v>44937</v>
      </c>
      <c r="C758" t="s">
        <v>37</v>
      </c>
      <c r="D758">
        <v>1.7935251817107201E-2</v>
      </c>
    </row>
    <row r="759" spans="1:4" x14ac:dyDescent="0.25">
      <c r="A759">
        <v>31480</v>
      </c>
      <c r="B759" s="3">
        <v>44938</v>
      </c>
      <c r="C759" t="s">
        <v>37</v>
      </c>
      <c r="D759">
        <v>4.2973947711288929E-3</v>
      </c>
    </row>
    <row r="760" spans="1:4" x14ac:dyDescent="0.25">
      <c r="A760">
        <v>31480</v>
      </c>
      <c r="B760" s="3">
        <v>44939</v>
      </c>
      <c r="C760" t="s">
        <v>37</v>
      </c>
      <c r="D760">
        <v>-7.2742863558232784E-3</v>
      </c>
    </row>
    <row r="761" spans="1:4" x14ac:dyDescent="0.25">
      <c r="A761">
        <v>31480</v>
      </c>
      <c r="B761" s="3">
        <v>44943</v>
      </c>
      <c r="C761" t="s">
        <v>37</v>
      </c>
      <c r="D761">
        <v>4.3102786876261234E-3</v>
      </c>
    </row>
    <row r="762" spans="1:4" x14ac:dyDescent="0.25">
      <c r="A762">
        <v>31480</v>
      </c>
      <c r="B762" s="3">
        <v>44944</v>
      </c>
      <c r="C762" t="s">
        <v>37</v>
      </c>
      <c r="D762">
        <v>-4.7639429569244385E-2</v>
      </c>
    </row>
    <row r="763" spans="1:4" x14ac:dyDescent="0.25">
      <c r="A763">
        <v>31480</v>
      </c>
      <c r="B763" s="3">
        <v>44945</v>
      </c>
      <c r="C763" t="s">
        <v>37</v>
      </c>
      <c r="D763">
        <v>-4.0558879263699055E-3</v>
      </c>
    </row>
    <row r="764" spans="1:4" x14ac:dyDescent="0.25">
      <c r="A764">
        <v>31480</v>
      </c>
      <c r="B764" s="3">
        <v>44946</v>
      </c>
      <c r="C764" t="s">
        <v>37</v>
      </c>
      <c r="D764">
        <v>1.221721526235342E-2</v>
      </c>
    </row>
    <row r="765" spans="1:4" x14ac:dyDescent="0.25">
      <c r="A765">
        <v>31480</v>
      </c>
      <c r="B765" s="3">
        <v>44949</v>
      </c>
      <c r="C765" t="s">
        <v>37</v>
      </c>
      <c r="D765">
        <v>-2.7715727686882019E-2</v>
      </c>
    </row>
    <row r="766" spans="1:4" x14ac:dyDescent="0.25">
      <c r="A766">
        <v>31480</v>
      </c>
      <c r="B766" s="3">
        <v>44950</v>
      </c>
      <c r="C766" t="s">
        <v>37</v>
      </c>
      <c r="D766">
        <v>5.9769731014966965E-3</v>
      </c>
    </row>
    <row r="767" spans="1:4" x14ac:dyDescent="0.25">
      <c r="A767">
        <v>31480</v>
      </c>
      <c r="B767" s="3">
        <v>44951</v>
      </c>
      <c r="C767" t="s">
        <v>37</v>
      </c>
      <c r="D767">
        <v>3.1993421725928783E-3</v>
      </c>
    </row>
    <row r="768" spans="1:4" x14ac:dyDescent="0.25">
      <c r="A768">
        <v>31480</v>
      </c>
      <c r="B768" s="3">
        <v>44952</v>
      </c>
      <c r="C768" t="s">
        <v>37</v>
      </c>
      <c r="D768">
        <v>4.5550437062047422E-4</v>
      </c>
    </row>
    <row r="769" spans="1:4" x14ac:dyDescent="0.25">
      <c r="A769">
        <v>31480</v>
      </c>
      <c r="B769" s="3">
        <v>44953</v>
      </c>
      <c r="C769" t="s">
        <v>37</v>
      </c>
      <c r="D769">
        <v>-6.8305837921798229E-3</v>
      </c>
    </row>
    <row r="770" spans="1:4" x14ac:dyDescent="0.25">
      <c r="A770">
        <v>31480</v>
      </c>
      <c r="B770" s="3">
        <v>44956</v>
      </c>
      <c r="C770" t="s">
        <v>37</v>
      </c>
      <c r="D770">
        <v>-8.7115373462438583E-3</v>
      </c>
    </row>
    <row r="771" spans="1:4" x14ac:dyDescent="0.25">
      <c r="A771">
        <v>31480</v>
      </c>
      <c r="B771" s="3">
        <v>44957</v>
      </c>
      <c r="C771" t="s">
        <v>37</v>
      </c>
      <c r="D771">
        <v>3.700273809954524E-3</v>
      </c>
    </row>
    <row r="772" spans="1:4" x14ac:dyDescent="0.25">
      <c r="A772">
        <v>31480</v>
      </c>
      <c r="B772" s="3">
        <v>44958</v>
      </c>
      <c r="C772" t="s">
        <v>37</v>
      </c>
      <c r="D772">
        <v>1.336400955915451E-2</v>
      </c>
    </row>
    <row r="773" spans="1:4" x14ac:dyDescent="0.25">
      <c r="A773">
        <v>31480</v>
      </c>
      <c r="B773" s="3">
        <v>44959</v>
      </c>
      <c r="C773" t="s">
        <v>37</v>
      </c>
      <c r="D773">
        <v>-4.0927762165665627E-3</v>
      </c>
    </row>
    <row r="774" spans="1:4" x14ac:dyDescent="0.25">
      <c r="A774">
        <v>31480</v>
      </c>
      <c r="B774" s="3">
        <v>44960</v>
      </c>
      <c r="C774" t="s">
        <v>37</v>
      </c>
      <c r="D774">
        <v>2.2835927666164935E-4</v>
      </c>
    </row>
    <row r="775" spans="1:4" x14ac:dyDescent="0.25">
      <c r="A775">
        <v>31480</v>
      </c>
      <c r="B775" s="3">
        <v>44963</v>
      </c>
      <c r="C775" t="s">
        <v>37</v>
      </c>
      <c r="D775">
        <v>-8.9021502062678337E-3</v>
      </c>
    </row>
    <row r="776" spans="1:4" x14ac:dyDescent="0.25">
      <c r="A776">
        <v>31480</v>
      </c>
      <c r="B776" s="3">
        <v>44964</v>
      </c>
      <c r="C776" t="s">
        <v>37</v>
      </c>
      <c r="D776">
        <v>2.9479563236236572E-2</v>
      </c>
    </row>
    <row r="777" spans="1:4" x14ac:dyDescent="0.25">
      <c r="A777">
        <v>31480</v>
      </c>
      <c r="B777" s="3">
        <v>44965</v>
      </c>
      <c r="C777" t="s">
        <v>37</v>
      </c>
      <c r="D777">
        <v>-1.8344512209296227E-2</v>
      </c>
    </row>
    <row r="778" spans="1:4" x14ac:dyDescent="0.25">
      <c r="A778">
        <v>31480</v>
      </c>
      <c r="B778" s="3">
        <v>44966</v>
      </c>
      <c r="C778" t="s">
        <v>37</v>
      </c>
      <c r="D778">
        <v>-1.1394712142646313E-2</v>
      </c>
    </row>
    <row r="779" spans="1:4" x14ac:dyDescent="0.25">
      <c r="A779">
        <v>31480</v>
      </c>
      <c r="B779" s="3">
        <v>44967</v>
      </c>
      <c r="C779" t="s">
        <v>37</v>
      </c>
      <c r="D779">
        <v>9.2207863926887512E-3</v>
      </c>
    </row>
    <row r="780" spans="1:4" x14ac:dyDescent="0.25">
      <c r="A780">
        <v>31480</v>
      </c>
      <c r="B780" s="3">
        <v>44970</v>
      </c>
      <c r="C780" t="s">
        <v>37</v>
      </c>
      <c r="D780">
        <v>2.7410404291003942E-3</v>
      </c>
    </row>
    <row r="781" spans="1:4" x14ac:dyDescent="0.25">
      <c r="A781">
        <v>31480</v>
      </c>
      <c r="B781" s="3">
        <v>44971</v>
      </c>
      <c r="C781" t="s">
        <v>37</v>
      </c>
      <c r="D781">
        <v>-1.0933957993984222E-2</v>
      </c>
    </row>
    <row r="782" spans="1:4" x14ac:dyDescent="0.25">
      <c r="A782">
        <v>31480</v>
      </c>
      <c r="B782" s="3">
        <v>44972</v>
      </c>
      <c r="C782" t="s">
        <v>37</v>
      </c>
      <c r="D782">
        <v>-1.7129668965935707E-2</v>
      </c>
    </row>
    <row r="783" spans="1:4" x14ac:dyDescent="0.25">
      <c r="A783">
        <v>31480</v>
      </c>
      <c r="B783" s="3">
        <v>44973</v>
      </c>
      <c r="C783" t="s">
        <v>37</v>
      </c>
      <c r="D783">
        <v>1.271787378937006E-2</v>
      </c>
    </row>
    <row r="784" spans="1:4" x14ac:dyDescent="0.25">
      <c r="A784">
        <v>31480</v>
      </c>
      <c r="B784" s="3">
        <v>44974</v>
      </c>
      <c r="C784" t="s">
        <v>37</v>
      </c>
      <c r="D784">
        <v>-9.7673991695046425E-3</v>
      </c>
    </row>
    <row r="785" spans="1:4" x14ac:dyDescent="0.25">
      <c r="A785">
        <v>31480</v>
      </c>
      <c r="B785" s="3">
        <v>44978</v>
      </c>
      <c r="C785" t="s">
        <v>37</v>
      </c>
      <c r="D785">
        <v>-1.4325988478958607E-2</v>
      </c>
    </row>
    <row r="786" spans="1:4" x14ac:dyDescent="0.25">
      <c r="A786">
        <v>31480</v>
      </c>
      <c r="B786" s="3">
        <v>44979</v>
      </c>
      <c r="C786" t="s">
        <v>37</v>
      </c>
      <c r="D786">
        <v>-8.815886452794075E-3</v>
      </c>
    </row>
    <row r="787" spans="1:4" x14ac:dyDescent="0.25">
      <c r="A787">
        <v>31480</v>
      </c>
      <c r="B787" s="3">
        <v>44980</v>
      </c>
      <c r="C787" t="s">
        <v>37</v>
      </c>
      <c r="D787">
        <v>7.2116120718419552E-3</v>
      </c>
    </row>
    <row r="788" spans="1:4" x14ac:dyDescent="0.25">
      <c r="A788">
        <v>31480</v>
      </c>
      <c r="B788" s="3">
        <v>44981</v>
      </c>
      <c r="C788" t="s">
        <v>37</v>
      </c>
      <c r="D788">
        <v>2.3865983821451664E-3</v>
      </c>
    </row>
    <row r="789" spans="1:4" x14ac:dyDescent="0.25">
      <c r="A789">
        <v>31480</v>
      </c>
      <c r="B789" s="3">
        <v>44984</v>
      </c>
      <c r="C789" t="s">
        <v>37</v>
      </c>
      <c r="D789">
        <v>-6.6666374914348125E-3</v>
      </c>
    </row>
    <row r="790" spans="1:4" x14ac:dyDescent="0.25">
      <c r="A790">
        <v>31480</v>
      </c>
      <c r="B790" s="3">
        <v>44985</v>
      </c>
      <c r="C790" t="s">
        <v>37</v>
      </c>
      <c r="D790">
        <v>-2.876383950933814E-3</v>
      </c>
    </row>
    <row r="791" spans="1:4" x14ac:dyDescent="0.25">
      <c r="A791">
        <v>31480</v>
      </c>
      <c r="B791" s="3">
        <v>44986</v>
      </c>
      <c r="C791" t="s">
        <v>37</v>
      </c>
      <c r="D791">
        <v>9.6154212951660156E-3</v>
      </c>
    </row>
    <row r="792" spans="1:4" x14ac:dyDescent="0.25">
      <c r="A792">
        <v>31480</v>
      </c>
      <c r="B792" s="3">
        <v>44987</v>
      </c>
      <c r="C792" t="s">
        <v>37</v>
      </c>
      <c r="D792">
        <v>4.7619231045246124E-3</v>
      </c>
    </row>
    <row r="793" spans="1:4" x14ac:dyDescent="0.25">
      <c r="A793">
        <v>31480</v>
      </c>
      <c r="B793" s="3">
        <v>44988</v>
      </c>
      <c r="C793" t="s">
        <v>37</v>
      </c>
      <c r="D793">
        <v>3.7914654240012169E-3</v>
      </c>
    </row>
    <row r="794" spans="1:4" x14ac:dyDescent="0.25">
      <c r="A794">
        <v>31480</v>
      </c>
      <c r="B794" s="3">
        <v>44991</v>
      </c>
      <c r="C794" t="s">
        <v>37</v>
      </c>
      <c r="D794">
        <v>-6.1379163525998592E-3</v>
      </c>
    </row>
    <row r="795" spans="1:4" x14ac:dyDescent="0.25">
      <c r="A795">
        <v>31480</v>
      </c>
      <c r="B795" s="3">
        <v>44992</v>
      </c>
      <c r="C795" t="s">
        <v>37</v>
      </c>
      <c r="D795">
        <v>2.3753512650728226E-3</v>
      </c>
    </row>
    <row r="796" spans="1:4" x14ac:dyDescent="0.25">
      <c r="A796">
        <v>31480</v>
      </c>
      <c r="B796" s="3">
        <v>44993</v>
      </c>
      <c r="C796" t="s">
        <v>37</v>
      </c>
      <c r="D796">
        <v>3.4123189747333527E-2</v>
      </c>
    </row>
    <row r="797" spans="1:4" x14ac:dyDescent="0.25">
      <c r="A797">
        <v>31480</v>
      </c>
      <c r="B797" s="3">
        <v>44994</v>
      </c>
      <c r="C797" t="s">
        <v>37</v>
      </c>
      <c r="D797">
        <v>-2.5664504617452621E-2</v>
      </c>
    </row>
    <row r="798" spans="1:4" x14ac:dyDescent="0.25">
      <c r="A798">
        <v>31480</v>
      </c>
      <c r="B798" s="3">
        <v>44995</v>
      </c>
      <c r="C798" t="s">
        <v>37</v>
      </c>
      <c r="D798">
        <v>-3.7629315629601479E-3</v>
      </c>
    </row>
    <row r="799" spans="1:4" x14ac:dyDescent="0.25">
      <c r="A799">
        <v>31480</v>
      </c>
      <c r="B799" s="3">
        <v>44998</v>
      </c>
      <c r="C799" t="s">
        <v>37</v>
      </c>
      <c r="D799">
        <v>1.5108578838407993E-2</v>
      </c>
    </row>
    <row r="800" spans="1:4" x14ac:dyDescent="0.25">
      <c r="A800">
        <v>31480</v>
      </c>
      <c r="B800" s="3">
        <v>44999</v>
      </c>
      <c r="C800" t="s">
        <v>37</v>
      </c>
      <c r="D800">
        <v>-2.2325560450553894E-2</v>
      </c>
    </row>
    <row r="801" spans="1:4" x14ac:dyDescent="0.25">
      <c r="A801">
        <v>31480</v>
      </c>
      <c r="B801" s="3">
        <v>45000</v>
      </c>
      <c r="C801" t="s">
        <v>37</v>
      </c>
      <c r="D801">
        <v>-0.24571840465068817</v>
      </c>
    </row>
    <row r="802" spans="1:4" x14ac:dyDescent="0.25">
      <c r="A802">
        <v>31480</v>
      </c>
      <c r="B802" s="3">
        <v>45001</v>
      </c>
      <c r="C802" t="s">
        <v>37</v>
      </c>
      <c r="D802">
        <v>4.6988386660814285E-2</v>
      </c>
    </row>
    <row r="803" spans="1:4" x14ac:dyDescent="0.25">
      <c r="A803">
        <v>31480</v>
      </c>
      <c r="B803" s="3">
        <v>45002</v>
      </c>
      <c r="C803" t="s">
        <v>37</v>
      </c>
      <c r="D803">
        <v>1.5662664547562599E-2</v>
      </c>
    </row>
    <row r="804" spans="1:4" x14ac:dyDescent="0.25">
      <c r="A804">
        <v>31480</v>
      </c>
      <c r="B804" s="3">
        <v>45005</v>
      </c>
      <c r="C804" t="s">
        <v>37</v>
      </c>
      <c r="D804">
        <v>3.736649826169014E-2</v>
      </c>
    </row>
    <row r="805" spans="1:4" x14ac:dyDescent="0.25">
      <c r="A805">
        <v>31480</v>
      </c>
      <c r="B805" s="3">
        <v>45006</v>
      </c>
      <c r="C805" t="s">
        <v>37</v>
      </c>
      <c r="D805">
        <v>5.6031994521617889E-2</v>
      </c>
    </row>
    <row r="806" spans="1:4" x14ac:dyDescent="0.25">
      <c r="A806">
        <v>31480</v>
      </c>
      <c r="B806" s="3">
        <v>45007</v>
      </c>
      <c r="C806" t="s">
        <v>37</v>
      </c>
      <c r="D806">
        <v>0</v>
      </c>
    </row>
    <row r="807" spans="1:4" x14ac:dyDescent="0.25">
      <c r="A807">
        <v>31480</v>
      </c>
      <c r="B807" s="3">
        <v>45008</v>
      </c>
      <c r="C807" t="s">
        <v>37</v>
      </c>
      <c r="D807">
        <v>3.1402271240949631E-2</v>
      </c>
    </row>
    <row r="808" spans="1:4" x14ac:dyDescent="0.25">
      <c r="A808">
        <v>31480</v>
      </c>
      <c r="B808" s="3">
        <v>45009</v>
      </c>
      <c r="C808" t="s">
        <v>37</v>
      </c>
      <c r="D808">
        <v>3.9370078593492508E-2</v>
      </c>
    </row>
    <row r="809" spans="1:4" x14ac:dyDescent="0.25">
      <c r="A809">
        <v>31480</v>
      </c>
      <c r="B809" s="3">
        <v>45012</v>
      </c>
      <c r="C809" t="s">
        <v>37</v>
      </c>
      <c r="D809">
        <v>5.0505246035754681E-3</v>
      </c>
    </row>
    <row r="810" spans="1:4" x14ac:dyDescent="0.25">
      <c r="A810">
        <v>31480</v>
      </c>
      <c r="B810" s="3">
        <v>45013</v>
      </c>
      <c r="C810" t="s">
        <v>37</v>
      </c>
      <c r="D810">
        <v>-1.4572815038263798E-2</v>
      </c>
    </row>
    <row r="811" spans="1:4" x14ac:dyDescent="0.25">
      <c r="A811">
        <v>31480</v>
      </c>
      <c r="B811" s="3">
        <v>45014</v>
      </c>
      <c r="C811" t="s">
        <v>37</v>
      </c>
      <c r="D811">
        <v>-1.4788419939577579E-2</v>
      </c>
    </row>
    <row r="812" spans="1:4" x14ac:dyDescent="0.25">
      <c r="A812">
        <v>31480</v>
      </c>
      <c r="B812" s="3">
        <v>45015</v>
      </c>
      <c r="C812" t="s">
        <v>37</v>
      </c>
      <c r="D812">
        <v>-1.1387128382921219E-2</v>
      </c>
    </row>
    <row r="813" spans="1:4" x14ac:dyDescent="0.25">
      <c r="A813">
        <v>31480</v>
      </c>
      <c r="B813" s="3">
        <v>45016</v>
      </c>
      <c r="C813" t="s">
        <v>37</v>
      </c>
      <c r="D813">
        <v>1.9895244389772415E-2</v>
      </c>
    </row>
    <row r="814" spans="1:4" x14ac:dyDescent="0.25">
      <c r="A814">
        <v>31480</v>
      </c>
      <c r="B814" s="3">
        <v>45019</v>
      </c>
      <c r="C814" t="s">
        <v>37</v>
      </c>
      <c r="D814">
        <v>-1.7453806474804878E-2</v>
      </c>
    </row>
    <row r="815" spans="1:4" x14ac:dyDescent="0.25">
      <c r="A815">
        <v>31480</v>
      </c>
      <c r="B815" s="3">
        <v>45020</v>
      </c>
      <c r="C815" t="s">
        <v>37</v>
      </c>
      <c r="D815">
        <v>1.5674340538680553E-3</v>
      </c>
    </row>
    <row r="816" spans="1:4" x14ac:dyDescent="0.25">
      <c r="A816">
        <v>31480</v>
      </c>
      <c r="B816" s="3">
        <v>45021</v>
      </c>
      <c r="C816" t="s">
        <v>37</v>
      </c>
      <c r="D816">
        <v>-8.8680265471339226E-3</v>
      </c>
    </row>
    <row r="817" spans="1:4" x14ac:dyDescent="0.25">
      <c r="A817">
        <v>31480</v>
      </c>
      <c r="B817" s="3">
        <v>45022</v>
      </c>
      <c r="C817" t="s">
        <v>37</v>
      </c>
      <c r="D817">
        <v>5.2631781436502934E-3</v>
      </c>
    </row>
    <row r="818" spans="1:4" x14ac:dyDescent="0.25">
      <c r="A818">
        <v>31480</v>
      </c>
      <c r="B818" s="3">
        <v>45026</v>
      </c>
      <c r="C818" t="s">
        <v>37</v>
      </c>
      <c r="D818">
        <v>2.6178009808063507E-2</v>
      </c>
    </row>
    <row r="819" spans="1:4" x14ac:dyDescent="0.25">
      <c r="A819">
        <v>31480</v>
      </c>
      <c r="B819" s="3">
        <v>45027</v>
      </c>
      <c r="C819" t="s">
        <v>37</v>
      </c>
      <c r="D819">
        <v>-1.1734670028090477E-2</v>
      </c>
    </row>
    <row r="820" spans="1:4" x14ac:dyDescent="0.25">
      <c r="A820">
        <v>31480</v>
      </c>
      <c r="B820" s="3">
        <v>45028</v>
      </c>
      <c r="C820" t="s">
        <v>37</v>
      </c>
      <c r="D820">
        <v>-9.8090097308158875E-3</v>
      </c>
    </row>
    <row r="821" spans="1:4" x14ac:dyDescent="0.25">
      <c r="A821">
        <v>31480</v>
      </c>
      <c r="B821" s="3">
        <v>45029</v>
      </c>
      <c r="C821" t="s">
        <v>37</v>
      </c>
      <c r="D821">
        <v>0</v>
      </c>
    </row>
    <row r="822" spans="1:4" x14ac:dyDescent="0.25">
      <c r="A822">
        <v>31480</v>
      </c>
      <c r="B822" s="3">
        <v>45030</v>
      </c>
      <c r="C822" t="s">
        <v>37</v>
      </c>
      <c r="D822">
        <v>-1.1991634033620358E-2</v>
      </c>
    </row>
    <row r="823" spans="1:4" x14ac:dyDescent="0.25">
      <c r="A823">
        <v>31480</v>
      </c>
      <c r="B823" s="3">
        <v>45033</v>
      </c>
      <c r="C823" t="s">
        <v>37</v>
      </c>
      <c r="D823">
        <v>-6.068609282374382E-2</v>
      </c>
    </row>
    <row r="824" spans="1:4" x14ac:dyDescent="0.25">
      <c r="A824">
        <v>31480</v>
      </c>
      <c r="B824" s="3">
        <v>45034</v>
      </c>
      <c r="C824" t="s">
        <v>37</v>
      </c>
      <c r="D824">
        <v>-4.4943779706954956E-2</v>
      </c>
    </row>
    <row r="825" spans="1:4" x14ac:dyDescent="0.25">
      <c r="A825">
        <v>31480</v>
      </c>
      <c r="B825" s="3">
        <v>45035</v>
      </c>
      <c r="C825" t="s">
        <v>37</v>
      </c>
      <c r="D825">
        <v>3.2941143959760666E-2</v>
      </c>
    </row>
    <row r="826" spans="1:4" x14ac:dyDescent="0.25">
      <c r="A826">
        <v>31480</v>
      </c>
      <c r="B826" s="3">
        <v>45036</v>
      </c>
      <c r="C826" t="s">
        <v>37</v>
      </c>
      <c r="D826">
        <v>-3.4168262500315905E-3</v>
      </c>
    </row>
    <row r="827" spans="1:4" x14ac:dyDescent="0.25">
      <c r="A827">
        <v>31480</v>
      </c>
      <c r="B827" s="3">
        <v>45037</v>
      </c>
      <c r="C827" t="s">
        <v>37</v>
      </c>
      <c r="D827">
        <v>2.1714238449931145E-2</v>
      </c>
    </row>
    <row r="828" spans="1:4" x14ac:dyDescent="0.25">
      <c r="A828">
        <v>31480</v>
      </c>
      <c r="B828" s="3">
        <v>45040</v>
      </c>
      <c r="C828" t="s">
        <v>37</v>
      </c>
      <c r="D828">
        <v>-2.1252751350402832E-2</v>
      </c>
    </row>
    <row r="829" spans="1:4" x14ac:dyDescent="0.25">
      <c r="A829">
        <v>31480</v>
      </c>
      <c r="B829" s="3">
        <v>45041</v>
      </c>
      <c r="C829" t="s">
        <v>37</v>
      </c>
      <c r="D829">
        <v>-3.371429443359375E-2</v>
      </c>
    </row>
    <row r="830" spans="1:4" x14ac:dyDescent="0.25">
      <c r="A830">
        <v>31480</v>
      </c>
      <c r="B830" s="3">
        <v>45042</v>
      </c>
      <c r="C830" t="s">
        <v>37</v>
      </c>
      <c r="D830">
        <v>2.6020137593150139E-2</v>
      </c>
    </row>
    <row r="831" spans="1:4" x14ac:dyDescent="0.25">
      <c r="A831">
        <v>31480</v>
      </c>
      <c r="B831" s="3">
        <v>45043</v>
      </c>
      <c r="C831" t="s">
        <v>37</v>
      </c>
      <c r="D831">
        <v>0</v>
      </c>
    </row>
    <row r="832" spans="1:4" x14ac:dyDescent="0.25">
      <c r="A832">
        <v>31480</v>
      </c>
      <c r="B832" s="3">
        <v>45044</v>
      </c>
      <c r="C832" t="s">
        <v>37</v>
      </c>
      <c r="D832">
        <v>1.7867403104901314E-2</v>
      </c>
    </row>
    <row r="833" spans="1:4" x14ac:dyDescent="0.25">
      <c r="A833">
        <v>31480</v>
      </c>
      <c r="B833" s="3">
        <v>45047</v>
      </c>
      <c r="C833" t="s">
        <v>37</v>
      </c>
      <c r="D833">
        <v>-5.6626438163220882E-4</v>
      </c>
    </row>
    <row r="834" spans="1:4" x14ac:dyDescent="0.25">
      <c r="A834">
        <v>31480</v>
      </c>
      <c r="B834" s="3">
        <v>45048</v>
      </c>
      <c r="C834" t="s">
        <v>37</v>
      </c>
      <c r="D834">
        <v>-3.8526929914951324E-2</v>
      </c>
    </row>
    <row r="835" spans="1:4" x14ac:dyDescent="0.25">
      <c r="A835">
        <v>31480</v>
      </c>
      <c r="B835" s="3">
        <v>45049</v>
      </c>
      <c r="C835" t="s">
        <v>37</v>
      </c>
      <c r="D835">
        <v>-8.8391061872243881E-3</v>
      </c>
    </row>
    <row r="836" spans="1:4" x14ac:dyDescent="0.25">
      <c r="A836">
        <v>31480</v>
      </c>
      <c r="B836" s="3">
        <v>45050</v>
      </c>
      <c r="C836" t="s">
        <v>37</v>
      </c>
      <c r="D836">
        <v>-1.1890878668054938E-3</v>
      </c>
    </row>
    <row r="837" spans="1:4" x14ac:dyDescent="0.25">
      <c r="A837">
        <v>31480</v>
      </c>
      <c r="B837" s="3">
        <v>45051</v>
      </c>
      <c r="C837" t="s">
        <v>37</v>
      </c>
      <c r="D837">
        <v>1.7857212573289871E-2</v>
      </c>
    </row>
    <row r="838" spans="1:4" x14ac:dyDescent="0.25">
      <c r="A838">
        <v>31480</v>
      </c>
      <c r="B838" s="3">
        <v>45054</v>
      </c>
      <c r="C838" t="s">
        <v>37</v>
      </c>
      <c r="D838">
        <v>-2.0467858761548996E-2</v>
      </c>
    </row>
    <row r="839" spans="1:4" x14ac:dyDescent="0.25">
      <c r="A839">
        <v>31480</v>
      </c>
      <c r="B839" s="3">
        <v>45055</v>
      </c>
      <c r="C839" t="s">
        <v>37</v>
      </c>
      <c r="D839">
        <v>-2.9850290156900883E-3</v>
      </c>
    </row>
    <row r="840" spans="1:4" x14ac:dyDescent="0.25">
      <c r="A840">
        <v>31480</v>
      </c>
      <c r="B840" s="3">
        <v>45056</v>
      </c>
      <c r="C840" t="s">
        <v>37</v>
      </c>
      <c r="D840">
        <v>5.9870188124477863E-4</v>
      </c>
    </row>
    <row r="841" spans="1:4" x14ac:dyDescent="0.25">
      <c r="A841">
        <v>31480</v>
      </c>
      <c r="B841" s="3">
        <v>45057</v>
      </c>
      <c r="C841" t="s">
        <v>37</v>
      </c>
      <c r="D841">
        <v>5.3860056214034557E-3</v>
      </c>
    </row>
    <row r="842" spans="1:4" x14ac:dyDescent="0.25">
      <c r="A842">
        <v>31480</v>
      </c>
      <c r="B842" s="3">
        <v>45058</v>
      </c>
      <c r="C842" t="s">
        <v>37</v>
      </c>
      <c r="D842">
        <v>-1.0118975304067135E-2</v>
      </c>
    </row>
    <row r="843" spans="1:4" x14ac:dyDescent="0.25">
      <c r="A843">
        <v>31480</v>
      </c>
      <c r="B843" s="3">
        <v>45061</v>
      </c>
      <c r="C843" t="s">
        <v>37</v>
      </c>
      <c r="D843">
        <v>1.3922490179538727E-2</v>
      </c>
    </row>
    <row r="844" spans="1:4" x14ac:dyDescent="0.25">
      <c r="A844">
        <v>31480</v>
      </c>
      <c r="B844" s="3">
        <v>45062</v>
      </c>
      <c r="C844" t="s">
        <v>37</v>
      </c>
      <c r="D844">
        <v>0</v>
      </c>
    </row>
    <row r="845" spans="1:4" x14ac:dyDescent="0.25">
      <c r="A845">
        <v>31480</v>
      </c>
      <c r="B845" s="3">
        <v>45063</v>
      </c>
      <c r="C845" t="s">
        <v>37</v>
      </c>
      <c r="D845">
        <v>4.7761150635778904E-3</v>
      </c>
    </row>
    <row r="846" spans="1:4" x14ac:dyDescent="0.25">
      <c r="A846">
        <v>31480</v>
      </c>
      <c r="B846" s="3">
        <v>45064</v>
      </c>
      <c r="C846" t="s">
        <v>37</v>
      </c>
      <c r="D846">
        <v>-2.9708400834351778E-3</v>
      </c>
    </row>
    <row r="847" spans="1:4" x14ac:dyDescent="0.25">
      <c r="A847">
        <v>31480</v>
      </c>
      <c r="B847" s="3">
        <v>45065</v>
      </c>
      <c r="C847" t="s">
        <v>37</v>
      </c>
      <c r="D847">
        <v>-7.1514202281832695E-3</v>
      </c>
    </row>
    <row r="848" spans="1:4" x14ac:dyDescent="0.25">
      <c r="A848">
        <v>31480</v>
      </c>
      <c r="B848" s="3">
        <v>45068</v>
      </c>
      <c r="C848" t="s">
        <v>37</v>
      </c>
      <c r="D848">
        <v>4.501800611615181E-2</v>
      </c>
    </row>
    <row r="849" spans="1:4" x14ac:dyDescent="0.25">
      <c r="A849">
        <v>31480</v>
      </c>
      <c r="B849" s="3">
        <v>45069</v>
      </c>
      <c r="C849" t="s">
        <v>37</v>
      </c>
      <c r="D849">
        <v>0</v>
      </c>
    </row>
    <row r="850" spans="1:4" x14ac:dyDescent="0.25">
      <c r="A850">
        <v>31480</v>
      </c>
      <c r="B850" s="3">
        <v>45070</v>
      </c>
      <c r="C850" t="s">
        <v>37</v>
      </c>
      <c r="D850">
        <v>-2.8144732117652893E-2</v>
      </c>
    </row>
    <row r="851" spans="1:4" x14ac:dyDescent="0.25">
      <c r="A851">
        <v>31480</v>
      </c>
      <c r="B851" s="3">
        <v>45071</v>
      </c>
      <c r="C851" t="s">
        <v>37</v>
      </c>
      <c r="D851">
        <v>-1.5957474708557129E-2</v>
      </c>
    </row>
    <row r="852" spans="1:4" x14ac:dyDescent="0.25">
      <c r="A852">
        <v>31480</v>
      </c>
      <c r="B852" s="3">
        <v>45072</v>
      </c>
      <c r="C852" t="s">
        <v>37</v>
      </c>
      <c r="D852">
        <v>-8.4083722904324532E-3</v>
      </c>
    </row>
    <row r="853" spans="1:4" x14ac:dyDescent="0.25">
      <c r="A853">
        <v>31480</v>
      </c>
      <c r="B853" s="3">
        <v>45076</v>
      </c>
      <c r="C853" t="s">
        <v>37</v>
      </c>
      <c r="D853">
        <v>2.4227139074355364E-3</v>
      </c>
    </row>
    <row r="854" spans="1:4" x14ac:dyDescent="0.25">
      <c r="A854">
        <v>31480</v>
      </c>
      <c r="B854" s="3">
        <v>45077</v>
      </c>
      <c r="C854" t="s">
        <v>37</v>
      </c>
      <c r="D854">
        <v>-1.5709869563579559E-2</v>
      </c>
    </row>
    <row r="855" spans="1:4" x14ac:dyDescent="0.25">
      <c r="A855">
        <v>31480</v>
      </c>
      <c r="B855" s="3">
        <v>45078</v>
      </c>
      <c r="C855" t="s">
        <v>37</v>
      </c>
      <c r="D855">
        <v>1.8415455706417561E-3</v>
      </c>
    </row>
    <row r="856" spans="1:4" x14ac:dyDescent="0.25">
      <c r="A856">
        <v>31480</v>
      </c>
      <c r="B856" s="3">
        <v>45079</v>
      </c>
      <c r="C856" t="s">
        <v>37</v>
      </c>
      <c r="D856">
        <v>1.8382774433121085E-3</v>
      </c>
    </row>
    <row r="857" spans="1:4" x14ac:dyDescent="0.25">
      <c r="A857">
        <v>31480</v>
      </c>
      <c r="B857" s="3">
        <v>45082</v>
      </c>
      <c r="C857" t="s">
        <v>37</v>
      </c>
      <c r="D857">
        <v>8.5626533254981041E-3</v>
      </c>
    </row>
    <row r="858" spans="1:4" x14ac:dyDescent="0.25">
      <c r="A858">
        <v>31480</v>
      </c>
      <c r="B858" s="3">
        <v>45083</v>
      </c>
      <c r="C858" t="s">
        <v>37</v>
      </c>
      <c r="D858">
        <v>0</v>
      </c>
    </row>
    <row r="859" spans="1:4" x14ac:dyDescent="0.25">
      <c r="A859">
        <v>31480</v>
      </c>
      <c r="B859" s="3">
        <v>45084</v>
      </c>
      <c r="C859" t="s">
        <v>37</v>
      </c>
      <c r="D859">
        <v>2.0012123510241508E-2</v>
      </c>
    </row>
    <row r="860" spans="1:4" x14ac:dyDescent="0.25">
      <c r="A860">
        <v>31480</v>
      </c>
      <c r="B860" s="3">
        <v>45085</v>
      </c>
      <c r="C860" t="s">
        <v>37</v>
      </c>
      <c r="D860">
        <v>1.6052346676588058E-2</v>
      </c>
    </row>
    <row r="861" spans="1:4" x14ac:dyDescent="0.25">
      <c r="A861">
        <v>31480</v>
      </c>
      <c r="B861" s="3">
        <v>45086</v>
      </c>
      <c r="C861" t="s">
        <v>37</v>
      </c>
      <c r="D861">
        <v>3.5107936710119247E-3</v>
      </c>
    </row>
    <row r="862" spans="1:4" x14ac:dyDescent="0.25">
      <c r="A862">
        <v>31480</v>
      </c>
      <c r="B862" s="3">
        <v>45089</v>
      </c>
      <c r="C862" t="s">
        <v>37</v>
      </c>
      <c r="D862">
        <v>-7.5801261700689793E-3</v>
      </c>
    </row>
    <row r="863" spans="1:4" x14ac:dyDescent="0.25">
      <c r="A863">
        <v>31480</v>
      </c>
      <c r="B863" s="3">
        <v>45090</v>
      </c>
      <c r="C863" t="s">
        <v>37</v>
      </c>
      <c r="D863">
        <v>3.0552318319678307E-2</v>
      </c>
    </row>
    <row r="864" spans="1:4" x14ac:dyDescent="0.25">
      <c r="A864">
        <v>31480</v>
      </c>
      <c r="B864" s="3">
        <v>45091</v>
      </c>
      <c r="C864" t="s">
        <v>37</v>
      </c>
      <c r="D864">
        <v>4.0478851646184921E-2</v>
      </c>
    </row>
    <row r="865" spans="1:4" x14ac:dyDescent="0.25">
      <c r="A865">
        <v>31480</v>
      </c>
      <c r="B865" s="3">
        <v>45092</v>
      </c>
      <c r="C865" t="s">
        <v>37</v>
      </c>
      <c r="D865">
        <v>4.109589010477066E-2</v>
      </c>
    </row>
    <row r="866" spans="1:4" x14ac:dyDescent="0.25">
      <c r="A866">
        <v>31480</v>
      </c>
      <c r="B866" s="3">
        <v>45093</v>
      </c>
      <c r="C866" t="s">
        <v>37</v>
      </c>
      <c r="D866">
        <v>3.5263162106275558E-2</v>
      </c>
    </row>
    <row r="867" spans="1:4" x14ac:dyDescent="0.25">
      <c r="A867">
        <v>31480</v>
      </c>
      <c r="B867" s="3">
        <v>45097</v>
      </c>
      <c r="C867" t="s">
        <v>37</v>
      </c>
      <c r="D867">
        <v>-6.5582148730754852E-2</v>
      </c>
    </row>
    <row r="868" spans="1:4" x14ac:dyDescent="0.25">
      <c r="A868">
        <v>31480</v>
      </c>
      <c r="B868" s="3">
        <v>45098</v>
      </c>
      <c r="C868" t="s">
        <v>37</v>
      </c>
      <c r="D868">
        <v>6.5016932785511017E-3</v>
      </c>
    </row>
    <row r="869" spans="1:4" x14ac:dyDescent="0.25">
      <c r="A869">
        <v>31480</v>
      </c>
      <c r="B869" s="3">
        <v>45099</v>
      </c>
      <c r="C869" t="s">
        <v>37</v>
      </c>
      <c r="D869">
        <v>-6.4650555141270161E-3</v>
      </c>
    </row>
    <row r="870" spans="1:4" x14ac:dyDescent="0.25">
      <c r="A870">
        <v>31480</v>
      </c>
      <c r="B870" s="3">
        <v>45100</v>
      </c>
      <c r="C870" t="s">
        <v>37</v>
      </c>
      <c r="D870">
        <v>-2.611006423830986E-2</v>
      </c>
    </row>
    <row r="871" spans="1:4" x14ac:dyDescent="0.25">
      <c r="A871">
        <v>31480</v>
      </c>
      <c r="B871" s="3">
        <v>45103</v>
      </c>
      <c r="C871" t="s">
        <v>37</v>
      </c>
      <c r="D871">
        <v>-1.4525152742862701E-2</v>
      </c>
    </row>
    <row r="872" spans="1:4" x14ac:dyDescent="0.25">
      <c r="A872">
        <v>31480</v>
      </c>
      <c r="B872" s="3">
        <v>45104</v>
      </c>
      <c r="C872" t="s">
        <v>37</v>
      </c>
      <c r="D872">
        <v>3.117920458316803E-2</v>
      </c>
    </row>
    <row r="873" spans="1:4" x14ac:dyDescent="0.25">
      <c r="A873">
        <v>31480</v>
      </c>
      <c r="B873" s="3">
        <v>45105</v>
      </c>
      <c r="C873" t="s">
        <v>37</v>
      </c>
      <c r="D873">
        <v>4.3980167247354984E-3</v>
      </c>
    </row>
    <row r="874" spans="1:4" x14ac:dyDescent="0.25">
      <c r="A874">
        <v>31480</v>
      </c>
      <c r="B874" s="3">
        <v>45106</v>
      </c>
      <c r="C874" t="s">
        <v>37</v>
      </c>
      <c r="D874">
        <v>-1.5325707383453846E-2</v>
      </c>
    </row>
    <row r="875" spans="1:4" x14ac:dyDescent="0.25">
      <c r="A875">
        <v>31480</v>
      </c>
      <c r="B875" s="3">
        <v>45107</v>
      </c>
      <c r="C875" t="s">
        <v>37</v>
      </c>
      <c r="D875">
        <v>5.5586649104952812E-3</v>
      </c>
    </row>
    <row r="876" spans="1:4" x14ac:dyDescent="0.25">
      <c r="A876">
        <v>31480</v>
      </c>
      <c r="B876" s="3">
        <v>45110</v>
      </c>
      <c r="C876" t="s">
        <v>37</v>
      </c>
      <c r="D876">
        <v>-2.0453335717320442E-2</v>
      </c>
    </row>
    <row r="877" spans="1:4" x14ac:dyDescent="0.25">
      <c r="A877">
        <v>31480</v>
      </c>
      <c r="B877" s="3">
        <v>45112</v>
      </c>
      <c r="C877" t="s">
        <v>37</v>
      </c>
      <c r="D877">
        <v>1.6365740448236465E-2</v>
      </c>
    </row>
    <row r="878" spans="1:4" x14ac:dyDescent="0.25">
      <c r="A878">
        <v>31480</v>
      </c>
      <c r="B878" s="3">
        <v>45113</v>
      </c>
      <c r="C878" t="s">
        <v>37</v>
      </c>
      <c r="D878">
        <v>3.8867127150297165E-3</v>
      </c>
    </row>
    <row r="879" spans="1:4" x14ac:dyDescent="0.25">
      <c r="A879">
        <v>31480</v>
      </c>
      <c r="B879" s="3">
        <v>45114</v>
      </c>
      <c r="C879" t="s">
        <v>37</v>
      </c>
      <c r="D879">
        <v>-3.8716646376997232E-3</v>
      </c>
    </row>
    <row r="880" spans="1:4" x14ac:dyDescent="0.25">
      <c r="A880">
        <v>31480</v>
      </c>
      <c r="B880" s="3">
        <v>45117</v>
      </c>
      <c r="C880" t="s">
        <v>37</v>
      </c>
      <c r="D880">
        <v>2.2209333255887032E-3</v>
      </c>
    </row>
    <row r="881" spans="1:4" x14ac:dyDescent="0.25">
      <c r="A881">
        <v>31480</v>
      </c>
      <c r="B881" s="3">
        <v>45118</v>
      </c>
      <c r="C881" t="s">
        <v>37</v>
      </c>
      <c r="D881">
        <v>-2.216011518612504E-3</v>
      </c>
    </row>
    <row r="882" spans="1:4" x14ac:dyDescent="0.25">
      <c r="A882">
        <v>31480</v>
      </c>
      <c r="B882" s="3">
        <v>45119</v>
      </c>
      <c r="C882" t="s">
        <v>37</v>
      </c>
      <c r="D882">
        <v>1.6102110967040062E-2</v>
      </c>
    </row>
    <row r="883" spans="1:4" x14ac:dyDescent="0.25">
      <c r="A883">
        <v>31480</v>
      </c>
      <c r="B883" s="3">
        <v>45120</v>
      </c>
      <c r="C883" t="s">
        <v>37</v>
      </c>
      <c r="D883">
        <v>-5.4643978364765644E-3</v>
      </c>
    </row>
    <row r="884" spans="1:4" x14ac:dyDescent="0.25">
      <c r="A884">
        <v>31480</v>
      </c>
      <c r="B884" s="3">
        <v>45121</v>
      </c>
      <c r="C884" t="s">
        <v>37</v>
      </c>
      <c r="D884">
        <v>-1.6483578830957413E-2</v>
      </c>
    </row>
    <row r="885" spans="1:4" x14ac:dyDescent="0.25">
      <c r="A885">
        <v>31480</v>
      </c>
      <c r="B885" s="3">
        <v>45124</v>
      </c>
      <c r="C885" t="s">
        <v>37</v>
      </c>
      <c r="D885">
        <v>5.5866134352982044E-3</v>
      </c>
    </row>
    <row r="886" spans="1:4" x14ac:dyDescent="0.25">
      <c r="A886">
        <v>31480</v>
      </c>
      <c r="B886" s="3">
        <v>45125</v>
      </c>
      <c r="C886" t="s">
        <v>37</v>
      </c>
      <c r="D886">
        <v>1.2777752242982388E-2</v>
      </c>
    </row>
    <row r="887" spans="1:4" x14ac:dyDescent="0.25">
      <c r="A887">
        <v>31480</v>
      </c>
      <c r="B887" s="3">
        <v>45126</v>
      </c>
      <c r="C887" t="s">
        <v>37</v>
      </c>
      <c r="D887">
        <v>-2.7422714629210532E-4</v>
      </c>
    </row>
    <row r="888" spans="1:4" x14ac:dyDescent="0.25">
      <c r="A888">
        <v>31480</v>
      </c>
      <c r="B888" s="3">
        <v>45127</v>
      </c>
      <c r="C888" t="s">
        <v>37</v>
      </c>
      <c r="D888">
        <v>3.4842260181903839E-2</v>
      </c>
    </row>
    <row r="889" spans="1:4" x14ac:dyDescent="0.25">
      <c r="A889">
        <v>31480</v>
      </c>
      <c r="B889" s="3">
        <v>45128</v>
      </c>
      <c r="C889" t="s">
        <v>37</v>
      </c>
      <c r="D889">
        <v>-1.9088048487901688E-2</v>
      </c>
    </row>
    <row r="890" spans="1:4" x14ac:dyDescent="0.25">
      <c r="A890">
        <v>31480</v>
      </c>
      <c r="B890" s="3">
        <v>45131</v>
      </c>
      <c r="C890" t="s">
        <v>37</v>
      </c>
      <c r="D890">
        <v>-1.0270299389958382E-2</v>
      </c>
    </row>
    <row r="891" spans="1:4" x14ac:dyDescent="0.25">
      <c r="A891">
        <v>31480</v>
      </c>
      <c r="B891" s="3">
        <v>45132</v>
      </c>
      <c r="C891" t="s">
        <v>37</v>
      </c>
      <c r="D891">
        <v>-6.5537374466657639E-3</v>
      </c>
    </row>
    <row r="892" spans="1:4" x14ac:dyDescent="0.25">
      <c r="A892">
        <v>31480</v>
      </c>
      <c r="B892" s="3">
        <v>45133</v>
      </c>
      <c r="C892" t="s">
        <v>37</v>
      </c>
      <c r="D892">
        <v>8.7960334494709969E-3</v>
      </c>
    </row>
    <row r="893" spans="1:4" x14ac:dyDescent="0.25">
      <c r="A893">
        <v>31480</v>
      </c>
      <c r="B893" s="3">
        <v>45134</v>
      </c>
      <c r="C893" t="s">
        <v>37</v>
      </c>
      <c r="D893">
        <v>-7.0845265872776508E-3</v>
      </c>
    </row>
    <row r="894" spans="1:4" x14ac:dyDescent="0.25">
      <c r="A894">
        <v>31480</v>
      </c>
      <c r="B894" s="3">
        <v>45135</v>
      </c>
      <c r="C894" t="s">
        <v>37</v>
      </c>
      <c r="D894">
        <v>5.4884953424334526E-3</v>
      </c>
    </row>
    <row r="895" spans="1:4" x14ac:dyDescent="0.25">
      <c r="A895">
        <v>31480</v>
      </c>
      <c r="B895" s="3">
        <v>45138</v>
      </c>
      <c r="C895" t="s">
        <v>37</v>
      </c>
      <c r="D895">
        <v>6.004400085657835E-3</v>
      </c>
    </row>
    <row r="896" spans="1:4" x14ac:dyDescent="0.25">
      <c r="A896">
        <v>31480</v>
      </c>
      <c r="B896" s="3">
        <v>45139</v>
      </c>
      <c r="C896" t="s">
        <v>37</v>
      </c>
      <c r="D896">
        <v>-1.1394519358873367E-2</v>
      </c>
    </row>
    <row r="897" spans="1:4" x14ac:dyDescent="0.25">
      <c r="A897">
        <v>31480</v>
      </c>
      <c r="B897" s="3">
        <v>45140</v>
      </c>
      <c r="C897" t="s">
        <v>37</v>
      </c>
      <c r="D897">
        <v>1.4270045794546604E-2</v>
      </c>
    </row>
    <row r="898" spans="1:4" x14ac:dyDescent="0.25">
      <c r="A898">
        <v>31480</v>
      </c>
      <c r="B898" s="3">
        <v>45141</v>
      </c>
      <c r="C898" t="s">
        <v>37</v>
      </c>
      <c r="D898">
        <v>1.5692690387368202E-2</v>
      </c>
    </row>
    <row r="899" spans="1:4" x14ac:dyDescent="0.25">
      <c r="A899">
        <v>31480</v>
      </c>
      <c r="B899" s="3">
        <v>45142</v>
      </c>
      <c r="C899" t="s">
        <v>37</v>
      </c>
      <c r="D899">
        <v>-1.4917457476258278E-2</v>
      </c>
    </row>
    <row r="900" spans="1:4" x14ac:dyDescent="0.25">
      <c r="A900">
        <v>31480</v>
      </c>
      <c r="B900" s="3">
        <v>45145</v>
      </c>
      <c r="C900" t="s">
        <v>37</v>
      </c>
      <c r="D900">
        <v>-4.3266587890684605E-3</v>
      </c>
    </row>
    <row r="901" spans="1:4" x14ac:dyDescent="0.25">
      <c r="A901">
        <v>31480</v>
      </c>
      <c r="B901" s="3">
        <v>45146</v>
      </c>
      <c r="C901" t="s">
        <v>37</v>
      </c>
      <c r="D901">
        <v>3.8022648077458143E-3</v>
      </c>
    </row>
    <row r="902" spans="1:4" x14ac:dyDescent="0.25">
      <c r="A902">
        <v>31480</v>
      </c>
      <c r="B902" s="3">
        <v>45147</v>
      </c>
      <c r="C902" t="s">
        <v>37</v>
      </c>
      <c r="D902">
        <v>5.0324693322181702E-2</v>
      </c>
    </row>
    <row r="903" spans="1:4" x14ac:dyDescent="0.25">
      <c r="A903">
        <v>31480</v>
      </c>
      <c r="B903" s="3">
        <v>45148</v>
      </c>
      <c r="C903" t="s">
        <v>37</v>
      </c>
      <c r="D903">
        <v>-2.7820659801363945E-2</v>
      </c>
    </row>
    <row r="904" spans="1:4" x14ac:dyDescent="0.25">
      <c r="A904">
        <v>31480</v>
      </c>
      <c r="B904" s="3">
        <v>45149</v>
      </c>
      <c r="C904" t="s">
        <v>37</v>
      </c>
      <c r="D904">
        <v>1.6958117485046387E-2</v>
      </c>
    </row>
    <row r="905" spans="1:4" x14ac:dyDescent="0.25">
      <c r="A905">
        <v>31480</v>
      </c>
      <c r="B905" s="3">
        <v>45152</v>
      </c>
      <c r="C905" t="s">
        <v>37</v>
      </c>
      <c r="D905">
        <v>-2.3970801383256912E-2</v>
      </c>
    </row>
    <row r="906" spans="1:4" x14ac:dyDescent="0.25">
      <c r="A906">
        <v>31480</v>
      </c>
      <c r="B906" s="3">
        <v>45153</v>
      </c>
      <c r="C906" t="s">
        <v>37</v>
      </c>
      <c r="D906">
        <v>-1.8259942531585693E-2</v>
      </c>
    </row>
    <row r="907" spans="1:4" x14ac:dyDescent="0.25">
      <c r="A907">
        <v>31480</v>
      </c>
      <c r="B907" s="3">
        <v>45154</v>
      </c>
      <c r="C907" t="s">
        <v>37</v>
      </c>
      <c r="D907">
        <v>1.0940856300294399E-2</v>
      </c>
    </row>
    <row r="908" spans="1:4" x14ac:dyDescent="0.25">
      <c r="A908">
        <v>31480</v>
      </c>
      <c r="B908" s="3">
        <v>45155</v>
      </c>
      <c r="C908" t="s">
        <v>37</v>
      </c>
      <c r="D908">
        <v>-2.1103862673044205E-2</v>
      </c>
    </row>
    <row r="909" spans="1:4" x14ac:dyDescent="0.25">
      <c r="A909">
        <v>31480</v>
      </c>
      <c r="B909" s="3">
        <v>45156</v>
      </c>
      <c r="C909" t="s">
        <v>37</v>
      </c>
      <c r="D909">
        <v>-5.5279368534684181E-3</v>
      </c>
    </row>
    <row r="910" spans="1:4" x14ac:dyDescent="0.25">
      <c r="A910">
        <v>31480</v>
      </c>
      <c r="B910" s="3">
        <v>45159</v>
      </c>
      <c r="C910" t="s">
        <v>37</v>
      </c>
      <c r="D910">
        <v>-1.0561453178524971E-2</v>
      </c>
    </row>
    <row r="911" spans="1:4" x14ac:dyDescent="0.25">
      <c r="A911">
        <v>31480</v>
      </c>
      <c r="B911" s="3">
        <v>45160</v>
      </c>
      <c r="C911" t="s">
        <v>37</v>
      </c>
      <c r="D911">
        <v>3.370863851159811E-3</v>
      </c>
    </row>
    <row r="912" spans="1:4" x14ac:dyDescent="0.25">
      <c r="A912">
        <v>31480</v>
      </c>
      <c r="B912" s="3">
        <v>45161</v>
      </c>
      <c r="C912" t="s">
        <v>37</v>
      </c>
      <c r="D912">
        <v>1.5677422285079956E-2</v>
      </c>
    </row>
    <row r="913" spans="1:4" x14ac:dyDescent="0.25">
      <c r="A913">
        <v>31480</v>
      </c>
      <c r="B913" s="3">
        <v>45162</v>
      </c>
      <c r="C913" t="s">
        <v>37</v>
      </c>
      <c r="D913">
        <v>-8.8202785700559616E-3</v>
      </c>
    </row>
    <row r="914" spans="1:4" x14ac:dyDescent="0.25">
      <c r="A914">
        <v>31480</v>
      </c>
      <c r="B914" s="3">
        <v>45163</v>
      </c>
      <c r="C914" t="s">
        <v>37</v>
      </c>
      <c r="D914">
        <v>2.2247449960559607E-3</v>
      </c>
    </row>
    <row r="915" spans="1:4" x14ac:dyDescent="0.25">
      <c r="A915">
        <v>31480</v>
      </c>
      <c r="B915" s="3">
        <v>45166</v>
      </c>
      <c r="C915" t="s">
        <v>37</v>
      </c>
      <c r="D915">
        <v>1.0543763637542725E-2</v>
      </c>
    </row>
    <row r="916" spans="1:4" x14ac:dyDescent="0.25">
      <c r="A916">
        <v>31480</v>
      </c>
      <c r="B916" s="3">
        <v>45167</v>
      </c>
      <c r="C916" t="s">
        <v>37</v>
      </c>
      <c r="D916">
        <v>-1.0159224271774292E-2</v>
      </c>
    </row>
    <row r="917" spans="1:4" x14ac:dyDescent="0.25">
      <c r="A917">
        <v>31480</v>
      </c>
      <c r="B917" s="3">
        <v>45168</v>
      </c>
      <c r="C917" t="s">
        <v>37</v>
      </c>
      <c r="D917">
        <v>-7.4896104633808136E-3</v>
      </c>
    </row>
    <row r="918" spans="1:4" x14ac:dyDescent="0.25">
      <c r="A918">
        <v>31480</v>
      </c>
      <c r="B918" s="3">
        <v>45169</v>
      </c>
      <c r="C918" t="s">
        <v>37</v>
      </c>
      <c r="D918">
        <v>1.1179473251104355E-2</v>
      </c>
    </row>
    <row r="919" spans="1:4" x14ac:dyDescent="0.25">
      <c r="A919">
        <v>31480</v>
      </c>
      <c r="B919" s="3">
        <v>45170</v>
      </c>
      <c r="C919" t="s">
        <v>37</v>
      </c>
      <c r="D919">
        <v>8.8446568697690964E-3</v>
      </c>
    </row>
    <row r="920" spans="1:4" x14ac:dyDescent="0.25">
      <c r="A920">
        <v>31480</v>
      </c>
      <c r="B920" s="3">
        <v>45174</v>
      </c>
      <c r="C920" t="s">
        <v>37</v>
      </c>
      <c r="D920">
        <v>-2.7396841906011105E-3</v>
      </c>
    </row>
    <row r="921" spans="1:4" x14ac:dyDescent="0.25">
      <c r="A921">
        <v>31480</v>
      </c>
      <c r="B921" s="3">
        <v>45175</v>
      </c>
      <c r="C921" t="s">
        <v>37</v>
      </c>
      <c r="D921">
        <v>-8.2418415695428848E-3</v>
      </c>
    </row>
    <row r="922" spans="1:4" x14ac:dyDescent="0.25">
      <c r="A922">
        <v>31480</v>
      </c>
      <c r="B922" s="3">
        <v>45176</v>
      </c>
      <c r="C922" t="s">
        <v>37</v>
      </c>
      <c r="D922">
        <v>1.939060352742672E-2</v>
      </c>
    </row>
    <row r="923" spans="1:4" x14ac:dyDescent="0.25">
      <c r="A923">
        <v>31480</v>
      </c>
      <c r="B923" s="3">
        <v>45177</v>
      </c>
      <c r="C923" t="s">
        <v>37</v>
      </c>
      <c r="D923">
        <v>8.152153342962265E-3</v>
      </c>
    </row>
    <row r="924" spans="1:4" x14ac:dyDescent="0.25">
      <c r="A924">
        <v>31480</v>
      </c>
      <c r="B924" s="3">
        <v>45180</v>
      </c>
      <c r="C924" t="s">
        <v>37</v>
      </c>
      <c r="D924">
        <v>-1.5633370727300644E-2</v>
      </c>
    </row>
    <row r="925" spans="1:4" x14ac:dyDescent="0.25">
      <c r="A925">
        <v>31480</v>
      </c>
      <c r="B925" s="3">
        <v>45181</v>
      </c>
      <c r="C925" t="s">
        <v>37</v>
      </c>
      <c r="D925">
        <v>4.3811569921672344E-3</v>
      </c>
    </row>
    <row r="926" spans="1:4" x14ac:dyDescent="0.25">
      <c r="A926">
        <v>31480</v>
      </c>
      <c r="B926" s="3">
        <v>45182</v>
      </c>
      <c r="C926" t="s">
        <v>37</v>
      </c>
      <c r="D926">
        <v>-6.5431208349764347E-3</v>
      </c>
    </row>
    <row r="927" spans="1:4" x14ac:dyDescent="0.25">
      <c r="A927">
        <v>31480</v>
      </c>
      <c r="B927" s="3">
        <v>45183</v>
      </c>
      <c r="C927" t="s">
        <v>37</v>
      </c>
      <c r="D927">
        <v>3.0186671763658524E-2</v>
      </c>
    </row>
    <row r="928" spans="1:4" x14ac:dyDescent="0.25">
      <c r="A928">
        <v>31480</v>
      </c>
      <c r="B928" s="3">
        <v>45184</v>
      </c>
      <c r="C928" t="s">
        <v>37</v>
      </c>
      <c r="D928">
        <v>-1.0122564621269703E-2</v>
      </c>
    </row>
    <row r="929" spans="1:4" x14ac:dyDescent="0.25">
      <c r="A929">
        <v>31480</v>
      </c>
      <c r="B929" s="3">
        <v>45187</v>
      </c>
      <c r="C929" t="s">
        <v>37</v>
      </c>
      <c r="D929">
        <v>1.1840651743113995E-2</v>
      </c>
    </row>
    <row r="930" spans="1:4" x14ac:dyDescent="0.25">
      <c r="A930">
        <v>31480</v>
      </c>
      <c r="B930" s="3">
        <v>45188</v>
      </c>
      <c r="C930" t="s">
        <v>37</v>
      </c>
      <c r="D930">
        <v>-1.5957407653331757E-2</v>
      </c>
    </row>
    <row r="931" spans="1:4" x14ac:dyDescent="0.25">
      <c r="A931">
        <v>31480</v>
      </c>
      <c r="B931" s="3">
        <v>45189</v>
      </c>
      <c r="C931" t="s">
        <v>37</v>
      </c>
      <c r="D931">
        <v>-4.8648728989064693E-3</v>
      </c>
    </row>
    <row r="932" spans="1:4" x14ac:dyDescent="0.25">
      <c r="A932">
        <v>31480</v>
      </c>
      <c r="B932" s="3">
        <v>45190</v>
      </c>
      <c r="C932" t="s">
        <v>37</v>
      </c>
      <c r="D932">
        <v>-5.9750466607511044E-3</v>
      </c>
    </row>
    <row r="933" spans="1:4" x14ac:dyDescent="0.25">
      <c r="A933">
        <v>31480</v>
      </c>
      <c r="B933" s="3">
        <v>45191</v>
      </c>
      <c r="C933" t="s">
        <v>37</v>
      </c>
      <c r="D933">
        <v>-6.0107541503384709E-4</v>
      </c>
    </row>
    <row r="934" spans="1:4" x14ac:dyDescent="0.25">
      <c r="A934">
        <v>31480</v>
      </c>
      <c r="B934" s="3">
        <v>45194</v>
      </c>
      <c r="C934" t="s">
        <v>37</v>
      </c>
      <c r="D934">
        <v>-7.6001938432455063E-3</v>
      </c>
    </row>
    <row r="935" spans="1:4" x14ac:dyDescent="0.25">
      <c r="A935">
        <v>31480</v>
      </c>
      <c r="B935" s="3">
        <v>45195</v>
      </c>
      <c r="C935" t="s">
        <v>37</v>
      </c>
      <c r="D935">
        <v>-7.1624885313212872E-3</v>
      </c>
    </row>
    <row r="936" spans="1:4" x14ac:dyDescent="0.25">
      <c r="A936">
        <v>31480</v>
      </c>
      <c r="B936" s="3">
        <v>45196</v>
      </c>
      <c r="C936" t="s">
        <v>37</v>
      </c>
      <c r="D936">
        <v>6.6592078655958176E-3</v>
      </c>
    </row>
    <row r="937" spans="1:4" x14ac:dyDescent="0.25">
      <c r="A937">
        <v>31480</v>
      </c>
      <c r="B937" s="3">
        <v>45197</v>
      </c>
      <c r="C937" t="s">
        <v>37</v>
      </c>
      <c r="D937">
        <v>-7.7177174389362335E-3</v>
      </c>
    </row>
    <row r="938" spans="1:4" x14ac:dyDescent="0.25">
      <c r="A938">
        <v>31480</v>
      </c>
      <c r="B938" s="3">
        <v>45198</v>
      </c>
      <c r="C938" t="s">
        <v>37</v>
      </c>
      <c r="D938">
        <v>8.3333123475313187E-3</v>
      </c>
    </row>
    <row r="939" spans="1:4" x14ac:dyDescent="0.25">
      <c r="A939">
        <v>31480</v>
      </c>
      <c r="B939" s="3">
        <v>45201</v>
      </c>
      <c r="C939" t="s">
        <v>37</v>
      </c>
      <c r="D939">
        <v>-9.3663958832621574E-3</v>
      </c>
    </row>
    <row r="940" spans="1:4" x14ac:dyDescent="0.25">
      <c r="A940">
        <v>31480</v>
      </c>
      <c r="B940" s="3">
        <v>45202</v>
      </c>
      <c r="C940" t="s">
        <v>37</v>
      </c>
      <c r="D940">
        <v>1.1123724980279803E-3</v>
      </c>
    </row>
    <row r="941" spans="1:4" x14ac:dyDescent="0.25">
      <c r="A941">
        <v>31480</v>
      </c>
      <c r="B941" s="3">
        <v>45203</v>
      </c>
      <c r="C941" t="s">
        <v>37</v>
      </c>
      <c r="D941">
        <v>-9.4444490969181061E-3</v>
      </c>
    </row>
    <row r="942" spans="1:4" x14ac:dyDescent="0.25">
      <c r="A942">
        <v>31480</v>
      </c>
      <c r="B942" s="3">
        <v>45204</v>
      </c>
      <c r="C942" t="s">
        <v>37</v>
      </c>
      <c r="D942">
        <v>-8.412766270339489E-3</v>
      </c>
    </row>
    <row r="943" spans="1:4" x14ac:dyDescent="0.25">
      <c r="A943">
        <v>31480</v>
      </c>
      <c r="B943" s="3">
        <v>45205</v>
      </c>
      <c r="C943" t="s">
        <v>37</v>
      </c>
      <c r="D943">
        <v>9.6153886988759041E-3</v>
      </c>
    </row>
    <row r="944" spans="1:4" x14ac:dyDescent="0.25">
      <c r="A944">
        <v>31480</v>
      </c>
      <c r="B944" s="3">
        <v>45208</v>
      </c>
      <c r="C944" t="s">
        <v>37</v>
      </c>
      <c r="D944">
        <v>-7.8432094305753708E-3</v>
      </c>
    </row>
    <row r="945" spans="1:4" x14ac:dyDescent="0.25">
      <c r="A945">
        <v>31480</v>
      </c>
      <c r="B945" s="3">
        <v>45209</v>
      </c>
      <c r="C945" t="s">
        <v>37</v>
      </c>
      <c r="D945">
        <v>2.2586628329008818E-3</v>
      </c>
    </row>
    <row r="946" spans="1:4" x14ac:dyDescent="0.25">
      <c r="A946">
        <v>31480</v>
      </c>
      <c r="B946" s="3">
        <v>45210</v>
      </c>
      <c r="C946" t="s">
        <v>37</v>
      </c>
      <c r="D946">
        <v>8.4506822749972343E-3</v>
      </c>
    </row>
    <row r="947" spans="1:4" x14ac:dyDescent="0.25">
      <c r="A947">
        <v>31480</v>
      </c>
      <c r="B947" s="3">
        <v>45211</v>
      </c>
      <c r="C947" t="s">
        <v>37</v>
      </c>
      <c r="D947">
        <v>-5.0279414281249046E-3</v>
      </c>
    </row>
    <row r="948" spans="1:4" x14ac:dyDescent="0.25">
      <c r="A948">
        <v>31480</v>
      </c>
      <c r="B948" s="3">
        <v>45212</v>
      </c>
      <c r="C948" t="s">
        <v>37</v>
      </c>
      <c r="D948">
        <v>-1.6844427213072777E-2</v>
      </c>
    </row>
    <row r="949" spans="1:4" x14ac:dyDescent="0.25">
      <c r="A949">
        <v>31480</v>
      </c>
      <c r="B949" s="3">
        <v>45215</v>
      </c>
      <c r="C949" t="s">
        <v>37</v>
      </c>
      <c r="D949">
        <v>-9.1376267373561859E-3</v>
      </c>
    </row>
    <row r="950" spans="1:4" x14ac:dyDescent="0.25">
      <c r="A950">
        <v>31480</v>
      </c>
      <c r="B950" s="3">
        <v>45216</v>
      </c>
      <c r="C950" t="s">
        <v>37</v>
      </c>
      <c r="D950">
        <v>-6.9164745509624481E-3</v>
      </c>
    </row>
    <row r="951" spans="1:4" x14ac:dyDescent="0.25">
      <c r="A951">
        <v>31480</v>
      </c>
      <c r="B951" s="3">
        <v>45217</v>
      </c>
      <c r="C951" t="s">
        <v>37</v>
      </c>
      <c r="D951">
        <v>-3.4822674933820963E-3</v>
      </c>
    </row>
    <row r="952" spans="1:4" x14ac:dyDescent="0.25">
      <c r="A952">
        <v>31480</v>
      </c>
      <c r="B952" s="3">
        <v>45218</v>
      </c>
      <c r="C952" t="s">
        <v>37</v>
      </c>
      <c r="D952">
        <v>-1.2813005596399307E-2</v>
      </c>
    </row>
    <row r="953" spans="1:4" x14ac:dyDescent="0.25">
      <c r="A953">
        <v>31480</v>
      </c>
      <c r="B953" s="3">
        <v>45219</v>
      </c>
      <c r="C953" t="s">
        <v>37</v>
      </c>
      <c r="D953">
        <v>-2.5368748232722282E-2</v>
      </c>
    </row>
    <row r="954" spans="1:4" x14ac:dyDescent="0.25">
      <c r="A954">
        <v>31480</v>
      </c>
      <c r="B954" s="3">
        <v>45222</v>
      </c>
      <c r="C954" t="s">
        <v>37</v>
      </c>
      <c r="D954">
        <v>1.3922490179538727E-2</v>
      </c>
    </row>
    <row r="955" spans="1:4" x14ac:dyDescent="0.25">
      <c r="A955">
        <v>31480</v>
      </c>
      <c r="B955" s="3">
        <v>45223</v>
      </c>
      <c r="C955" t="s">
        <v>37</v>
      </c>
      <c r="D955">
        <v>-1.7313487827777863E-2</v>
      </c>
    </row>
    <row r="956" spans="1:4" x14ac:dyDescent="0.25">
      <c r="A956">
        <v>31480</v>
      </c>
      <c r="B956" s="3">
        <v>45224</v>
      </c>
      <c r="C956" t="s">
        <v>37</v>
      </c>
      <c r="D956">
        <v>3.949000034481287E-3</v>
      </c>
    </row>
    <row r="957" spans="1:4" x14ac:dyDescent="0.25">
      <c r="A957">
        <v>31480</v>
      </c>
      <c r="B957" s="3">
        <v>45225</v>
      </c>
      <c r="C957" t="s">
        <v>37</v>
      </c>
      <c r="D957">
        <v>3.328308928757906E-3</v>
      </c>
    </row>
    <row r="958" spans="1:4" x14ac:dyDescent="0.25">
      <c r="A958">
        <v>31480</v>
      </c>
      <c r="B958" s="3">
        <v>45226</v>
      </c>
      <c r="C958" t="s">
        <v>37</v>
      </c>
      <c r="D958">
        <v>-2.7141179889440536E-2</v>
      </c>
    </row>
    <row r="959" spans="1:4" x14ac:dyDescent="0.25">
      <c r="A959">
        <v>31480</v>
      </c>
      <c r="B959" s="3">
        <v>45229</v>
      </c>
      <c r="C959" t="s">
        <v>37</v>
      </c>
      <c r="D959">
        <v>2.2287718951702118E-2</v>
      </c>
    </row>
    <row r="960" spans="1:4" x14ac:dyDescent="0.25">
      <c r="A960">
        <v>31480</v>
      </c>
      <c r="B960" s="3">
        <v>45230</v>
      </c>
      <c r="C960" t="s">
        <v>37</v>
      </c>
      <c r="D960">
        <v>-1.3917936943471432E-2</v>
      </c>
    </row>
    <row r="961" spans="1:4" x14ac:dyDescent="0.25">
      <c r="A961">
        <v>31480</v>
      </c>
      <c r="B961" s="3">
        <v>45231</v>
      </c>
      <c r="C961" t="s">
        <v>37</v>
      </c>
      <c r="D961">
        <v>-3.0756875639781356E-4</v>
      </c>
    </row>
    <row r="962" spans="1:4" x14ac:dyDescent="0.25">
      <c r="A962">
        <v>31480</v>
      </c>
      <c r="B962" s="3">
        <v>45232</v>
      </c>
      <c r="C962" t="s">
        <v>37</v>
      </c>
      <c r="D962">
        <v>7.2900734841823578E-2</v>
      </c>
    </row>
    <row r="963" spans="1:4" x14ac:dyDescent="0.25">
      <c r="A963">
        <v>31480</v>
      </c>
      <c r="B963" s="3">
        <v>45233</v>
      </c>
      <c r="C963" t="s">
        <v>37</v>
      </c>
      <c r="D963">
        <v>1.5481567941606045E-2</v>
      </c>
    </row>
    <row r="964" spans="1:4" x14ac:dyDescent="0.25">
      <c r="A964">
        <v>31480</v>
      </c>
      <c r="B964" s="3">
        <v>45236</v>
      </c>
      <c r="C964" t="s">
        <v>37</v>
      </c>
      <c r="D964">
        <v>-4.5172176323831081E-3</v>
      </c>
    </row>
    <row r="965" spans="1:4" x14ac:dyDescent="0.25">
      <c r="A965">
        <v>31480</v>
      </c>
      <c r="B965" s="3">
        <v>45237</v>
      </c>
      <c r="C965" t="s">
        <v>37</v>
      </c>
      <c r="D965">
        <v>-1.7015758203342557E-3</v>
      </c>
    </row>
    <row r="966" spans="1:4" x14ac:dyDescent="0.25">
      <c r="A966">
        <v>31480</v>
      </c>
      <c r="B966" s="3">
        <v>45238</v>
      </c>
      <c r="C966" t="s">
        <v>37</v>
      </c>
      <c r="D966">
        <v>1.3068155385553837E-2</v>
      </c>
    </row>
    <row r="967" spans="1:4" x14ac:dyDescent="0.25">
      <c r="A967">
        <v>31480</v>
      </c>
      <c r="B967" s="3">
        <v>45239</v>
      </c>
      <c r="C967" t="s">
        <v>37</v>
      </c>
      <c r="D967">
        <v>2.3555809631943703E-2</v>
      </c>
    </row>
    <row r="968" spans="1:4" x14ac:dyDescent="0.25">
      <c r="A968">
        <v>31480</v>
      </c>
      <c r="B968" s="3">
        <v>45240</v>
      </c>
      <c r="C968" t="s">
        <v>37</v>
      </c>
      <c r="D968">
        <v>2.1918308921158314E-3</v>
      </c>
    </row>
    <row r="969" spans="1:4" x14ac:dyDescent="0.25">
      <c r="A969">
        <v>31480</v>
      </c>
      <c r="B969" s="3">
        <v>45243</v>
      </c>
      <c r="C969" t="s">
        <v>37</v>
      </c>
      <c r="D969">
        <v>2.4056784808635712E-2</v>
      </c>
    </row>
    <row r="970" spans="1:4" x14ac:dyDescent="0.25">
      <c r="A970">
        <v>31480</v>
      </c>
      <c r="B970" s="3">
        <v>45244</v>
      </c>
      <c r="C970" t="s">
        <v>37</v>
      </c>
      <c r="D970">
        <v>2.0288333296775818E-2</v>
      </c>
    </row>
    <row r="971" spans="1:4" x14ac:dyDescent="0.25">
      <c r="A971">
        <v>31480</v>
      </c>
      <c r="B971" s="3">
        <v>45245</v>
      </c>
      <c r="C971" t="s">
        <v>37</v>
      </c>
      <c r="D971">
        <v>-8.421044796705246E-3</v>
      </c>
    </row>
    <row r="972" spans="1:4" x14ac:dyDescent="0.25">
      <c r="A972">
        <v>31480</v>
      </c>
      <c r="B972" s="3">
        <v>45246</v>
      </c>
      <c r="C972" t="s">
        <v>37</v>
      </c>
      <c r="D972">
        <v>-2.7070075273513794E-2</v>
      </c>
    </row>
    <row r="973" spans="1:4" x14ac:dyDescent="0.25">
      <c r="A973">
        <v>31480</v>
      </c>
      <c r="B973" s="3">
        <v>45247</v>
      </c>
      <c r="C973" t="s">
        <v>37</v>
      </c>
      <c r="D973">
        <v>-7.0921527221798897E-3</v>
      </c>
    </row>
    <row r="974" spans="1:4" x14ac:dyDescent="0.25">
      <c r="A974">
        <v>31480</v>
      </c>
      <c r="B974" s="3">
        <v>45250</v>
      </c>
      <c r="C974" t="s">
        <v>37</v>
      </c>
      <c r="D974">
        <v>3.736254945397377E-2</v>
      </c>
    </row>
    <row r="975" spans="1:4" x14ac:dyDescent="0.25">
      <c r="A975">
        <v>31480</v>
      </c>
      <c r="B975" s="3">
        <v>45251</v>
      </c>
      <c r="C975" t="s">
        <v>37</v>
      </c>
      <c r="D975">
        <v>-2.8071969747543335E-2</v>
      </c>
    </row>
    <row r="976" spans="1:4" x14ac:dyDescent="0.25">
      <c r="A976">
        <v>31480</v>
      </c>
      <c r="B976" s="3">
        <v>45252</v>
      </c>
      <c r="C976" t="s">
        <v>37</v>
      </c>
      <c r="D976">
        <v>1.6893703490495682E-2</v>
      </c>
    </row>
    <row r="977" spans="1:4" x14ac:dyDescent="0.25">
      <c r="A977">
        <v>31480</v>
      </c>
      <c r="B977" s="3">
        <v>45254</v>
      </c>
      <c r="C977" t="s">
        <v>37</v>
      </c>
      <c r="D977">
        <v>3.2154053915292025E-3</v>
      </c>
    </row>
    <row r="978" spans="1:4" x14ac:dyDescent="0.25">
      <c r="A978">
        <v>31480</v>
      </c>
      <c r="B978" s="3">
        <v>45257</v>
      </c>
      <c r="C978" t="s">
        <v>37</v>
      </c>
      <c r="D978">
        <v>-1.0683699510991573E-2</v>
      </c>
    </row>
    <row r="979" spans="1:4" x14ac:dyDescent="0.25">
      <c r="A979">
        <v>31480</v>
      </c>
      <c r="B979" s="3">
        <v>45258</v>
      </c>
      <c r="C979" t="s">
        <v>37</v>
      </c>
      <c r="D979">
        <v>-2.1598765160888433E-3</v>
      </c>
    </row>
    <row r="980" spans="1:4" x14ac:dyDescent="0.25">
      <c r="A980">
        <v>31480</v>
      </c>
      <c r="B980" s="3">
        <v>45259</v>
      </c>
      <c r="C980" t="s">
        <v>37</v>
      </c>
      <c r="D980">
        <v>-7.5757247395813465E-3</v>
      </c>
    </row>
    <row r="981" spans="1:4" x14ac:dyDescent="0.25">
      <c r="A981">
        <v>31480</v>
      </c>
      <c r="B981" s="3">
        <v>45260</v>
      </c>
      <c r="C981" t="s">
        <v>37</v>
      </c>
      <c r="D981">
        <v>-1.0359898209571838E-2</v>
      </c>
    </row>
    <row r="982" spans="1:4" x14ac:dyDescent="0.25">
      <c r="A982">
        <v>31480</v>
      </c>
      <c r="B982" s="3">
        <v>45261</v>
      </c>
      <c r="C982" t="s">
        <v>37</v>
      </c>
      <c r="D982">
        <v>2.2039073519408703E-3</v>
      </c>
    </row>
    <row r="983" spans="1:4" x14ac:dyDescent="0.25">
      <c r="A983">
        <v>31480</v>
      </c>
      <c r="B983" s="3">
        <v>45264</v>
      </c>
      <c r="C983" t="s">
        <v>37</v>
      </c>
      <c r="D983">
        <v>-6.5970774739980698E-3</v>
      </c>
    </row>
    <row r="984" spans="1:4" x14ac:dyDescent="0.25">
      <c r="A984">
        <v>31480</v>
      </c>
      <c r="B984" s="3">
        <v>45265</v>
      </c>
      <c r="C984" t="s">
        <v>37</v>
      </c>
      <c r="D984">
        <v>7.1943039074540138E-3</v>
      </c>
    </row>
    <row r="985" spans="1:4" x14ac:dyDescent="0.25">
      <c r="A985">
        <v>31480</v>
      </c>
      <c r="B985" s="3">
        <v>45266</v>
      </c>
      <c r="C985" t="s">
        <v>37</v>
      </c>
      <c r="D985">
        <v>1.3186800293624401E-2</v>
      </c>
    </row>
    <row r="986" spans="1:4" x14ac:dyDescent="0.25">
      <c r="A986">
        <v>31480</v>
      </c>
      <c r="B986" s="3">
        <v>45267</v>
      </c>
      <c r="C986" t="s">
        <v>37</v>
      </c>
      <c r="D986">
        <v>2.3861095309257507E-2</v>
      </c>
    </row>
    <row r="987" spans="1:4" x14ac:dyDescent="0.25">
      <c r="A987">
        <v>31480</v>
      </c>
      <c r="B987" s="3">
        <v>45268</v>
      </c>
      <c r="C987" t="s">
        <v>37</v>
      </c>
      <c r="D987">
        <v>1.059346366673708E-3</v>
      </c>
    </row>
    <row r="988" spans="1:4" x14ac:dyDescent="0.25">
      <c r="A988">
        <v>31480</v>
      </c>
      <c r="B988" s="3">
        <v>45271</v>
      </c>
      <c r="C988" t="s">
        <v>37</v>
      </c>
      <c r="D988">
        <v>2.3280452936887741E-2</v>
      </c>
    </row>
    <row r="989" spans="1:4" x14ac:dyDescent="0.25">
      <c r="A989">
        <v>31480</v>
      </c>
      <c r="B989" s="3">
        <v>45272</v>
      </c>
      <c r="C989" t="s">
        <v>37</v>
      </c>
      <c r="D989">
        <v>5.0155084580183029E-2</v>
      </c>
    </row>
    <row r="990" spans="1:4" x14ac:dyDescent="0.25">
      <c r="A990">
        <v>31480</v>
      </c>
      <c r="B990" s="3">
        <v>45273</v>
      </c>
      <c r="C990" t="s">
        <v>37</v>
      </c>
      <c r="D990">
        <v>0.28212711215019226</v>
      </c>
    </row>
    <row r="991" spans="1:4" x14ac:dyDescent="0.25">
      <c r="A991">
        <v>31480</v>
      </c>
      <c r="B991" s="3">
        <v>45274</v>
      </c>
      <c r="C991" t="s">
        <v>37</v>
      </c>
      <c r="D991">
        <v>-0.1190476268529892</v>
      </c>
    </row>
    <row r="992" spans="1:4" x14ac:dyDescent="0.25">
      <c r="A992">
        <v>31480</v>
      </c>
      <c r="B992" s="3">
        <v>45275</v>
      </c>
      <c r="C992" t="s">
        <v>37</v>
      </c>
      <c r="D992">
        <v>-6.1029335483908653E-3</v>
      </c>
    </row>
    <row r="993" spans="1:4" x14ac:dyDescent="0.25">
      <c r="A993">
        <v>31480</v>
      </c>
      <c r="B993" s="3">
        <v>45278</v>
      </c>
      <c r="C993" t="s">
        <v>37</v>
      </c>
      <c r="D993">
        <v>-7.6315782964229584E-2</v>
      </c>
    </row>
    <row r="994" spans="1:4" x14ac:dyDescent="0.25">
      <c r="A994">
        <v>31480</v>
      </c>
      <c r="B994" s="3">
        <v>45279</v>
      </c>
      <c r="C994" t="s">
        <v>37</v>
      </c>
      <c r="D994">
        <v>3.2288715243339539E-2</v>
      </c>
    </row>
    <row r="995" spans="1:4" x14ac:dyDescent="0.25">
      <c r="A995">
        <v>31480</v>
      </c>
      <c r="B995" s="3">
        <v>45280</v>
      </c>
      <c r="C995" t="s">
        <v>37</v>
      </c>
      <c r="D995">
        <v>-3.541860356926918E-2</v>
      </c>
    </row>
    <row r="996" spans="1:4" x14ac:dyDescent="0.25">
      <c r="A996">
        <v>31480</v>
      </c>
      <c r="B996" s="3">
        <v>45281</v>
      </c>
      <c r="C996" t="s">
        <v>37</v>
      </c>
      <c r="D996">
        <v>-9.5367437461391091E-4</v>
      </c>
    </row>
    <row r="997" spans="1:4" x14ac:dyDescent="0.25">
      <c r="A997">
        <v>31480</v>
      </c>
      <c r="B997" s="3">
        <v>45282</v>
      </c>
      <c r="C997" t="s">
        <v>37</v>
      </c>
      <c r="D997">
        <v>2.1956996992230415E-2</v>
      </c>
    </row>
    <row r="998" spans="1:4" x14ac:dyDescent="0.25">
      <c r="A998">
        <v>31480</v>
      </c>
      <c r="B998" s="3">
        <v>45286</v>
      </c>
      <c r="C998" t="s">
        <v>37</v>
      </c>
      <c r="D998">
        <v>3.9234008640050888E-2</v>
      </c>
    </row>
    <row r="999" spans="1:4" x14ac:dyDescent="0.25">
      <c r="A999">
        <v>31480</v>
      </c>
      <c r="B999" s="3">
        <v>45287</v>
      </c>
      <c r="C999" t="s">
        <v>37</v>
      </c>
      <c r="D999">
        <v>-6.7415558733046055E-3</v>
      </c>
    </row>
    <row r="1000" spans="1:4" x14ac:dyDescent="0.25">
      <c r="A1000">
        <v>31480</v>
      </c>
      <c r="B1000" s="3">
        <v>45288</v>
      </c>
      <c r="C1000" t="s">
        <v>37</v>
      </c>
      <c r="D1000">
        <v>-2.2624952252954245E-3</v>
      </c>
    </row>
    <row r="1001" spans="1:4" x14ac:dyDescent="0.25">
      <c r="A1001">
        <v>31480</v>
      </c>
      <c r="B1001" s="3">
        <v>45289</v>
      </c>
      <c r="C1001" t="s">
        <v>37</v>
      </c>
      <c r="D1001">
        <v>-2.2675392683595419E-3</v>
      </c>
    </row>
    <row r="1002" spans="1:4" x14ac:dyDescent="0.25">
      <c r="A1002">
        <v>42877</v>
      </c>
      <c r="B1002" s="3">
        <v>44929</v>
      </c>
      <c r="C1002" t="s">
        <v>28</v>
      </c>
      <c r="D1002">
        <v>-1.0094027034938335E-2</v>
      </c>
    </row>
    <row r="1003" spans="1:4" x14ac:dyDescent="0.25">
      <c r="A1003">
        <v>42877</v>
      </c>
      <c r="B1003" s="3">
        <v>44930</v>
      </c>
      <c r="C1003" t="s">
        <v>28</v>
      </c>
      <c r="D1003">
        <v>1.3789047487080097E-2</v>
      </c>
    </row>
    <row r="1004" spans="1:4" x14ac:dyDescent="0.25">
      <c r="A1004">
        <v>42877</v>
      </c>
      <c r="B1004" s="3">
        <v>44931</v>
      </c>
      <c r="C1004" t="s">
        <v>28</v>
      </c>
      <c r="D1004">
        <v>-3.3032339066267014E-2</v>
      </c>
    </row>
    <row r="1005" spans="1:4" x14ac:dyDescent="0.25">
      <c r="A1005">
        <v>42877</v>
      </c>
      <c r="B1005" s="3">
        <v>44932</v>
      </c>
      <c r="C1005" t="s">
        <v>28</v>
      </c>
      <c r="D1005">
        <v>4.0425509214401245E-2</v>
      </c>
    </row>
    <row r="1006" spans="1:4" x14ac:dyDescent="0.25">
      <c r="A1006">
        <v>42877</v>
      </c>
      <c r="B1006" s="3">
        <v>44935</v>
      </c>
      <c r="C1006" t="s">
        <v>28</v>
      </c>
      <c r="D1006">
        <v>9.0888785198330879E-3</v>
      </c>
    </row>
    <row r="1007" spans="1:4" x14ac:dyDescent="0.25">
      <c r="A1007">
        <v>42877</v>
      </c>
      <c r="B1007" s="3">
        <v>44936</v>
      </c>
      <c r="C1007" t="s">
        <v>28</v>
      </c>
      <c r="D1007">
        <v>-1.272232923656702E-2</v>
      </c>
    </row>
    <row r="1008" spans="1:4" x14ac:dyDescent="0.25">
      <c r="A1008">
        <v>42877</v>
      </c>
      <c r="B1008" s="3">
        <v>44937</v>
      </c>
      <c r="C1008" t="s">
        <v>28</v>
      </c>
      <c r="D1008">
        <v>3.0220022425055504E-2</v>
      </c>
    </row>
    <row r="1009" spans="1:4" x14ac:dyDescent="0.25">
      <c r="A1009">
        <v>42877</v>
      </c>
      <c r="B1009" s="3">
        <v>44938</v>
      </c>
      <c r="C1009" t="s">
        <v>28</v>
      </c>
      <c r="D1009">
        <v>-5.700679961591959E-3</v>
      </c>
    </row>
    <row r="1010" spans="1:4" x14ac:dyDescent="0.25">
      <c r="A1010">
        <v>42877</v>
      </c>
      <c r="B1010" s="3">
        <v>44939</v>
      </c>
      <c r="C1010" t="s">
        <v>28</v>
      </c>
      <c r="D1010">
        <v>-1.5864130109548569E-2</v>
      </c>
    </row>
    <row r="1011" spans="1:4" x14ac:dyDescent="0.25">
      <c r="A1011">
        <v>42877</v>
      </c>
      <c r="B1011" s="3">
        <v>44943</v>
      </c>
      <c r="C1011" t="s">
        <v>28</v>
      </c>
      <c r="D1011">
        <v>-2.8846706263720989E-3</v>
      </c>
    </row>
    <row r="1012" spans="1:4" x14ac:dyDescent="0.25">
      <c r="A1012">
        <v>42877</v>
      </c>
      <c r="B1012" s="3">
        <v>44944</v>
      </c>
      <c r="C1012" t="s">
        <v>28</v>
      </c>
      <c r="D1012">
        <v>4.9520742148160934E-2</v>
      </c>
    </row>
    <row r="1013" spans="1:4" x14ac:dyDescent="0.25">
      <c r="A1013">
        <v>42877</v>
      </c>
      <c r="B1013" s="3">
        <v>44945</v>
      </c>
      <c r="C1013" t="s">
        <v>28</v>
      </c>
      <c r="D1013">
        <v>-1.026929123327136E-3</v>
      </c>
    </row>
    <row r="1014" spans="1:4" x14ac:dyDescent="0.25">
      <c r="A1014">
        <v>42877</v>
      </c>
      <c r="B1014" s="3">
        <v>44946</v>
      </c>
      <c r="C1014" t="s">
        <v>28</v>
      </c>
      <c r="D1014">
        <v>2.3102333769202232E-2</v>
      </c>
    </row>
    <row r="1015" spans="1:4" x14ac:dyDescent="0.25">
      <c r="A1015">
        <v>42877</v>
      </c>
      <c r="B1015" s="3">
        <v>44949</v>
      </c>
      <c r="C1015" t="s">
        <v>28</v>
      </c>
      <c r="D1015">
        <v>2.3902637884020805E-2</v>
      </c>
    </row>
    <row r="1016" spans="1:4" x14ac:dyDescent="0.25">
      <c r="A1016">
        <v>42877</v>
      </c>
      <c r="B1016" s="3">
        <v>44950</v>
      </c>
      <c r="C1016" t="s">
        <v>28</v>
      </c>
      <c r="D1016">
        <v>-8.9866248890757561E-3</v>
      </c>
    </row>
    <row r="1017" spans="1:4" x14ac:dyDescent="0.25">
      <c r="A1017">
        <v>42877</v>
      </c>
      <c r="B1017" s="3">
        <v>44951</v>
      </c>
      <c r="C1017" t="s">
        <v>28</v>
      </c>
      <c r="D1017">
        <v>-1.7041923478245735E-2</v>
      </c>
    </row>
    <row r="1018" spans="1:4" x14ac:dyDescent="0.25">
      <c r="A1018">
        <v>42877</v>
      </c>
      <c r="B1018" s="3">
        <v>44952</v>
      </c>
      <c r="C1018" t="s">
        <v>28</v>
      </c>
      <c r="D1018">
        <v>5.8321724645793438E-4</v>
      </c>
    </row>
    <row r="1019" spans="1:4" x14ac:dyDescent="0.25">
      <c r="A1019">
        <v>42877</v>
      </c>
      <c r="B1019" s="3">
        <v>44953</v>
      </c>
      <c r="C1019" t="s">
        <v>28</v>
      </c>
      <c r="D1019">
        <v>1.5313688665628433E-2</v>
      </c>
    </row>
    <row r="1020" spans="1:4" x14ac:dyDescent="0.25">
      <c r="A1020">
        <v>42877</v>
      </c>
      <c r="B1020" s="3">
        <v>44956</v>
      </c>
      <c r="C1020" t="s">
        <v>28</v>
      </c>
      <c r="D1020">
        <v>-3.0374236404895782E-2</v>
      </c>
    </row>
    <row r="1021" spans="1:4" x14ac:dyDescent="0.25">
      <c r="A1021">
        <v>42877</v>
      </c>
      <c r="B1021" s="3">
        <v>44957</v>
      </c>
      <c r="C1021" t="s">
        <v>28</v>
      </c>
      <c r="D1021">
        <v>1.7546745017170906E-2</v>
      </c>
    </row>
    <row r="1022" spans="1:4" x14ac:dyDescent="0.25">
      <c r="A1022">
        <v>42877</v>
      </c>
      <c r="B1022" s="3">
        <v>44958</v>
      </c>
      <c r="C1022" t="s">
        <v>28</v>
      </c>
      <c r="D1022">
        <v>3.6551196128129959E-2</v>
      </c>
    </row>
    <row r="1023" spans="1:4" x14ac:dyDescent="0.25">
      <c r="A1023">
        <v>42877</v>
      </c>
      <c r="B1023" s="3">
        <v>44959</v>
      </c>
      <c r="C1023" t="s">
        <v>28</v>
      </c>
      <c r="D1023">
        <v>7.0932810194790363E-3</v>
      </c>
    </row>
    <row r="1024" spans="1:4" x14ac:dyDescent="0.25">
      <c r="A1024">
        <v>42877</v>
      </c>
      <c r="B1024" s="3">
        <v>44960</v>
      </c>
      <c r="C1024" t="s">
        <v>28</v>
      </c>
      <c r="D1024">
        <v>2.7362213004380465E-3</v>
      </c>
    </row>
    <row r="1025" spans="1:4" x14ac:dyDescent="0.25">
      <c r="A1025">
        <v>42877</v>
      </c>
      <c r="B1025" s="3">
        <v>44963</v>
      </c>
      <c r="C1025" t="s">
        <v>28</v>
      </c>
      <c r="D1025">
        <v>-4.0931706316769123E-3</v>
      </c>
    </row>
    <row r="1026" spans="1:4" x14ac:dyDescent="0.25">
      <c r="A1026">
        <v>42877</v>
      </c>
      <c r="B1026" s="3">
        <v>44964</v>
      </c>
      <c r="C1026" t="s">
        <v>28</v>
      </c>
      <c r="D1026">
        <v>1.43088698387146E-2</v>
      </c>
    </row>
    <row r="1027" spans="1:4" x14ac:dyDescent="0.25">
      <c r="A1027">
        <v>42877</v>
      </c>
      <c r="B1027" s="3">
        <v>44965</v>
      </c>
      <c r="C1027" t="s">
        <v>28</v>
      </c>
      <c r="D1027">
        <v>-1.0855418629944324E-2</v>
      </c>
    </row>
    <row r="1028" spans="1:4" x14ac:dyDescent="0.25">
      <c r="A1028">
        <v>42877</v>
      </c>
      <c r="B1028" s="3">
        <v>44966</v>
      </c>
      <c r="C1028" t="s">
        <v>28</v>
      </c>
      <c r="D1028">
        <v>-3.0344400554895401E-2</v>
      </c>
    </row>
    <row r="1029" spans="1:4" x14ac:dyDescent="0.25">
      <c r="A1029">
        <v>42877</v>
      </c>
      <c r="B1029" s="3">
        <v>44967</v>
      </c>
      <c r="C1029" t="s">
        <v>28</v>
      </c>
      <c r="D1029">
        <v>-3.711209399625659E-3</v>
      </c>
    </row>
    <row r="1030" spans="1:4" x14ac:dyDescent="0.25">
      <c r="A1030">
        <v>42877</v>
      </c>
      <c r="B1030" s="3">
        <v>44970</v>
      </c>
      <c r="C1030" t="s">
        <v>28</v>
      </c>
      <c r="D1030">
        <v>6.6106738522648811E-3</v>
      </c>
    </row>
    <row r="1031" spans="1:4" x14ac:dyDescent="0.25">
      <c r="A1031">
        <v>42877</v>
      </c>
      <c r="B1031" s="3">
        <v>44971</v>
      </c>
      <c r="C1031" t="s">
        <v>28</v>
      </c>
      <c r="D1031">
        <v>1.297824177891016E-2</v>
      </c>
    </row>
    <row r="1032" spans="1:4" x14ac:dyDescent="0.25">
      <c r="A1032">
        <v>42877</v>
      </c>
      <c r="B1032" s="3">
        <v>44972</v>
      </c>
      <c r="C1032" t="s">
        <v>28</v>
      </c>
      <c r="D1032">
        <v>-1.0033506900072098E-2</v>
      </c>
    </row>
    <row r="1033" spans="1:4" x14ac:dyDescent="0.25">
      <c r="A1033">
        <v>42877</v>
      </c>
      <c r="B1033" s="3">
        <v>44973</v>
      </c>
      <c r="C1033" t="s">
        <v>28</v>
      </c>
      <c r="D1033">
        <v>-2.312888391315937E-2</v>
      </c>
    </row>
    <row r="1034" spans="1:4" x14ac:dyDescent="0.25">
      <c r="A1034">
        <v>42877</v>
      </c>
      <c r="B1034" s="3">
        <v>44974</v>
      </c>
      <c r="C1034" t="s">
        <v>28</v>
      </c>
      <c r="D1034">
        <v>2.1282744128257036E-3</v>
      </c>
    </row>
    <row r="1035" spans="1:4" x14ac:dyDescent="0.25">
      <c r="A1035">
        <v>42877</v>
      </c>
      <c r="B1035" s="3">
        <v>44978</v>
      </c>
      <c r="C1035" t="s">
        <v>28</v>
      </c>
      <c r="D1035">
        <v>-2.3095332086086273E-2</v>
      </c>
    </row>
    <row r="1036" spans="1:4" x14ac:dyDescent="0.25">
      <c r="A1036">
        <v>42877</v>
      </c>
      <c r="B1036" s="3">
        <v>44979</v>
      </c>
      <c r="C1036" t="s">
        <v>28</v>
      </c>
      <c r="D1036">
        <v>-7.7173812314867973E-3</v>
      </c>
    </row>
    <row r="1037" spans="1:4" x14ac:dyDescent="0.25">
      <c r="A1037">
        <v>42877</v>
      </c>
      <c r="B1037" s="3">
        <v>44980</v>
      </c>
      <c r="C1037" t="s">
        <v>28</v>
      </c>
      <c r="D1037">
        <v>1.2980584055185318E-2</v>
      </c>
    </row>
    <row r="1038" spans="1:4" x14ac:dyDescent="0.25">
      <c r="A1038">
        <v>42877</v>
      </c>
      <c r="B1038" s="3">
        <v>44981</v>
      </c>
      <c r="C1038" t="s">
        <v>28</v>
      </c>
      <c r="D1038">
        <v>-7.6237018220126629E-3</v>
      </c>
    </row>
    <row r="1039" spans="1:4" x14ac:dyDescent="0.25">
      <c r="A1039">
        <v>42877</v>
      </c>
      <c r="B1039" s="3">
        <v>44984</v>
      </c>
      <c r="C1039" t="s">
        <v>28</v>
      </c>
      <c r="D1039">
        <v>2.6697476860135794E-3</v>
      </c>
    </row>
    <row r="1040" spans="1:4" x14ac:dyDescent="0.25">
      <c r="A1040">
        <v>42877</v>
      </c>
      <c r="B1040" s="3">
        <v>44985</v>
      </c>
      <c r="C1040" t="s">
        <v>28</v>
      </c>
      <c r="D1040">
        <v>-1.7605854198336601E-2</v>
      </c>
    </row>
    <row r="1041" spans="1:4" x14ac:dyDescent="0.25">
      <c r="A1041">
        <v>42877</v>
      </c>
      <c r="B1041" s="3">
        <v>44986</v>
      </c>
      <c r="C1041" t="s">
        <v>28</v>
      </c>
      <c r="D1041">
        <v>7.5225434266030788E-3</v>
      </c>
    </row>
    <row r="1042" spans="1:4" x14ac:dyDescent="0.25">
      <c r="A1042">
        <v>42877</v>
      </c>
      <c r="B1042" s="3">
        <v>44987</v>
      </c>
      <c r="C1042" t="s">
        <v>28</v>
      </c>
      <c r="D1042">
        <v>2.0312996581196785E-2</v>
      </c>
    </row>
    <row r="1043" spans="1:4" x14ac:dyDescent="0.25">
      <c r="A1043">
        <v>42877</v>
      </c>
      <c r="B1043" s="3">
        <v>44988</v>
      </c>
      <c r="C1043" t="s">
        <v>28</v>
      </c>
      <c r="D1043">
        <v>4.2507033795118332E-3</v>
      </c>
    </row>
    <row r="1044" spans="1:4" x14ac:dyDescent="0.25">
      <c r="A1044">
        <v>42877</v>
      </c>
      <c r="B1044" s="3">
        <v>44991</v>
      </c>
      <c r="C1044" t="s">
        <v>28</v>
      </c>
      <c r="D1044">
        <v>-6.2151933088898659E-3</v>
      </c>
    </row>
    <row r="1045" spans="1:4" x14ac:dyDescent="0.25">
      <c r="A1045">
        <v>42877</v>
      </c>
      <c r="B1045" s="3">
        <v>44992</v>
      </c>
      <c r="C1045" t="s">
        <v>28</v>
      </c>
      <c r="D1045">
        <v>-2.3991789668798447E-2</v>
      </c>
    </row>
    <row r="1046" spans="1:4" x14ac:dyDescent="0.25">
      <c r="A1046">
        <v>42877</v>
      </c>
      <c r="B1046" s="3">
        <v>44993</v>
      </c>
      <c r="C1046" t="s">
        <v>28</v>
      </c>
      <c r="D1046">
        <v>1.414128951728344E-2</v>
      </c>
    </row>
    <row r="1047" spans="1:4" x14ac:dyDescent="0.25">
      <c r="A1047">
        <v>42877</v>
      </c>
      <c r="B1047" s="3">
        <v>44994</v>
      </c>
      <c r="C1047" t="s">
        <v>28</v>
      </c>
      <c r="D1047">
        <v>-2.167871780693531E-2</v>
      </c>
    </row>
    <row r="1048" spans="1:4" x14ac:dyDescent="0.25">
      <c r="A1048">
        <v>42877</v>
      </c>
      <c r="B1048" s="3">
        <v>44995</v>
      </c>
      <c r="C1048" t="s">
        <v>28</v>
      </c>
      <c r="D1048">
        <v>-2.3161314427852631E-2</v>
      </c>
    </row>
    <row r="1049" spans="1:4" x14ac:dyDescent="0.25">
      <c r="A1049">
        <v>42877</v>
      </c>
      <c r="B1049" s="3">
        <v>44998</v>
      </c>
      <c r="C1049" t="s">
        <v>28</v>
      </c>
      <c r="D1049">
        <v>-1.0829261504113674E-2</v>
      </c>
    </row>
    <row r="1050" spans="1:4" x14ac:dyDescent="0.25">
      <c r="A1050">
        <v>42877</v>
      </c>
      <c r="B1050" s="3">
        <v>44999</v>
      </c>
      <c r="C1050" t="s">
        <v>28</v>
      </c>
      <c r="D1050">
        <v>-3.01353819668293E-2</v>
      </c>
    </row>
    <row r="1051" spans="1:4" x14ac:dyDescent="0.25">
      <c r="A1051">
        <v>42877</v>
      </c>
      <c r="B1051" s="3">
        <v>45000</v>
      </c>
      <c r="C1051" t="s">
        <v>28</v>
      </c>
      <c r="D1051">
        <v>2.6734608691185713E-3</v>
      </c>
    </row>
    <row r="1052" spans="1:4" x14ac:dyDescent="0.25">
      <c r="A1052">
        <v>42877</v>
      </c>
      <c r="B1052" s="3">
        <v>45001</v>
      </c>
      <c r="C1052" t="s">
        <v>28</v>
      </c>
      <c r="D1052">
        <v>1.7301641404628754E-2</v>
      </c>
    </row>
    <row r="1053" spans="1:4" x14ac:dyDescent="0.25">
      <c r="A1053">
        <v>42877</v>
      </c>
      <c r="B1053" s="3">
        <v>45002</v>
      </c>
      <c r="C1053" t="s">
        <v>28</v>
      </c>
      <c r="D1053">
        <v>-2.4404464289546013E-2</v>
      </c>
    </row>
    <row r="1054" spans="1:4" x14ac:dyDescent="0.25">
      <c r="A1054">
        <v>42877</v>
      </c>
      <c r="B1054" s="3">
        <v>45005</v>
      </c>
      <c r="C1054" t="s">
        <v>28</v>
      </c>
      <c r="D1054">
        <v>-1.0985053144395351E-2</v>
      </c>
    </row>
    <row r="1055" spans="1:4" x14ac:dyDescent="0.25">
      <c r="A1055">
        <v>42877</v>
      </c>
      <c r="B1055" s="3">
        <v>45006</v>
      </c>
      <c r="C1055" t="s">
        <v>28</v>
      </c>
      <c r="D1055">
        <v>2.8492098674178123E-2</v>
      </c>
    </row>
    <row r="1056" spans="1:4" x14ac:dyDescent="0.25">
      <c r="A1056">
        <v>42877</v>
      </c>
      <c r="B1056" s="3">
        <v>45007</v>
      </c>
      <c r="C1056" t="s">
        <v>28</v>
      </c>
      <c r="D1056">
        <v>-1.9838036969304085E-2</v>
      </c>
    </row>
    <row r="1057" spans="1:4" x14ac:dyDescent="0.25">
      <c r="A1057">
        <v>42877</v>
      </c>
      <c r="B1057" s="3">
        <v>45008</v>
      </c>
      <c r="C1057" t="s">
        <v>28</v>
      </c>
      <c r="D1057">
        <v>-6.2275049276649952E-3</v>
      </c>
    </row>
    <row r="1058" spans="1:4" x14ac:dyDescent="0.25">
      <c r="A1058">
        <v>42877</v>
      </c>
      <c r="B1058" s="3">
        <v>45009</v>
      </c>
      <c r="C1058" t="s">
        <v>28</v>
      </c>
      <c r="D1058">
        <v>8.4357307059690356E-4</v>
      </c>
    </row>
    <row r="1059" spans="1:4" x14ac:dyDescent="0.25">
      <c r="A1059">
        <v>42877</v>
      </c>
      <c r="B1059" s="3">
        <v>45012</v>
      </c>
      <c r="C1059" t="s">
        <v>28</v>
      </c>
      <c r="D1059">
        <v>1.9084876403212547E-2</v>
      </c>
    </row>
    <row r="1060" spans="1:4" x14ac:dyDescent="0.25">
      <c r="A1060">
        <v>42877</v>
      </c>
      <c r="B1060" s="3">
        <v>45013</v>
      </c>
      <c r="C1060" t="s">
        <v>28</v>
      </c>
      <c r="D1060">
        <v>1.1992666870355606E-2</v>
      </c>
    </row>
    <row r="1061" spans="1:4" x14ac:dyDescent="0.25">
      <c r="A1061">
        <v>42877</v>
      </c>
      <c r="B1061" s="3">
        <v>45014</v>
      </c>
      <c r="C1061" t="s">
        <v>28</v>
      </c>
      <c r="D1061">
        <v>-1.4010828454047441E-3</v>
      </c>
    </row>
    <row r="1062" spans="1:4" x14ac:dyDescent="0.25">
      <c r="A1062">
        <v>42877</v>
      </c>
      <c r="B1062" s="3">
        <v>45015</v>
      </c>
      <c r="C1062" t="s">
        <v>28</v>
      </c>
      <c r="D1062">
        <v>-7.658117450773716E-3</v>
      </c>
    </row>
    <row r="1063" spans="1:4" x14ac:dyDescent="0.25">
      <c r="A1063">
        <v>42877</v>
      </c>
      <c r="B1063" s="3">
        <v>45016</v>
      </c>
      <c r="C1063" t="s">
        <v>28</v>
      </c>
      <c r="D1063">
        <v>3.3637743443250656E-2</v>
      </c>
    </row>
    <row r="1064" spans="1:4" x14ac:dyDescent="0.25">
      <c r="A1064">
        <v>42877</v>
      </c>
      <c r="B1064" s="3">
        <v>45019</v>
      </c>
      <c r="C1064" t="s">
        <v>28</v>
      </c>
      <c r="D1064">
        <v>-1.1626630090177059E-2</v>
      </c>
    </row>
    <row r="1065" spans="1:4" x14ac:dyDescent="0.25">
      <c r="A1065">
        <v>42877</v>
      </c>
      <c r="B1065" s="3">
        <v>45020</v>
      </c>
      <c r="C1065" t="s">
        <v>28</v>
      </c>
      <c r="D1065">
        <v>-1.3147265650331974E-2</v>
      </c>
    </row>
    <row r="1066" spans="1:4" x14ac:dyDescent="0.25">
      <c r="A1066">
        <v>42877</v>
      </c>
      <c r="B1066" s="3">
        <v>45021</v>
      </c>
      <c r="C1066" t="s">
        <v>28</v>
      </c>
      <c r="D1066">
        <v>-5.1420177333056927E-3</v>
      </c>
    </row>
    <row r="1067" spans="1:4" x14ac:dyDescent="0.25">
      <c r="A1067">
        <v>42877</v>
      </c>
      <c r="B1067" s="3">
        <v>45022</v>
      </c>
      <c r="C1067" t="s">
        <v>28</v>
      </c>
      <c r="D1067">
        <v>-1.3508500996977091E-3</v>
      </c>
    </row>
    <row r="1068" spans="1:4" x14ac:dyDescent="0.25">
      <c r="A1068">
        <v>42877</v>
      </c>
      <c r="B1068" s="3">
        <v>45026</v>
      </c>
      <c r="C1068" t="s">
        <v>28</v>
      </c>
      <c r="D1068">
        <v>2.4172209203243256E-2</v>
      </c>
    </row>
    <row r="1069" spans="1:4" x14ac:dyDescent="0.25">
      <c r="A1069">
        <v>42877</v>
      </c>
      <c r="B1069" s="3">
        <v>45027</v>
      </c>
      <c r="C1069" t="s">
        <v>28</v>
      </c>
      <c r="D1069">
        <v>7.9246861860156059E-3</v>
      </c>
    </row>
    <row r="1070" spans="1:4" x14ac:dyDescent="0.25">
      <c r="A1070">
        <v>42877</v>
      </c>
      <c r="B1070" s="3">
        <v>45028</v>
      </c>
      <c r="C1070" t="s">
        <v>28</v>
      </c>
      <c r="D1070">
        <v>-2.8488520183600485E-4</v>
      </c>
    </row>
    <row r="1071" spans="1:4" x14ac:dyDescent="0.25">
      <c r="A1071">
        <v>42877</v>
      </c>
      <c r="B1071" s="3">
        <v>45029</v>
      </c>
      <c r="C1071" t="s">
        <v>28</v>
      </c>
      <c r="D1071">
        <v>-4.844167735427618E-3</v>
      </c>
    </row>
    <row r="1072" spans="1:4" x14ac:dyDescent="0.25">
      <c r="A1072">
        <v>42877</v>
      </c>
      <c r="B1072" s="3">
        <v>45030</v>
      </c>
      <c r="C1072" t="s">
        <v>28</v>
      </c>
      <c r="D1072">
        <v>1.2312502600252628E-2</v>
      </c>
    </row>
    <row r="1073" spans="1:4" x14ac:dyDescent="0.25">
      <c r="A1073">
        <v>42877</v>
      </c>
      <c r="B1073" s="3">
        <v>45033</v>
      </c>
      <c r="C1073" t="s">
        <v>28</v>
      </c>
      <c r="D1073">
        <v>-6.7890691570937634E-4</v>
      </c>
    </row>
    <row r="1074" spans="1:4" x14ac:dyDescent="0.25">
      <c r="A1074">
        <v>42877</v>
      </c>
      <c r="B1074" s="3">
        <v>45034</v>
      </c>
      <c r="C1074" t="s">
        <v>28</v>
      </c>
      <c r="D1074">
        <v>-9.7933532670140266E-3</v>
      </c>
    </row>
    <row r="1075" spans="1:4" x14ac:dyDescent="0.25">
      <c r="A1075">
        <v>42877</v>
      </c>
      <c r="B1075" s="3">
        <v>45035</v>
      </c>
      <c r="C1075" t="s">
        <v>28</v>
      </c>
      <c r="D1075">
        <v>1.9952010363340378E-2</v>
      </c>
    </row>
    <row r="1076" spans="1:4" x14ac:dyDescent="0.25">
      <c r="A1076">
        <v>42877</v>
      </c>
      <c r="B1076" s="3">
        <v>45036</v>
      </c>
      <c r="C1076" t="s">
        <v>28</v>
      </c>
      <c r="D1076">
        <v>1.1994839645922184E-2</v>
      </c>
    </row>
    <row r="1077" spans="1:4" x14ac:dyDescent="0.25">
      <c r="A1077">
        <v>42877</v>
      </c>
      <c r="B1077" s="3">
        <v>45037</v>
      </c>
      <c r="C1077" t="s">
        <v>28</v>
      </c>
      <c r="D1077">
        <v>-2.2874576970934868E-2</v>
      </c>
    </row>
    <row r="1078" spans="1:4" x14ac:dyDescent="0.25">
      <c r="A1078">
        <v>42877</v>
      </c>
      <c r="B1078" s="3">
        <v>45040</v>
      </c>
      <c r="C1078" t="s">
        <v>28</v>
      </c>
      <c r="D1078">
        <v>0</v>
      </c>
    </row>
    <row r="1079" spans="1:4" x14ac:dyDescent="0.25">
      <c r="A1079">
        <v>42877</v>
      </c>
      <c r="B1079" s="3">
        <v>45041</v>
      </c>
      <c r="C1079" t="s">
        <v>28</v>
      </c>
      <c r="D1079">
        <v>-2.1936260163784027E-2</v>
      </c>
    </row>
    <row r="1080" spans="1:4" x14ac:dyDescent="0.25">
      <c r="A1080">
        <v>42877</v>
      </c>
      <c r="B1080" s="3">
        <v>45042</v>
      </c>
      <c r="C1080" t="s">
        <v>28</v>
      </c>
      <c r="D1080">
        <v>-4.0162317454814911E-2</v>
      </c>
    </row>
    <row r="1081" spans="1:4" x14ac:dyDescent="0.25">
      <c r="A1081">
        <v>42877</v>
      </c>
      <c r="B1081" s="3">
        <v>45043</v>
      </c>
      <c r="C1081" t="s">
        <v>28</v>
      </c>
      <c r="D1081">
        <v>2.6868810877203941E-2</v>
      </c>
    </row>
    <row r="1082" spans="1:4" x14ac:dyDescent="0.25">
      <c r="A1082">
        <v>42877</v>
      </c>
      <c r="B1082" s="3">
        <v>45044</v>
      </c>
      <c r="C1082" t="s">
        <v>28</v>
      </c>
      <c r="D1082">
        <v>3.0693160369992256E-2</v>
      </c>
    </row>
    <row r="1083" spans="1:4" x14ac:dyDescent="0.25">
      <c r="A1083">
        <v>42877</v>
      </c>
      <c r="B1083" s="3">
        <v>45047</v>
      </c>
      <c r="C1083" t="s">
        <v>28</v>
      </c>
      <c r="D1083">
        <v>6.7317471839487553E-3</v>
      </c>
    </row>
    <row r="1084" spans="1:4" x14ac:dyDescent="0.25">
      <c r="A1084">
        <v>42877</v>
      </c>
      <c r="B1084" s="3">
        <v>45048</v>
      </c>
      <c r="C1084" t="s">
        <v>28</v>
      </c>
      <c r="D1084">
        <v>-6.6300118342041969E-3</v>
      </c>
    </row>
    <row r="1085" spans="1:4" x14ac:dyDescent="0.25">
      <c r="A1085">
        <v>42877</v>
      </c>
      <c r="B1085" s="3">
        <v>45049</v>
      </c>
      <c r="C1085" t="s">
        <v>28</v>
      </c>
      <c r="D1085">
        <v>-2.0536258816719055E-3</v>
      </c>
    </row>
    <row r="1086" spans="1:4" x14ac:dyDescent="0.25">
      <c r="A1086">
        <v>42877</v>
      </c>
      <c r="B1086" s="3">
        <v>45050</v>
      </c>
      <c r="C1086" t="s">
        <v>28</v>
      </c>
      <c r="D1086">
        <v>1.7148038023151457E-4</v>
      </c>
    </row>
    <row r="1087" spans="1:4" x14ac:dyDescent="0.25">
      <c r="A1087">
        <v>42877</v>
      </c>
      <c r="B1087" s="3">
        <v>45051</v>
      </c>
      <c r="C1087" t="s">
        <v>28</v>
      </c>
      <c r="D1087">
        <v>2.3718316107988358E-2</v>
      </c>
    </row>
    <row r="1088" spans="1:4" x14ac:dyDescent="0.25">
      <c r="A1088">
        <v>42877</v>
      </c>
      <c r="B1088" s="3">
        <v>45054</v>
      </c>
      <c r="C1088" t="s">
        <v>28</v>
      </c>
      <c r="D1088">
        <v>-4.6337754465639591E-3</v>
      </c>
    </row>
    <row r="1089" spans="1:4" x14ac:dyDescent="0.25">
      <c r="A1089">
        <v>42877</v>
      </c>
      <c r="B1089" s="3">
        <v>45055</v>
      </c>
      <c r="C1089" t="s">
        <v>28</v>
      </c>
      <c r="D1089">
        <v>-1.3348980806767941E-2</v>
      </c>
    </row>
    <row r="1090" spans="1:4" x14ac:dyDescent="0.25">
      <c r="A1090">
        <v>42877</v>
      </c>
      <c r="B1090" s="3">
        <v>45056</v>
      </c>
      <c r="C1090" t="s">
        <v>28</v>
      </c>
      <c r="D1090">
        <v>3.9792903698980808E-3</v>
      </c>
    </row>
    <row r="1091" spans="1:4" x14ac:dyDescent="0.25">
      <c r="A1091">
        <v>42877</v>
      </c>
      <c r="B1091" s="3">
        <v>45057</v>
      </c>
      <c r="C1091" t="s">
        <v>28</v>
      </c>
      <c r="D1091">
        <v>8.493047789670527E-4</v>
      </c>
    </row>
    <row r="1092" spans="1:4" x14ac:dyDescent="0.25">
      <c r="A1092">
        <v>42877</v>
      </c>
      <c r="B1092" s="3">
        <v>45058</v>
      </c>
      <c r="C1092" t="s">
        <v>28</v>
      </c>
      <c r="D1092">
        <v>-1.8713952740654349E-3</v>
      </c>
    </row>
    <row r="1093" spans="1:4" x14ac:dyDescent="0.25">
      <c r="A1093">
        <v>42877</v>
      </c>
      <c r="B1093" s="3">
        <v>45061</v>
      </c>
      <c r="C1093" t="s">
        <v>28</v>
      </c>
      <c r="D1093">
        <v>-2.6703097391873598E-3</v>
      </c>
    </row>
    <row r="1094" spans="1:4" x14ac:dyDescent="0.25">
      <c r="A1094">
        <v>42877</v>
      </c>
      <c r="B1094" s="3">
        <v>45062</v>
      </c>
      <c r="C1094" t="s">
        <v>28</v>
      </c>
      <c r="D1094">
        <v>-2.569212019443512E-2</v>
      </c>
    </row>
    <row r="1095" spans="1:4" x14ac:dyDescent="0.25">
      <c r="A1095">
        <v>42877</v>
      </c>
      <c r="B1095" s="3">
        <v>45063</v>
      </c>
      <c r="C1095" t="s">
        <v>28</v>
      </c>
      <c r="D1095">
        <v>6.3731293193995953E-3</v>
      </c>
    </row>
    <row r="1096" spans="1:4" x14ac:dyDescent="0.25">
      <c r="A1096">
        <v>42877</v>
      </c>
      <c r="B1096" s="3">
        <v>45064</v>
      </c>
      <c r="C1096" t="s">
        <v>28</v>
      </c>
      <c r="D1096">
        <v>-8.3081144839525223E-3</v>
      </c>
    </row>
    <row r="1097" spans="1:4" x14ac:dyDescent="0.25">
      <c r="A1097">
        <v>42877</v>
      </c>
      <c r="B1097" s="3">
        <v>45065</v>
      </c>
      <c r="C1097" t="s">
        <v>28</v>
      </c>
      <c r="D1097">
        <v>-1.3591933995485306E-2</v>
      </c>
    </row>
    <row r="1098" spans="1:4" x14ac:dyDescent="0.25">
      <c r="A1098">
        <v>42877</v>
      </c>
      <c r="B1098" s="3">
        <v>45068</v>
      </c>
      <c r="C1098" t="s">
        <v>28</v>
      </c>
      <c r="D1098">
        <v>2.8509295079857111E-3</v>
      </c>
    </row>
    <row r="1099" spans="1:4" x14ac:dyDescent="0.25">
      <c r="A1099">
        <v>42877</v>
      </c>
      <c r="B1099" s="3">
        <v>45069</v>
      </c>
      <c r="C1099" t="s">
        <v>28</v>
      </c>
      <c r="D1099">
        <v>1.5931222587823868E-2</v>
      </c>
    </row>
    <row r="1100" spans="1:4" x14ac:dyDescent="0.25">
      <c r="A1100">
        <v>42877</v>
      </c>
      <c r="B1100" s="3">
        <v>45070</v>
      </c>
      <c r="C1100" t="s">
        <v>28</v>
      </c>
      <c r="D1100">
        <v>-1.9179161638021469E-2</v>
      </c>
    </row>
    <row r="1101" spans="1:4" x14ac:dyDescent="0.25">
      <c r="A1101">
        <v>42877</v>
      </c>
      <c r="B1101" s="3">
        <v>45071</v>
      </c>
      <c r="C1101" t="s">
        <v>28</v>
      </c>
      <c r="D1101">
        <v>1.6166426241397858E-2</v>
      </c>
    </row>
    <row r="1102" spans="1:4" x14ac:dyDescent="0.25">
      <c r="A1102">
        <v>42877</v>
      </c>
      <c r="B1102" s="3">
        <v>45072</v>
      </c>
      <c r="C1102" t="s">
        <v>28</v>
      </c>
      <c r="D1102">
        <v>-4.0942677296698093E-3</v>
      </c>
    </row>
    <row r="1103" spans="1:4" x14ac:dyDescent="0.25">
      <c r="A1103">
        <v>42877</v>
      </c>
      <c r="B1103" s="3">
        <v>45076</v>
      </c>
      <c r="C1103" t="s">
        <v>28</v>
      </c>
      <c r="D1103">
        <v>5.7555395178496838E-3</v>
      </c>
    </row>
    <row r="1104" spans="1:4" x14ac:dyDescent="0.25">
      <c r="A1104">
        <v>42877</v>
      </c>
      <c r="B1104" s="3">
        <v>45077</v>
      </c>
      <c r="C1104" t="s">
        <v>28</v>
      </c>
      <c r="D1104">
        <v>-2.4992693215608597E-2</v>
      </c>
    </row>
    <row r="1105" spans="1:4" x14ac:dyDescent="0.25">
      <c r="A1105">
        <v>42877</v>
      </c>
      <c r="B1105" s="3">
        <v>45078</v>
      </c>
      <c r="C1105" t="s">
        <v>28</v>
      </c>
      <c r="D1105">
        <v>1.4134279452264309E-2</v>
      </c>
    </row>
    <row r="1106" spans="1:4" x14ac:dyDescent="0.25">
      <c r="A1106">
        <v>42877</v>
      </c>
      <c r="B1106" s="3">
        <v>45079</v>
      </c>
      <c r="C1106" t="s">
        <v>28</v>
      </c>
      <c r="D1106">
        <v>1.9252315163612366E-2</v>
      </c>
    </row>
    <row r="1107" spans="1:4" x14ac:dyDescent="0.25">
      <c r="A1107">
        <v>42877</v>
      </c>
      <c r="B1107" s="3">
        <v>45082</v>
      </c>
      <c r="C1107" t="s">
        <v>28</v>
      </c>
      <c r="D1107">
        <v>-1.7903681844472885E-2</v>
      </c>
    </row>
    <row r="1108" spans="1:4" x14ac:dyDescent="0.25">
      <c r="A1108">
        <v>42877</v>
      </c>
      <c r="B1108" s="3">
        <v>45083</v>
      </c>
      <c r="C1108" t="s">
        <v>28</v>
      </c>
      <c r="D1108">
        <v>1.2094412930309772E-2</v>
      </c>
    </row>
    <row r="1109" spans="1:4" x14ac:dyDescent="0.25">
      <c r="A1109">
        <v>42877</v>
      </c>
      <c r="B1109" s="3">
        <v>45084</v>
      </c>
      <c r="C1109" t="s">
        <v>28</v>
      </c>
      <c r="D1109">
        <v>2.2150993347167969E-2</v>
      </c>
    </row>
    <row r="1110" spans="1:4" x14ac:dyDescent="0.25">
      <c r="A1110">
        <v>42877</v>
      </c>
      <c r="B1110" s="3">
        <v>45085</v>
      </c>
      <c r="C1110" t="s">
        <v>28</v>
      </c>
      <c r="D1110">
        <v>-1.7735959962010384E-2</v>
      </c>
    </row>
    <row r="1111" spans="1:4" x14ac:dyDescent="0.25">
      <c r="A1111">
        <v>42877</v>
      </c>
      <c r="B1111" s="3">
        <v>45086</v>
      </c>
      <c r="C1111" t="s">
        <v>28</v>
      </c>
      <c r="D1111">
        <v>-1.2772945687174797E-2</v>
      </c>
    </row>
    <row r="1112" spans="1:4" x14ac:dyDescent="0.25">
      <c r="A1112">
        <v>42877</v>
      </c>
      <c r="B1112" s="3">
        <v>45089</v>
      </c>
      <c r="C1112" t="s">
        <v>28</v>
      </c>
      <c r="D1112">
        <v>-6.5278797410428524E-3</v>
      </c>
    </row>
    <row r="1113" spans="1:4" x14ac:dyDescent="0.25">
      <c r="A1113">
        <v>42877</v>
      </c>
      <c r="B1113" s="3">
        <v>45090</v>
      </c>
      <c r="C1113" t="s">
        <v>28</v>
      </c>
      <c r="D1113">
        <v>4.9132886342704296E-3</v>
      </c>
    </row>
    <row r="1114" spans="1:4" x14ac:dyDescent="0.25">
      <c r="A1114">
        <v>42877</v>
      </c>
      <c r="B1114" s="3">
        <v>45091</v>
      </c>
      <c r="C1114" t="s">
        <v>28</v>
      </c>
      <c r="D1114">
        <v>2.7273828163743019E-2</v>
      </c>
    </row>
    <row r="1115" spans="1:4" x14ac:dyDescent="0.25">
      <c r="A1115">
        <v>42877</v>
      </c>
      <c r="B1115" s="3">
        <v>45092</v>
      </c>
      <c r="C1115" t="s">
        <v>28</v>
      </c>
      <c r="D1115">
        <v>1.4565017074346542E-2</v>
      </c>
    </row>
    <row r="1116" spans="1:4" x14ac:dyDescent="0.25">
      <c r="A1116">
        <v>42877</v>
      </c>
      <c r="B1116" s="3">
        <v>45093</v>
      </c>
      <c r="C1116" t="s">
        <v>28</v>
      </c>
      <c r="D1116">
        <v>-1.4129882911220193E-3</v>
      </c>
    </row>
    <row r="1117" spans="1:4" x14ac:dyDescent="0.25">
      <c r="A1117">
        <v>42877</v>
      </c>
      <c r="B1117" s="3">
        <v>45097</v>
      </c>
      <c r="C1117" t="s">
        <v>28</v>
      </c>
      <c r="D1117">
        <v>-1.5508209355175495E-2</v>
      </c>
    </row>
    <row r="1118" spans="1:4" x14ac:dyDescent="0.25">
      <c r="A1118">
        <v>42877</v>
      </c>
      <c r="B1118" s="3">
        <v>45098</v>
      </c>
      <c r="C1118" t="s">
        <v>28</v>
      </c>
      <c r="D1118">
        <v>1.3912832364439964E-2</v>
      </c>
    </row>
    <row r="1119" spans="1:4" x14ac:dyDescent="0.25">
      <c r="A1119">
        <v>42877</v>
      </c>
      <c r="B1119" s="3">
        <v>45099</v>
      </c>
      <c r="C1119" t="s">
        <v>28</v>
      </c>
      <c r="D1119">
        <v>1.2474553659558296E-3</v>
      </c>
    </row>
    <row r="1120" spans="1:4" x14ac:dyDescent="0.25">
      <c r="A1120">
        <v>42877</v>
      </c>
      <c r="B1120" s="3">
        <v>45100</v>
      </c>
      <c r="C1120" t="s">
        <v>28</v>
      </c>
      <c r="D1120">
        <v>-7.928469218313694E-3</v>
      </c>
    </row>
    <row r="1121" spans="1:4" x14ac:dyDescent="0.25">
      <c r="A1121">
        <v>42877</v>
      </c>
      <c r="B1121" s="3">
        <v>45103</v>
      </c>
      <c r="C1121" t="s">
        <v>28</v>
      </c>
      <c r="D1121">
        <v>7.7634472399950027E-3</v>
      </c>
    </row>
    <row r="1122" spans="1:4" x14ac:dyDescent="0.25">
      <c r="A1122">
        <v>42877</v>
      </c>
      <c r="B1122" s="3">
        <v>45104</v>
      </c>
      <c r="C1122" t="s">
        <v>28</v>
      </c>
      <c r="D1122">
        <v>1.2631760910153389E-2</v>
      </c>
    </row>
    <row r="1123" spans="1:4" x14ac:dyDescent="0.25">
      <c r="A1123">
        <v>42877</v>
      </c>
      <c r="B1123" s="3">
        <v>45105</v>
      </c>
      <c r="C1123" t="s">
        <v>28</v>
      </c>
      <c r="D1123">
        <v>4.4751260429620743E-4</v>
      </c>
    </row>
    <row r="1124" spans="1:4" x14ac:dyDescent="0.25">
      <c r="A1124">
        <v>42877</v>
      </c>
      <c r="B1124" s="3">
        <v>45106</v>
      </c>
      <c r="C1124" t="s">
        <v>28</v>
      </c>
      <c r="D1124">
        <v>2.024039626121521E-2</v>
      </c>
    </row>
    <row r="1125" spans="1:4" x14ac:dyDescent="0.25">
      <c r="A1125">
        <v>42877</v>
      </c>
      <c r="B1125" s="3">
        <v>45107</v>
      </c>
      <c r="C1125" t="s">
        <v>28</v>
      </c>
      <c r="D1125">
        <v>-7.8917210921645164E-3</v>
      </c>
    </row>
    <row r="1126" spans="1:4" x14ac:dyDescent="0.25">
      <c r="A1126">
        <v>42877</v>
      </c>
      <c r="B1126" s="3">
        <v>45110</v>
      </c>
      <c r="C1126" t="s">
        <v>28</v>
      </c>
      <c r="D1126">
        <v>7.6230727136135101E-3</v>
      </c>
    </row>
    <row r="1127" spans="1:4" x14ac:dyDescent="0.25">
      <c r="A1127">
        <v>42877</v>
      </c>
      <c r="B1127" s="3">
        <v>45112</v>
      </c>
      <c r="C1127" t="s">
        <v>28</v>
      </c>
      <c r="D1127">
        <v>-1.6007883474230766E-2</v>
      </c>
    </row>
    <row r="1128" spans="1:4" x14ac:dyDescent="0.25">
      <c r="A1128">
        <v>42877</v>
      </c>
      <c r="B1128" s="3">
        <v>45113</v>
      </c>
      <c r="C1128" t="s">
        <v>28</v>
      </c>
      <c r="D1128">
        <v>-2.5071713607758284E-3</v>
      </c>
    </row>
    <row r="1129" spans="1:4" x14ac:dyDescent="0.25">
      <c r="A1129">
        <v>42877</v>
      </c>
      <c r="B1129" s="3">
        <v>45114</v>
      </c>
      <c r="C1129" t="s">
        <v>28</v>
      </c>
      <c r="D1129">
        <v>3.1836871057748795E-3</v>
      </c>
    </row>
    <row r="1130" spans="1:4" x14ac:dyDescent="0.25">
      <c r="A1130">
        <v>42877</v>
      </c>
      <c r="B1130" s="3">
        <v>45117</v>
      </c>
      <c r="C1130" t="s">
        <v>28</v>
      </c>
      <c r="D1130">
        <v>6.7368559539318085E-3</v>
      </c>
    </row>
    <row r="1131" spans="1:4" x14ac:dyDescent="0.25">
      <c r="A1131">
        <v>42877</v>
      </c>
      <c r="B1131" s="3">
        <v>45118</v>
      </c>
      <c r="C1131" t="s">
        <v>28</v>
      </c>
      <c r="D1131">
        <v>2.5163076817989349E-2</v>
      </c>
    </row>
    <row r="1132" spans="1:4" x14ac:dyDescent="0.25">
      <c r="A1132">
        <v>42877</v>
      </c>
      <c r="B1132" s="3">
        <v>45119</v>
      </c>
      <c r="C1132" t="s">
        <v>28</v>
      </c>
      <c r="D1132">
        <v>-3.6682996433228254E-3</v>
      </c>
    </row>
    <row r="1133" spans="1:4" x14ac:dyDescent="0.25">
      <c r="A1133">
        <v>42877</v>
      </c>
      <c r="B1133" s="3">
        <v>45120</v>
      </c>
      <c r="C1133" t="s">
        <v>28</v>
      </c>
      <c r="D1133">
        <v>-3.3569501247256994E-3</v>
      </c>
    </row>
    <row r="1134" spans="1:4" x14ac:dyDescent="0.25">
      <c r="A1134">
        <v>42877</v>
      </c>
      <c r="B1134" s="3">
        <v>45121</v>
      </c>
      <c r="C1134" t="s">
        <v>28</v>
      </c>
      <c r="D1134">
        <v>-4.1832141578197479E-3</v>
      </c>
    </row>
    <row r="1135" spans="1:4" x14ac:dyDescent="0.25">
      <c r="A1135">
        <v>42877</v>
      </c>
      <c r="B1135" s="3">
        <v>45124</v>
      </c>
      <c r="C1135" t="s">
        <v>28</v>
      </c>
      <c r="D1135">
        <v>4.3645297409966588E-4</v>
      </c>
    </row>
    <row r="1136" spans="1:4" x14ac:dyDescent="0.25">
      <c r="A1136">
        <v>42877</v>
      </c>
      <c r="B1136" s="3">
        <v>45125</v>
      </c>
      <c r="C1136" t="s">
        <v>28</v>
      </c>
      <c r="D1136">
        <v>2.6120586320757866E-2</v>
      </c>
    </row>
    <row r="1137" spans="1:4" x14ac:dyDescent="0.25">
      <c r="A1137">
        <v>42877</v>
      </c>
      <c r="B1137" s="3">
        <v>45126</v>
      </c>
      <c r="C1137" t="s">
        <v>28</v>
      </c>
      <c r="D1137">
        <v>3.7519250065088272E-2</v>
      </c>
    </row>
    <row r="1138" spans="1:4" x14ac:dyDescent="0.25">
      <c r="A1138">
        <v>42877</v>
      </c>
      <c r="B1138" s="3">
        <v>45127</v>
      </c>
      <c r="C1138" t="s">
        <v>28</v>
      </c>
      <c r="D1138">
        <v>-1.628844253718853E-2</v>
      </c>
    </row>
    <row r="1139" spans="1:4" x14ac:dyDescent="0.25">
      <c r="A1139">
        <v>42877</v>
      </c>
      <c r="B1139" s="3">
        <v>45128</v>
      </c>
      <c r="C1139" t="s">
        <v>28</v>
      </c>
      <c r="D1139">
        <v>1.8432663753628731E-2</v>
      </c>
    </row>
    <row r="1140" spans="1:4" x14ac:dyDescent="0.25">
      <c r="A1140">
        <v>42877</v>
      </c>
      <c r="B1140" s="3">
        <v>45131</v>
      </c>
      <c r="C1140" t="s">
        <v>28</v>
      </c>
      <c r="D1140">
        <v>1.4060024172067642E-2</v>
      </c>
    </row>
    <row r="1141" spans="1:4" x14ac:dyDescent="0.25">
      <c r="A1141">
        <v>42877</v>
      </c>
      <c r="B1141" s="3">
        <v>45132</v>
      </c>
      <c r="C1141" t="s">
        <v>28</v>
      </c>
      <c r="D1141">
        <v>7.1594142355024815E-3</v>
      </c>
    </row>
    <row r="1142" spans="1:4" x14ac:dyDescent="0.25">
      <c r="A1142">
        <v>42877</v>
      </c>
      <c r="B1142" s="3">
        <v>45133</v>
      </c>
      <c r="C1142" t="s">
        <v>28</v>
      </c>
      <c r="D1142">
        <v>1.5368479304015636E-2</v>
      </c>
    </row>
    <row r="1143" spans="1:4" x14ac:dyDescent="0.25">
      <c r="A1143">
        <v>42877</v>
      </c>
      <c r="B1143" s="3">
        <v>45134</v>
      </c>
      <c r="C1143" t="s">
        <v>28</v>
      </c>
      <c r="D1143">
        <v>-1.3410250656306744E-2</v>
      </c>
    </row>
    <row r="1144" spans="1:4" x14ac:dyDescent="0.25">
      <c r="A1144">
        <v>42877</v>
      </c>
      <c r="B1144" s="3">
        <v>45135</v>
      </c>
      <c r="C1144" t="s">
        <v>28</v>
      </c>
      <c r="D1144">
        <v>2.7135038748383522E-2</v>
      </c>
    </row>
    <row r="1145" spans="1:4" x14ac:dyDescent="0.25">
      <c r="A1145">
        <v>42877</v>
      </c>
      <c r="B1145" s="3">
        <v>45138</v>
      </c>
      <c r="C1145" t="s">
        <v>28</v>
      </c>
      <c r="D1145">
        <v>-7.7843284234404564E-3</v>
      </c>
    </row>
    <row r="1146" spans="1:4" x14ac:dyDescent="0.25">
      <c r="A1146">
        <v>42877</v>
      </c>
      <c r="B1146" s="3">
        <v>45139</v>
      </c>
      <c r="C1146" t="s">
        <v>28</v>
      </c>
      <c r="D1146">
        <v>-3.432741214055568E-4</v>
      </c>
    </row>
    <row r="1147" spans="1:4" x14ac:dyDescent="0.25">
      <c r="A1147">
        <v>42877</v>
      </c>
      <c r="B1147" s="3">
        <v>45140</v>
      </c>
      <c r="C1147" t="s">
        <v>28</v>
      </c>
      <c r="D1147">
        <v>5.003209225833416E-3</v>
      </c>
    </row>
    <row r="1148" spans="1:4" x14ac:dyDescent="0.25">
      <c r="A1148">
        <v>42877</v>
      </c>
      <c r="B1148" s="3">
        <v>45141</v>
      </c>
      <c r="C1148" t="s">
        <v>28</v>
      </c>
      <c r="D1148">
        <v>1.8400147557258606E-2</v>
      </c>
    </row>
    <row r="1149" spans="1:4" x14ac:dyDescent="0.25">
      <c r="A1149">
        <v>42877</v>
      </c>
      <c r="B1149" s="3">
        <v>45142</v>
      </c>
      <c r="C1149" t="s">
        <v>28</v>
      </c>
      <c r="D1149">
        <v>-8.3557693287730217E-3</v>
      </c>
    </row>
    <row r="1150" spans="1:4" x14ac:dyDescent="0.25">
      <c r="A1150">
        <v>42877</v>
      </c>
      <c r="B1150" s="3">
        <v>45145</v>
      </c>
      <c r="C1150" t="s">
        <v>28</v>
      </c>
      <c r="D1150">
        <v>3.0023977160453796E-3</v>
      </c>
    </row>
    <row r="1151" spans="1:4" x14ac:dyDescent="0.25">
      <c r="A1151">
        <v>42877</v>
      </c>
      <c r="B1151" s="3">
        <v>45146</v>
      </c>
      <c r="C1151" t="s">
        <v>28</v>
      </c>
      <c r="D1151">
        <v>-9.7527476027607918E-3</v>
      </c>
    </row>
    <row r="1152" spans="1:4" x14ac:dyDescent="0.25">
      <c r="A1152">
        <v>42877</v>
      </c>
      <c r="B1152" s="3">
        <v>45147</v>
      </c>
      <c r="C1152" t="s">
        <v>28</v>
      </c>
      <c r="D1152">
        <v>-8.1424349918961525E-3</v>
      </c>
    </row>
    <row r="1153" spans="1:4" x14ac:dyDescent="0.25">
      <c r="A1153">
        <v>42877</v>
      </c>
      <c r="B1153" s="3">
        <v>45148</v>
      </c>
      <c r="C1153" t="s">
        <v>28</v>
      </c>
      <c r="D1153">
        <v>-4.964826162904501E-3</v>
      </c>
    </row>
    <row r="1154" spans="1:4" x14ac:dyDescent="0.25">
      <c r="A1154">
        <v>42877</v>
      </c>
      <c r="B1154" s="3">
        <v>45149</v>
      </c>
      <c r="C1154" t="s">
        <v>28</v>
      </c>
      <c r="D1154">
        <v>3.6557924468070269E-3</v>
      </c>
    </row>
    <row r="1155" spans="1:4" x14ac:dyDescent="0.25">
      <c r="A1155">
        <v>42877</v>
      </c>
      <c r="B1155" s="3">
        <v>45152</v>
      </c>
      <c r="C1155" t="s">
        <v>28</v>
      </c>
      <c r="D1155">
        <v>-4.0362635627388954E-3</v>
      </c>
    </row>
    <row r="1156" spans="1:4" x14ac:dyDescent="0.25">
      <c r="A1156">
        <v>42877</v>
      </c>
      <c r="B1156" s="3">
        <v>45153</v>
      </c>
      <c r="C1156" t="s">
        <v>28</v>
      </c>
      <c r="D1156">
        <v>-1.3838109560310841E-2</v>
      </c>
    </row>
    <row r="1157" spans="1:4" x14ac:dyDescent="0.25">
      <c r="A1157">
        <v>42877</v>
      </c>
      <c r="B1157" s="3">
        <v>45154</v>
      </c>
      <c r="C1157" t="s">
        <v>28</v>
      </c>
      <c r="D1157">
        <v>-3.4278824925422668E-2</v>
      </c>
    </row>
    <row r="1158" spans="1:4" x14ac:dyDescent="0.25">
      <c r="A1158">
        <v>42877</v>
      </c>
      <c r="B1158" s="3">
        <v>45155</v>
      </c>
      <c r="C1158" t="s">
        <v>28</v>
      </c>
      <c r="D1158">
        <v>-1.3751914724707603E-2</v>
      </c>
    </row>
    <row r="1159" spans="1:4" x14ac:dyDescent="0.25">
      <c r="A1159">
        <v>42877</v>
      </c>
      <c r="B1159" s="3">
        <v>45156</v>
      </c>
      <c r="C1159" t="s">
        <v>28</v>
      </c>
      <c r="D1159">
        <v>5.0512570887804031E-3</v>
      </c>
    </row>
    <row r="1160" spans="1:4" x14ac:dyDescent="0.25">
      <c r="A1160">
        <v>42877</v>
      </c>
      <c r="B1160" s="3">
        <v>45159</v>
      </c>
      <c r="C1160" t="s">
        <v>28</v>
      </c>
      <c r="D1160">
        <v>3.1935533042997122E-3</v>
      </c>
    </row>
    <row r="1161" spans="1:4" x14ac:dyDescent="0.25">
      <c r="A1161">
        <v>42877</v>
      </c>
      <c r="B1161" s="3">
        <v>45160</v>
      </c>
      <c r="C1161" t="s">
        <v>28</v>
      </c>
      <c r="D1161">
        <v>-6.1579830944538116E-3</v>
      </c>
    </row>
    <row r="1162" spans="1:4" x14ac:dyDescent="0.25">
      <c r="A1162">
        <v>42877</v>
      </c>
      <c r="B1162" s="3">
        <v>45161</v>
      </c>
      <c r="C1162" t="s">
        <v>28</v>
      </c>
      <c r="D1162">
        <v>5.7761295465752482E-4</v>
      </c>
    </row>
    <row r="1163" spans="1:4" x14ac:dyDescent="0.25">
      <c r="A1163">
        <v>42877</v>
      </c>
      <c r="B1163" s="3">
        <v>45162</v>
      </c>
      <c r="C1163" t="s">
        <v>28</v>
      </c>
      <c r="D1163">
        <v>-6.2450929544866085E-3</v>
      </c>
    </row>
    <row r="1164" spans="1:4" x14ac:dyDescent="0.25">
      <c r="A1164">
        <v>42877</v>
      </c>
      <c r="B1164" s="3">
        <v>45163</v>
      </c>
      <c r="C1164" t="s">
        <v>28</v>
      </c>
      <c r="D1164">
        <v>-8.9775929227471352E-3</v>
      </c>
    </row>
    <row r="1165" spans="1:4" x14ac:dyDescent="0.25">
      <c r="A1165">
        <v>42877</v>
      </c>
      <c r="B1165" s="3">
        <v>45166</v>
      </c>
      <c r="C1165" t="s">
        <v>28</v>
      </c>
      <c r="D1165">
        <v>-4.4761607423424721E-3</v>
      </c>
    </row>
    <row r="1166" spans="1:4" x14ac:dyDescent="0.25">
      <c r="A1166">
        <v>42877</v>
      </c>
      <c r="B1166" s="3">
        <v>45167</v>
      </c>
      <c r="C1166" t="s">
        <v>28</v>
      </c>
      <c r="D1166">
        <v>1.1990098282694817E-2</v>
      </c>
    </row>
    <row r="1167" spans="1:4" x14ac:dyDescent="0.25">
      <c r="A1167">
        <v>42877</v>
      </c>
      <c r="B1167" s="3">
        <v>45168</v>
      </c>
      <c r="C1167" t="s">
        <v>28</v>
      </c>
      <c r="D1167">
        <v>5.0248438492417336E-3</v>
      </c>
    </row>
    <row r="1168" spans="1:4" x14ac:dyDescent="0.25">
      <c r="A1168">
        <v>42877</v>
      </c>
      <c r="B1168" s="3">
        <v>45169</v>
      </c>
      <c r="C1168" t="s">
        <v>28</v>
      </c>
      <c r="D1168">
        <v>-1.1209881864488125E-2</v>
      </c>
    </row>
    <row r="1169" spans="1:4" x14ac:dyDescent="0.25">
      <c r="A1169">
        <v>42877</v>
      </c>
      <c r="B1169" s="3">
        <v>45170</v>
      </c>
      <c r="C1169" t="s">
        <v>28</v>
      </c>
      <c r="D1169">
        <v>2.049175463616848E-2</v>
      </c>
    </row>
    <row r="1170" spans="1:4" x14ac:dyDescent="0.25">
      <c r="A1170">
        <v>42877</v>
      </c>
      <c r="B1170" s="3">
        <v>45174</v>
      </c>
      <c r="C1170" t="s">
        <v>28</v>
      </c>
      <c r="D1170">
        <v>-2.4096360430121422E-2</v>
      </c>
    </row>
    <row r="1171" spans="1:4" x14ac:dyDescent="0.25">
      <c r="A1171">
        <v>42877</v>
      </c>
      <c r="B1171" s="3">
        <v>45175</v>
      </c>
      <c r="C1171" t="s">
        <v>28</v>
      </c>
      <c r="D1171">
        <v>-8.1770019605755806E-3</v>
      </c>
    </row>
    <row r="1172" spans="1:4" x14ac:dyDescent="0.25">
      <c r="A1172">
        <v>42877</v>
      </c>
      <c r="B1172" s="3">
        <v>45176</v>
      </c>
      <c r="C1172" t="s">
        <v>28</v>
      </c>
      <c r="D1172">
        <v>2.5864625349640846E-3</v>
      </c>
    </row>
    <row r="1173" spans="1:4" x14ac:dyDescent="0.25">
      <c r="A1173">
        <v>42877</v>
      </c>
      <c r="B1173" s="3">
        <v>45177</v>
      </c>
      <c r="C1173" t="s">
        <v>28</v>
      </c>
      <c r="D1173">
        <v>-7.6856533996760845E-3</v>
      </c>
    </row>
    <row r="1174" spans="1:4" x14ac:dyDescent="0.25">
      <c r="A1174">
        <v>42877</v>
      </c>
      <c r="B1174" s="3">
        <v>45180</v>
      </c>
      <c r="C1174" t="s">
        <v>28</v>
      </c>
      <c r="D1174">
        <v>-2.4915058165788651E-3</v>
      </c>
    </row>
    <row r="1175" spans="1:4" x14ac:dyDescent="0.25">
      <c r="A1175">
        <v>42877</v>
      </c>
      <c r="B1175" s="3">
        <v>45181</v>
      </c>
      <c r="C1175" t="s">
        <v>28</v>
      </c>
      <c r="D1175">
        <v>-1.2271241284906864E-2</v>
      </c>
    </row>
    <row r="1176" spans="1:4" x14ac:dyDescent="0.25">
      <c r="A1176">
        <v>42877</v>
      </c>
      <c r="B1176" s="3">
        <v>45182</v>
      </c>
      <c r="C1176" t="s">
        <v>28</v>
      </c>
      <c r="D1176">
        <v>4.0899358689785004E-2</v>
      </c>
    </row>
    <row r="1177" spans="1:4" x14ac:dyDescent="0.25">
      <c r="A1177">
        <v>42877</v>
      </c>
      <c r="B1177" s="3">
        <v>45183</v>
      </c>
      <c r="C1177" t="s">
        <v>28</v>
      </c>
      <c r="D1177">
        <v>7.0239584892988205E-3</v>
      </c>
    </row>
    <row r="1178" spans="1:4" x14ac:dyDescent="0.25">
      <c r="A1178">
        <v>42877</v>
      </c>
      <c r="B1178" s="3">
        <v>45184</v>
      </c>
      <c r="C1178" t="s">
        <v>28</v>
      </c>
      <c r="D1178">
        <v>1.9299391657114029E-2</v>
      </c>
    </row>
    <row r="1179" spans="1:4" x14ac:dyDescent="0.25">
      <c r="A1179">
        <v>42877</v>
      </c>
      <c r="B1179" s="3">
        <v>45187</v>
      </c>
      <c r="C1179" t="s">
        <v>28</v>
      </c>
      <c r="D1179">
        <v>-1.0292381193721667E-4</v>
      </c>
    </row>
    <row r="1180" spans="1:4" x14ac:dyDescent="0.25">
      <c r="A1180">
        <v>42877</v>
      </c>
      <c r="B1180" s="3">
        <v>45188</v>
      </c>
      <c r="C1180" t="s">
        <v>28</v>
      </c>
      <c r="D1180">
        <v>-9.7252205014228821E-3</v>
      </c>
    </row>
    <row r="1181" spans="1:4" x14ac:dyDescent="0.25">
      <c r="A1181">
        <v>42877</v>
      </c>
      <c r="B1181" s="3">
        <v>45189</v>
      </c>
      <c r="C1181" t="s">
        <v>28</v>
      </c>
      <c r="D1181">
        <v>6.3912482000887394E-3</v>
      </c>
    </row>
    <row r="1182" spans="1:4" x14ac:dyDescent="0.25">
      <c r="A1182">
        <v>42877</v>
      </c>
      <c r="B1182" s="3">
        <v>45190</v>
      </c>
      <c r="C1182" t="s">
        <v>28</v>
      </c>
      <c r="D1182">
        <v>-1.920686662197113E-2</v>
      </c>
    </row>
    <row r="1183" spans="1:4" x14ac:dyDescent="0.25">
      <c r="A1183">
        <v>42877</v>
      </c>
      <c r="B1183" s="3">
        <v>45191</v>
      </c>
      <c r="C1183" t="s">
        <v>28</v>
      </c>
      <c r="D1183">
        <v>-2.4742113891988993E-3</v>
      </c>
    </row>
    <row r="1184" spans="1:4" x14ac:dyDescent="0.25">
      <c r="A1184">
        <v>42877</v>
      </c>
      <c r="B1184" s="3">
        <v>45194</v>
      </c>
      <c r="C1184" t="s">
        <v>28</v>
      </c>
      <c r="D1184">
        <v>5.1190098747611046E-3</v>
      </c>
    </row>
    <row r="1185" spans="1:4" x14ac:dyDescent="0.25">
      <c r="A1185">
        <v>42877</v>
      </c>
      <c r="B1185" s="3">
        <v>45195</v>
      </c>
      <c r="C1185" t="s">
        <v>28</v>
      </c>
      <c r="D1185">
        <v>-2.0896833389997482E-2</v>
      </c>
    </row>
    <row r="1186" spans="1:4" x14ac:dyDescent="0.25">
      <c r="A1186">
        <v>42877</v>
      </c>
      <c r="B1186" s="3">
        <v>45196</v>
      </c>
      <c r="C1186" t="s">
        <v>28</v>
      </c>
      <c r="D1186">
        <v>-4.7726267948746681E-3</v>
      </c>
    </row>
    <row r="1187" spans="1:4" x14ac:dyDescent="0.25">
      <c r="A1187">
        <v>42877</v>
      </c>
      <c r="B1187" s="3">
        <v>45197</v>
      </c>
      <c r="C1187" t="s">
        <v>28</v>
      </c>
      <c r="D1187">
        <v>4.2567411437630653E-3</v>
      </c>
    </row>
    <row r="1188" spans="1:4" x14ac:dyDescent="0.25">
      <c r="A1188">
        <v>42877</v>
      </c>
      <c r="B1188" s="3">
        <v>45198</v>
      </c>
      <c r="C1188" t="s">
        <v>28</v>
      </c>
      <c r="D1188">
        <v>1.1481914669275284E-2</v>
      </c>
    </row>
    <row r="1189" spans="1:4" x14ac:dyDescent="0.25">
      <c r="A1189">
        <v>42877</v>
      </c>
      <c r="B1189" s="3">
        <v>45201</v>
      </c>
      <c r="C1189" t="s">
        <v>28</v>
      </c>
      <c r="D1189">
        <v>-5.8349571190774441E-3</v>
      </c>
    </row>
    <row r="1190" spans="1:4" x14ac:dyDescent="0.25">
      <c r="A1190">
        <v>42877</v>
      </c>
      <c r="B1190" s="3">
        <v>45202</v>
      </c>
      <c r="C1190" t="s">
        <v>28</v>
      </c>
      <c r="D1190">
        <v>-3.2547253649681807E-3</v>
      </c>
    </row>
    <row r="1191" spans="1:4" x14ac:dyDescent="0.25">
      <c r="A1191">
        <v>42877</v>
      </c>
      <c r="B1191" s="3">
        <v>45203</v>
      </c>
      <c r="C1191" t="s">
        <v>28</v>
      </c>
      <c r="D1191">
        <v>2.7300987858325243E-3</v>
      </c>
    </row>
    <row r="1192" spans="1:4" x14ac:dyDescent="0.25">
      <c r="A1192">
        <v>42877</v>
      </c>
      <c r="B1192" s="3">
        <v>45204</v>
      </c>
      <c r="C1192" t="s">
        <v>28</v>
      </c>
      <c r="D1192">
        <v>-6.5129254944622517E-3</v>
      </c>
    </row>
    <row r="1193" spans="1:4" x14ac:dyDescent="0.25">
      <c r="A1193">
        <v>42877</v>
      </c>
      <c r="B1193" s="3">
        <v>45205</v>
      </c>
      <c r="C1193" t="s">
        <v>28</v>
      </c>
      <c r="D1193">
        <v>2.8479245956987143E-3</v>
      </c>
    </row>
    <row r="1194" spans="1:4" x14ac:dyDescent="0.25">
      <c r="A1194">
        <v>42877</v>
      </c>
      <c r="B1194" s="3">
        <v>45208</v>
      </c>
      <c r="C1194" t="s">
        <v>28</v>
      </c>
      <c r="D1194">
        <v>1.6717543825507164E-2</v>
      </c>
    </row>
    <row r="1195" spans="1:4" x14ac:dyDescent="0.25">
      <c r="A1195">
        <v>42877</v>
      </c>
      <c r="B1195" s="3">
        <v>45209</v>
      </c>
      <c r="C1195" t="s">
        <v>28</v>
      </c>
      <c r="D1195">
        <v>9.3807578086853027E-3</v>
      </c>
    </row>
    <row r="1196" spans="1:4" x14ac:dyDescent="0.25">
      <c r="A1196">
        <v>42877</v>
      </c>
      <c r="B1196" s="3">
        <v>45210</v>
      </c>
      <c r="C1196" t="s">
        <v>28</v>
      </c>
      <c r="D1196">
        <v>1.1643062345683575E-2</v>
      </c>
    </row>
    <row r="1197" spans="1:4" x14ac:dyDescent="0.25">
      <c r="A1197">
        <v>42877</v>
      </c>
      <c r="B1197" s="3">
        <v>45211</v>
      </c>
      <c r="C1197" t="s">
        <v>28</v>
      </c>
      <c r="D1197">
        <v>-4.5416476204991341E-3</v>
      </c>
    </row>
    <row r="1198" spans="1:4" x14ac:dyDescent="0.25">
      <c r="A1198">
        <v>42877</v>
      </c>
      <c r="B1198" s="3">
        <v>45212</v>
      </c>
      <c r="C1198" t="s">
        <v>28</v>
      </c>
      <c r="D1198">
        <v>-7.6213250868022442E-3</v>
      </c>
    </row>
    <row r="1199" spans="1:4" x14ac:dyDescent="0.25">
      <c r="A1199">
        <v>42877</v>
      </c>
      <c r="B1199" s="3">
        <v>45215</v>
      </c>
      <c r="C1199" t="s">
        <v>28</v>
      </c>
      <c r="D1199">
        <v>2.8054933995008469E-2</v>
      </c>
    </row>
    <row r="1200" spans="1:4" x14ac:dyDescent="0.25">
      <c r="A1200">
        <v>42877</v>
      </c>
      <c r="B1200" s="3">
        <v>45216</v>
      </c>
      <c r="C1200" t="s">
        <v>28</v>
      </c>
      <c r="D1200">
        <v>-3.9130211807787418E-3</v>
      </c>
    </row>
    <row r="1201" spans="1:4" x14ac:dyDescent="0.25">
      <c r="A1201">
        <v>42877</v>
      </c>
      <c r="B1201" s="3">
        <v>45217</v>
      </c>
      <c r="C1201" t="s">
        <v>28</v>
      </c>
      <c r="D1201">
        <v>-8.8464856147766113E-2</v>
      </c>
    </row>
    <row r="1202" spans="1:4" x14ac:dyDescent="0.25">
      <c r="A1202">
        <v>42877</v>
      </c>
      <c r="B1202" s="3">
        <v>45218</v>
      </c>
      <c r="C1202" t="s">
        <v>28</v>
      </c>
      <c r="D1202">
        <v>7.8356405720114708E-4</v>
      </c>
    </row>
    <row r="1203" spans="1:4" x14ac:dyDescent="0.25">
      <c r="A1203">
        <v>42877</v>
      </c>
      <c r="B1203" s="3">
        <v>45219</v>
      </c>
      <c r="C1203" t="s">
        <v>28</v>
      </c>
      <c r="D1203">
        <v>-1.4204984530806541E-2</v>
      </c>
    </row>
    <row r="1204" spans="1:4" x14ac:dyDescent="0.25">
      <c r="A1204">
        <v>42877</v>
      </c>
      <c r="B1204" s="3">
        <v>45222</v>
      </c>
      <c r="C1204" t="s">
        <v>28</v>
      </c>
      <c r="D1204">
        <v>-2.0366547629237175E-2</v>
      </c>
    </row>
    <row r="1205" spans="1:4" x14ac:dyDescent="0.25">
      <c r="A1205">
        <v>42877</v>
      </c>
      <c r="B1205" s="3">
        <v>45223</v>
      </c>
      <c r="C1205" t="s">
        <v>28</v>
      </c>
      <c r="D1205">
        <v>-5.7878776715369895E-5</v>
      </c>
    </row>
    <row r="1206" spans="1:4" x14ac:dyDescent="0.25">
      <c r="A1206">
        <v>42877</v>
      </c>
      <c r="B1206" s="3">
        <v>45224</v>
      </c>
      <c r="C1206" t="s">
        <v>28</v>
      </c>
      <c r="D1206">
        <v>-1.5231394208967686E-2</v>
      </c>
    </row>
    <row r="1207" spans="1:4" x14ac:dyDescent="0.25">
      <c r="A1207">
        <v>42877</v>
      </c>
      <c r="B1207" s="3">
        <v>45225</v>
      </c>
      <c r="C1207" t="s">
        <v>28</v>
      </c>
      <c r="D1207">
        <v>-1.3290958479046822E-2</v>
      </c>
    </row>
    <row r="1208" spans="1:4" x14ac:dyDescent="0.25">
      <c r="A1208">
        <v>42877</v>
      </c>
      <c r="B1208" s="3">
        <v>45226</v>
      </c>
      <c r="C1208" t="s">
        <v>28</v>
      </c>
      <c r="D1208">
        <v>-1.0728352703154087E-2</v>
      </c>
    </row>
    <row r="1209" spans="1:4" x14ac:dyDescent="0.25">
      <c r="A1209">
        <v>42877</v>
      </c>
      <c r="B1209" s="3">
        <v>45229</v>
      </c>
      <c r="C1209" t="s">
        <v>28</v>
      </c>
      <c r="D1209">
        <v>2.2472653537988663E-2</v>
      </c>
    </row>
    <row r="1210" spans="1:4" x14ac:dyDescent="0.25">
      <c r="A1210">
        <v>42877</v>
      </c>
      <c r="B1210" s="3">
        <v>45230</v>
      </c>
      <c r="C1210" t="s">
        <v>28</v>
      </c>
      <c r="D1210">
        <v>1.27275250852108E-2</v>
      </c>
    </row>
    <row r="1211" spans="1:4" x14ac:dyDescent="0.25">
      <c r="A1211">
        <v>42877</v>
      </c>
      <c r="B1211" s="3">
        <v>45231</v>
      </c>
      <c r="C1211" t="s">
        <v>28</v>
      </c>
      <c r="D1211">
        <v>6.2838299199938774E-3</v>
      </c>
    </row>
    <row r="1212" spans="1:4" x14ac:dyDescent="0.25">
      <c r="A1212">
        <v>42877</v>
      </c>
      <c r="B1212" s="3">
        <v>45232</v>
      </c>
      <c r="C1212" t="s">
        <v>28</v>
      </c>
      <c r="D1212">
        <v>-2.8331323992460966E-3</v>
      </c>
    </row>
    <row r="1213" spans="1:4" x14ac:dyDescent="0.25">
      <c r="A1213">
        <v>42877</v>
      </c>
      <c r="B1213" s="3">
        <v>45233</v>
      </c>
      <c r="C1213" t="s">
        <v>28</v>
      </c>
      <c r="D1213">
        <v>1.8728954717516899E-2</v>
      </c>
    </row>
    <row r="1214" spans="1:4" x14ac:dyDescent="0.25">
      <c r="A1214">
        <v>42877</v>
      </c>
      <c r="B1214" s="3">
        <v>45236</v>
      </c>
      <c r="C1214" t="s">
        <v>28</v>
      </c>
      <c r="D1214">
        <v>-4.8949890770018101E-3</v>
      </c>
    </row>
    <row r="1215" spans="1:4" x14ac:dyDescent="0.25">
      <c r="A1215">
        <v>42877</v>
      </c>
      <c r="B1215" s="3">
        <v>45237</v>
      </c>
      <c r="C1215" t="s">
        <v>28</v>
      </c>
      <c r="D1215">
        <v>5.1476486260071397E-4</v>
      </c>
    </row>
    <row r="1216" spans="1:4" x14ac:dyDescent="0.25">
      <c r="A1216">
        <v>42877</v>
      </c>
      <c r="B1216" s="3">
        <v>45238</v>
      </c>
      <c r="C1216" t="s">
        <v>28</v>
      </c>
      <c r="D1216">
        <v>4.5736241736449301E-4</v>
      </c>
    </row>
    <row r="1217" spans="1:4" x14ac:dyDescent="0.25">
      <c r="A1217">
        <v>42877</v>
      </c>
      <c r="B1217" s="3">
        <v>45239</v>
      </c>
      <c r="C1217" t="s">
        <v>28</v>
      </c>
      <c r="D1217">
        <v>-1.6114316880702972E-2</v>
      </c>
    </row>
    <row r="1218" spans="1:4" x14ac:dyDescent="0.25">
      <c r="A1218">
        <v>42877</v>
      </c>
      <c r="B1218" s="3">
        <v>45240</v>
      </c>
      <c r="C1218" t="s">
        <v>28</v>
      </c>
      <c r="D1218">
        <v>1.1993554420769215E-2</v>
      </c>
    </row>
    <row r="1219" spans="1:4" x14ac:dyDescent="0.25">
      <c r="A1219">
        <v>42877</v>
      </c>
      <c r="B1219" s="3">
        <v>45243</v>
      </c>
      <c r="C1219" t="s">
        <v>28</v>
      </c>
      <c r="D1219">
        <v>-1.093098777346313E-3</v>
      </c>
    </row>
    <row r="1220" spans="1:4" x14ac:dyDescent="0.25">
      <c r="A1220">
        <v>42877</v>
      </c>
      <c r="B1220" s="3">
        <v>45244</v>
      </c>
      <c r="C1220" t="s">
        <v>28</v>
      </c>
      <c r="D1220">
        <v>2.8220893815159798E-2</v>
      </c>
    </row>
    <row r="1221" spans="1:4" x14ac:dyDescent="0.25">
      <c r="A1221">
        <v>42877</v>
      </c>
      <c r="B1221" s="3">
        <v>45245</v>
      </c>
      <c r="C1221" t="s">
        <v>28</v>
      </c>
      <c r="D1221">
        <v>1.9100451841950417E-2</v>
      </c>
    </row>
    <row r="1222" spans="1:4" x14ac:dyDescent="0.25">
      <c r="A1222">
        <v>42877</v>
      </c>
      <c r="B1222" s="3">
        <v>45246</v>
      </c>
      <c r="C1222" t="s">
        <v>28</v>
      </c>
      <c r="D1222">
        <v>-1.7972981557250023E-2</v>
      </c>
    </row>
    <row r="1223" spans="1:4" x14ac:dyDescent="0.25">
      <c r="A1223">
        <v>42877</v>
      </c>
      <c r="B1223" s="3">
        <v>45247</v>
      </c>
      <c r="C1223" t="s">
        <v>28</v>
      </c>
      <c r="D1223">
        <v>-3.3021566923707724E-3</v>
      </c>
    </row>
    <row r="1224" spans="1:4" x14ac:dyDescent="0.25">
      <c r="A1224">
        <v>42877</v>
      </c>
      <c r="B1224" s="3">
        <v>45250</v>
      </c>
      <c r="C1224" t="s">
        <v>28</v>
      </c>
      <c r="D1224">
        <v>-1.2354066129773855E-3</v>
      </c>
    </row>
    <row r="1225" spans="1:4" x14ac:dyDescent="0.25">
      <c r="A1225">
        <v>42877</v>
      </c>
      <c r="B1225" s="3">
        <v>45251</v>
      </c>
      <c r="C1225" t="s">
        <v>28</v>
      </c>
      <c r="D1225">
        <v>1.3831140473484993E-2</v>
      </c>
    </row>
    <row r="1226" spans="1:4" x14ac:dyDescent="0.25">
      <c r="A1226">
        <v>42877</v>
      </c>
      <c r="B1226" s="3">
        <v>45252</v>
      </c>
      <c r="C1226" t="s">
        <v>28</v>
      </c>
      <c r="D1226">
        <v>4.5474269427359104E-3</v>
      </c>
    </row>
    <row r="1227" spans="1:4" x14ac:dyDescent="0.25">
      <c r="A1227">
        <v>42877</v>
      </c>
      <c r="B1227" s="3">
        <v>45254</v>
      </c>
      <c r="C1227" t="s">
        <v>28</v>
      </c>
      <c r="D1227">
        <v>1.0544350370764732E-2</v>
      </c>
    </row>
    <row r="1228" spans="1:4" x14ac:dyDescent="0.25">
      <c r="A1228">
        <v>42877</v>
      </c>
      <c r="B1228" s="3">
        <v>45257</v>
      </c>
      <c r="C1228" t="s">
        <v>28</v>
      </c>
      <c r="D1228">
        <v>-1.8628809601068497E-2</v>
      </c>
    </row>
    <row r="1229" spans="1:4" x14ac:dyDescent="0.25">
      <c r="A1229">
        <v>42877</v>
      </c>
      <c r="B1229" s="3">
        <v>45258</v>
      </c>
      <c r="C1229" t="s">
        <v>28</v>
      </c>
      <c r="D1229">
        <v>5.4553314112126827E-3</v>
      </c>
    </row>
    <row r="1230" spans="1:4" x14ac:dyDescent="0.25">
      <c r="A1230">
        <v>42877</v>
      </c>
      <c r="B1230" s="3">
        <v>45259</v>
      </c>
      <c r="C1230" t="s">
        <v>28</v>
      </c>
      <c r="D1230">
        <v>7.9172179102897644E-3</v>
      </c>
    </row>
    <row r="1231" spans="1:4" x14ac:dyDescent="0.25">
      <c r="A1231">
        <v>42877</v>
      </c>
      <c r="B1231" s="3">
        <v>45260</v>
      </c>
      <c r="C1231" t="s">
        <v>28</v>
      </c>
      <c r="D1231">
        <v>1.768745481967926E-2</v>
      </c>
    </row>
    <row r="1232" spans="1:4" x14ac:dyDescent="0.25">
      <c r="A1232">
        <v>42877</v>
      </c>
      <c r="B1232" s="3">
        <v>45261</v>
      </c>
      <c r="C1232" t="s">
        <v>28</v>
      </c>
      <c r="D1232">
        <v>2.4450793862342834E-2</v>
      </c>
    </row>
    <row r="1233" spans="1:4" x14ac:dyDescent="0.25">
      <c r="A1233">
        <v>42877</v>
      </c>
      <c r="B1233" s="3">
        <v>45264</v>
      </c>
      <c r="C1233" t="s">
        <v>28</v>
      </c>
      <c r="D1233">
        <v>2.3182425647974014E-3</v>
      </c>
    </row>
    <row r="1234" spans="1:4" x14ac:dyDescent="0.25">
      <c r="A1234">
        <v>42877</v>
      </c>
      <c r="B1234" s="3">
        <v>45265</v>
      </c>
      <c r="C1234" t="s">
        <v>28</v>
      </c>
      <c r="D1234">
        <v>-9.6194371581077576E-3</v>
      </c>
    </row>
    <row r="1235" spans="1:4" x14ac:dyDescent="0.25">
      <c r="A1235">
        <v>42877</v>
      </c>
      <c r="B1235" s="3">
        <v>45266</v>
      </c>
      <c r="C1235" t="s">
        <v>28</v>
      </c>
      <c r="D1235">
        <v>-1.7515090294182301E-3</v>
      </c>
    </row>
    <row r="1236" spans="1:4" x14ac:dyDescent="0.25">
      <c r="A1236">
        <v>42877</v>
      </c>
      <c r="B1236" s="3">
        <v>45267</v>
      </c>
      <c r="C1236" t="s">
        <v>28</v>
      </c>
      <c r="D1236">
        <v>4.3066651560366154E-3</v>
      </c>
    </row>
    <row r="1237" spans="1:4" x14ac:dyDescent="0.25">
      <c r="A1237">
        <v>42877</v>
      </c>
      <c r="B1237" s="3">
        <v>45268</v>
      </c>
      <c r="C1237" t="s">
        <v>28</v>
      </c>
      <c r="D1237">
        <v>-1.2017599307000637E-2</v>
      </c>
    </row>
    <row r="1238" spans="1:4" x14ac:dyDescent="0.25">
      <c r="A1238">
        <v>42877</v>
      </c>
      <c r="B1238" s="3">
        <v>45271</v>
      </c>
      <c r="C1238" t="s">
        <v>28</v>
      </c>
      <c r="D1238">
        <v>3.2418835908174515E-2</v>
      </c>
    </row>
    <row r="1239" spans="1:4" x14ac:dyDescent="0.25">
      <c r="A1239">
        <v>42877</v>
      </c>
      <c r="B1239" s="3">
        <v>45272</v>
      </c>
      <c r="C1239" t="s">
        <v>28</v>
      </c>
      <c r="D1239">
        <v>1.60895602311939E-3</v>
      </c>
    </row>
    <row r="1240" spans="1:4" x14ac:dyDescent="0.25">
      <c r="A1240">
        <v>42877</v>
      </c>
      <c r="B1240" s="3">
        <v>45273</v>
      </c>
      <c r="C1240" t="s">
        <v>28</v>
      </c>
      <c r="D1240">
        <v>1.5701102092862129E-2</v>
      </c>
    </row>
    <row r="1241" spans="1:4" x14ac:dyDescent="0.25">
      <c r="A1241">
        <v>42877</v>
      </c>
      <c r="B1241" s="3">
        <v>45274</v>
      </c>
      <c r="C1241" t="s">
        <v>28</v>
      </c>
      <c r="D1241">
        <v>2.918219193816185E-2</v>
      </c>
    </row>
    <row r="1242" spans="1:4" x14ac:dyDescent="0.25">
      <c r="A1242">
        <v>42877</v>
      </c>
      <c r="B1242" s="3">
        <v>45275</v>
      </c>
      <c r="C1242" t="s">
        <v>28</v>
      </c>
      <c r="D1242">
        <v>2.4290166329592466E-3</v>
      </c>
    </row>
    <row r="1243" spans="1:4" x14ac:dyDescent="0.25">
      <c r="A1243">
        <v>42877</v>
      </c>
      <c r="B1243" s="3">
        <v>45278</v>
      </c>
      <c r="C1243" t="s">
        <v>28</v>
      </c>
      <c r="D1243">
        <v>-1.8593583256006241E-2</v>
      </c>
    </row>
    <row r="1244" spans="1:4" x14ac:dyDescent="0.25">
      <c r="A1244">
        <v>42877</v>
      </c>
      <c r="B1244" s="3">
        <v>45279</v>
      </c>
      <c r="C1244" t="s">
        <v>28</v>
      </c>
      <c r="D1244">
        <v>2.015488687902689E-3</v>
      </c>
    </row>
    <row r="1245" spans="1:4" x14ac:dyDescent="0.25">
      <c r="A1245">
        <v>42877</v>
      </c>
      <c r="B1245" s="3">
        <v>45280</v>
      </c>
      <c r="C1245" t="s">
        <v>28</v>
      </c>
      <c r="D1245">
        <v>-6.4366827718913555E-3</v>
      </c>
    </row>
    <row r="1246" spans="1:4" x14ac:dyDescent="0.25">
      <c r="A1246">
        <v>42877</v>
      </c>
      <c r="B1246" s="3">
        <v>45281</v>
      </c>
      <c r="C1246" t="s">
        <v>28</v>
      </c>
      <c r="D1246">
        <v>1.5487384982407093E-2</v>
      </c>
    </row>
    <row r="1247" spans="1:4" x14ac:dyDescent="0.25">
      <c r="A1247">
        <v>42877</v>
      </c>
      <c r="B1247" s="3">
        <v>45282</v>
      </c>
      <c r="C1247" t="s">
        <v>28</v>
      </c>
      <c r="D1247">
        <v>5.283081904053688E-3</v>
      </c>
    </row>
    <row r="1248" spans="1:4" x14ac:dyDescent="0.25">
      <c r="A1248">
        <v>42877</v>
      </c>
      <c r="B1248" s="3">
        <v>45286</v>
      </c>
      <c r="C1248" t="s">
        <v>28</v>
      </c>
      <c r="D1248">
        <v>5.3544961847364902E-3</v>
      </c>
    </row>
    <row r="1249" spans="1:4" x14ac:dyDescent="0.25">
      <c r="A1249">
        <v>42877</v>
      </c>
      <c r="B1249" s="3">
        <v>45287</v>
      </c>
      <c r="C1249" t="s">
        <v>28</v>
      </c>
      <c r="D1249">
        <v>-2.6136639062315226E-3</v>
      </c>
    </row>
    <row r="1250" spans="1:4" x14ac:dyDescent="0.25">
      <c r="A1250">
        <v>42877</v>
      </c>
      <c r="B1250" s="3">
        <v>45288</v>
      </c>
      <c r="C1250" t="s">
        <v>28</v>
      </c>
      <c r="D1250">
        <v>-1.9283035071566701E-3</v>
      </c>
    </row>
    <row r="1251" spans="1:4" x14ac:dyDescent="0.25">
      <c r="A1251">
        <v>42877</v>
      </c>
      <c r="B1251" s="3">
        <v>45289</v>
      </c>
      <c r="C1251" t="s">
        <v>28</v>
      </c>
      <c r="D1251">
        <v>-1.0502303950488567E-2</v>
      </c>
    </row>
    <row r="1252" spans="1:4" x14ac:dyDescent="0.25">
      <c r="A1252">
        <v>52936</v>
      </c>
      <c r="B1252" s="3">
        <v>44929</v>
      </c>
      <c r="C1252" t="s">
        <v>34</v>
      </c>
      <c r="D1252">
        <v>4.0935492143034935E-3</v>
      </c>
    </row>
    <row r="1253" spans="1:4" x14ac:dyDescent="0.25">
      <c r="A1253">
        <v>52936</v>
      </c>
      <c r="B1253" s="3">
        <v>44930</v>
      </c>
      <c r="C1253" t="s">
        <v>34</v>
      </c>
      <c r="D1253">
        <v>1.630755327641964E-2</v>
      </c>
    </row>
    <row r="1254" spans="1:4" x14ac:dyDescent="0.25">
      <c r="A1254">
        <v>52936</v>
      </c>
      <c r="B1254" s="3">
        <v>44931</v>
      </c>
      <c r="C1254" t="s">
        <v>34</v>
      </c>
      <c r="D1254">
        <v>2.2636018693447113E-2</v>
      </c>
    </row>
    <row r="1255" spans="1:4" x14ac:dyDescent="0.25">
      <c r="A1255">
        <v>52936</v>
      </c>
      <c r="B1255" s="3">
        <v>44932</v>
      </c>
      <c r="C1255" t="s">
        <v>34</v>
      </c>
      <c r="D1255">
        <v>2.0734146237373352E-2</v>
      </c>
    </row>
    <row r="1256" spans="1:4" x14ac:dyDescent="0.25">
      <c r="A1256">
        <v>52936</v>
      </c>
      <c r="B1256" s="3">
        <v>44935</v>
      </c>
      <c r="C1256" t="s">
        <v>34</v>
      </c>
      <c r="D1256">
        <v>-2.3332376033067703E-2</v>
      </c>
    </row>
    <row r="1257" spans="1:4" x14ac:dyDescent="0.25">
      <c r="A1257">
        <v>52936</v>
      </c>
      <c r="B1257" s="3">
        <v>44936</v>
      </c>
      <c r="C1257" t="s">
        <v>34</v>
      </c>
      <c r="D1257">
        <v>1.4052838087081909E-2</v>
      </c>
    </row>
    <row r="1258" spans="1:4" x14ac:dyDescent="0.25">
      <c r="A1258">
        <v>52936</v>
      </c>
      <c r="B1258" s="3">
        <v>44937</v>
      </c>
      <c r="C1258" t="s">
        <v>34</v>
      </c>
      <c r="D1258">
        <v>-3.1319320201873779E-2</v>
      </c>
    </row>
    <row r="1259" spans="1:4" x14ac:dyDescent="0.25">
      <c r="A1259">
        <v>52936</v>
      </c>
      <c r="B1259" s="3">
        <v>44938</v>
      </c>
      <c r="C1259" t="s">
        <v>34</v>
      </c>
      <c r="D1259">
        <v>9.4420034438371658E-3</v>
      </c>
    </row>
    <row r="1260" spans="1:4" x14ac:dyDescent="0.25">
      <c r="A1260">
        <v>52936</v>
      </c>
      <c r="B1260" s="3">
        <v>44939</v>
      </c>
      <c r="C1260" t="s">
        <v>34</v>
      </c>
      <c r="D1260">
        <v>1.502275001257658E-2</v>
      </c>
    </row>
    <row r="1261" spans="1:4" x14ac:dyDescent="0.25">
      <c r="A1261">
        <v>52936</v>
      </c>
      <c r="B1261" s="3">
        <v>44943</v>
      </c>
      <c r="C1261" t="s">
        <v>34</v>
      </c>
      <c r="D1261">
        <v>-8.0983219668269157E-3</v>
      </c>
    </row>
    <row r="1262" spans="1:4" x14ac:dyDescent="0.25">
      <c r="A1262">
        <v>52936</v>
      </c>
      <c r="B1262" s="3">
        <v>44944</v>
      </c>
      <c r="C1262" t="s">
        <v>34</v>
      </c>
      <c r="D1262">
        <v>-1.1542788706719875E-2</v>
      </c>
    </row>
    <row r="1263" spans="1:4" x14ac:dyDescent="0.25">
      <c r="A1263">
        <v>52936</v>
      </c>
      <c r="B1263" s="3">
        <v>44945</v>
      </c>
      <c r="C1263" t="s">
        <v>34</v>
      </c>
      <c r="D1263">
        <v>-2.1361434832215309E-2</v>
      </c>
    </row>
    <row r="1264" spans="1:4" x14ac:dyDescent="0.25">
      <c r="A1264">
        <v>52936</v>
      </c>
      <c r="B1264" s="3">
        <v>44946</v>
      </c>
      <c r="C1264" t="s">
        <v>34</v>
      </c>
      <c r="D1264">
        <v>1.3387633487582207E-2</v>
      </c>
    </row>
    <row r="1265" spans="1:4" x14ac:dyDescent="0.25">
      <c r="A1265">
        <v>52936</v>
      </c>
      <c r="B1265" s="3">
        <v>44949</v>
      </c>
      <c r="C1265" t="s">
        <v>34</v>
      </c>
      <c r="D1265">
        <v>1.0051650926470757E-2</v>
      </c>
    </row>
    <row r="1266" spans="1:4" x14ac:dyDescent="0.25">
      <c r="A1266">
        <v>52936</v>
      </c>
      <c r="B1266" s="3">
        <v>44950</v>
      </c>
      <c r="C1266" t="s">
        <v>34</v>
      </c>
      <c r="D1266">
        <v>1.1373590677976608E-3</v>
      </c>
    </row>
    <row r="1267" spans="1:4" x14ac:dyDescent="0.25">
      <c r="A1267">
        <v>52936</v>
      </c>
      <c r="B1267" s="3">
        <v>44951</v>
      </c>
      <c r="C1267" t="s">
        <v>34</v>
      </c>
      <c r="D1267">
        <v>-1.4200294390320778E-3</v>
      </c>
    </row>
    <row r="1268" spans="1:4" x14ac:dyDescent="0.25">
      <c r="A1268">
        <v>52936</v>
      </c>
      <c r="B1268" s="3">
        <v>44952</v>
      </c>
      <c r="C1268" t="s">
        <v>34</v>
      </c>
      <c r="D1268">
        <v>-1.1376608163118362E-2</v>
      </c>
    </row>
    <row r="1269" spans="1:4" x14ac:dyDescent="0.25">
      <c r="A1269">
        <v>52936</v>
      </c>
      <c r="B1269" s="3">
        <v>44953</v>
      </c>
      <c r="C1269" t="s">
        <v>34</v>
      </c>
      <c r="D1269">
        <v>-4.6029877848923206E-3</v>
      </c>
    </row>
    <row r="1270" spans="1:4" x14ac:dyDescent="0.25">
      <c r="A1270">
        <v>52936</v>
      </c>
      <c r="B1270" s="3">
        <v>44956</v>
      </c>
      <c r="C1270" t="s">
        <v>34</v>
      </c>
      <c r="D1270">
        <v>6.0694483108818531E-3</v>
      </c>
    </row>
    <row r="1271" spans="1:4" x14ac:dyDescent="0.25">
      <c r="A1271">
        <v>52936</v>
      </c>
      <c r="B1271" s="3">
        <v>44957</v>
      </c>
      <c r="C1271" t="s">
        <v>34</v>
      </c>
      <c r="D1271">
        <v>2.6429133489727974E-2</v>
      </c>
    </row>
    <row r="1272" spans="1:4" x14ac:dyDescent="0.25">
      <c r="A1272">
        <v>52936</v>
      </c>
      <c r="B1272" s="3">
        <v>44958</v>
      </c>
      <c r="C1272" t="s">
        <v>34</v>
      </c>
      <c r="D1272">
        <v>4.0582165122032166E-2</v>
      </c>
    </row>
    <row r="1273" spans="1:4" x14ac:dyDescent="0.25">
      <c r="A1273">
        <v>52936</v>
      </c>
      <c r="B1273" s="3">
        <v>44959</v>
      </c>
      <c r="C1273" t="s">
        <v>34</v>
      </c>
      <c r="D1273">
        <v>2.5551391765475273E-2</v>
      </c>
    </row>
    <row r="1274" spans="1:4" x14ac:dyDescent="0.25">
      <c r="A1274">
        <v>52936</v>
      </c>
      <c r="B1274" s="3">
        <v>44960</v>
      </c>
      <c r="C1274" t="s">
        <v>34</v>
      </c>
      <c r="D1274">
        <v>1.25885009765625E-2</v>
      </c>
    </row>
    <row r="1275" spans="1:4" x14ac:dyDescent="0.25">
      <c r="A1275">
        <v>52936</v>
      </c>
      <c r="B1275" s="3">
        <v>44963</v>
      </c>
      <c r="C1275" t="s">
        <v>34</v>
      </c>
      <c r="D1275">
        <v>-1.0878061875700951E-2</v>
      </c>
    </row>
    <row r="1276" spans="1:4" x14ac:dyDescent="0.25">
      <c r="A1276">
        <v>52936</v>
      </c>
      <c r="B1276" s="3">
        <v>44964</v>
      </c>
      <c r="C1276" t="s">
        <v>34</v>
      </c>
      <c r="D1276">
        <v>1.6234688460826874E-2</v>
      </c>
    </row>
    <row r="1277" spans="1:4" x14ac:dyDescent="0.25">
      <c r="A1277">
        <v>52936</v>
      </c>
      <c r="B1277" s="3">
        <v>44965</v>
      </c>
      <c r="C1277" t="s">
        <v>34</v>
      </c>
      <c r="D1277">
        <v>-5.4110512137413025E-3</v>
      </c>
    </row>
    <row r="1278" spans="1:4" x14ac:dyDescent="0.25">
      <c r="A1278">
        <v>52936</v>
      </c>
      <c r="B1278" s="3">
        <v>44966</v>
      </c>
      <c r="C1278" t="s">
        <v>34</v>
      </c>
      <c r="D1278">
        <v>-3.4455910325050354E-2</v>
      </c>
    </row>
    <row r="1279" spans="1:4" x14ac:dyDescent="0.25">
      <c r="A1279">
        <v>52936</v>
      </c>
      <c r="B1279" s="3">
        <v>44967</v>
      </c>
      <c r="C1279" t="s">
        <v>34</v>
      </c>
      <c r="D1279">
        <v>-2.4148148950189352E-3</v>
      </c>
    </row>
    <row r="1280" spans="1:4" x14ac:dyDescent="0.25">
      <c r="A1280">
        <v>52936</v>
      </c>
      <c r="B1280" s="3">
        <v>44970</v>
      </c>
      <c r="C1280" t="s">
        <v>34</v>
      </c>
      <c r="D1280">
        <v>-1.3448090292513371E-2</v>
      </c>
    </row>
    <row r="1281" spans="1:4" x14ac:dyDescent="0.25">
      <c r="A1281">
        <v>52936</v>
      </c>
      <c r="B1281" s="3">
        <v>44971</v>
      </c>
      <c r="C1281" t="s">
        <v>34</v>
      </c>
      <c r="D1281">
        <v>8.1788236275315285E-3</v>
      </c>
    </row>
    <row r="1282" spans="1:4" x14ac:dyDescent="0.25">
      <c r="A1282">
        <v>52936</v>
      </c>
      <c r="B1282" s="3">
        <v>44972</v>
      </c>
      <c r="C1282" t="s">
        <v>34</v>
      </c>
      <c r="D1282">
        <v>-6.9226644933223724E-2</v>
      </c>
    </row>
    <row r="1283" spans="1:4" x14ac:dyDescent="0.25">
      <c r="A1283">
        <v>52936</v>
      </c>
      <c r="B1283" s="3">
        <v>44973</v>
      </c>
      <c r="C1283" t="s">
        <v>34</v>
      </c>
      <c r="D1283">
        <v>3.8059309124946594E-2</v>
      </c>
    </row>
    <row r="1284" spans="1:4" x14ac:dyDescent="0.25">
      <c r="A1284">
        <v>52936</v>
      </c>
      <c r="B1284" s="3">
        <v>44974</v>
      </c>
      <c r="C1284" t="s">
        <v>34</v>
      </c>
      <c r="D1284">
        <v>2.2670064121484756E-2</v>
      </c>
    </row>
    <row r="1285" spans="1:4" x14ac:dyDescent="0.25">
      <c r="A1285">
        <v>52936</v>
      </c>
      <c r="B1285" s="3">
        <v>44978</v>
      </c>
      <c r="C1285" t="s">
        <v>34</v>
      </c>
      <c r="D1285">
        <v>-4.7345362603664398E-2</v>
      </c>
    </row>
    <row r="1286" spans="1:4" x14ac:dyDescent="0.25">
      <c r="A1286">
        <v>52936</v>
      </c>
      <c r="B1286" s="3">
        <v>44979</v>
      </c>
      <c r="C1286" t="s">
        <v>34</v>
      </c>
      <c r="D1286">
        <v>3.1025508418679237E-2</v>
      </c>
    </row>
    <row r="1287" spans="1:4" x14ac:dyDescent="0.25">
      <c r="A1287">
        <v>52936</v>
      </c>
      <c r="B1287" s="3">
        <v>44980</v>
      </c>
      <c r="C1287" t="s">
        <v>34</v>
      </c>
      <c r="D1287">
        <v>-1.6996394842863083E-2</v>
      </c>
    </row>
    <row r="1288" spans="1:4" x14ac:dyDescent="0.25">
      <c r="A1288">
        <v>52936</v>
      </c>
      <c r="B1288" s="3">
        <v>44981</v>
      </c>
      <c r="C1288" t="s">
        <v>34</v>
      </c>
      <c r="D1288">
        <v>-1.9557785242795944E-2</v>
      </c>
    </row>
    <row r="1289" spans="1:4" x14ac:dyDescent="0.25">
      <c r="A1289">
        <v>52936</v>
      </c>
      <c r="B1289" s="3">
        <v>44984</v>
      </c>
      <c r="C1289" t="s">
        <v>34</v>
      </c>
      <c r="D1289">
        <v>-1.9080653786659241E-2</v>
      </c>
    </row>
    <row r="1290" spans="1:4" x14ac:dyDescent="0.25">
      <c r="A1290">
        <v>52936</v>
      </c>
      <c r="B1290" s="3">
        <v>44985</v>
      </c>
      <c r="C1290" t="s">
        <v>34</v>
      </c>
      <c r="D1290">
        <v>3.536661621183157E-3</v>
      </c>
    </row>
    <row r="1291" spans="1:4" x14ac:dyDescent="0.25">
      <c r="A1291">
        <v>52936</v>
      </c>
      <c r="B1291" s="3">
        <v>44986</v>
      </c>
      <c r="C1291" t="s">
        <v>34</v>
      </c>
      <c r="D1291">
        <v>-1.3215881772339344E-2</v>
      </c>
    </row>
    <row r="1292" spans="1:4" x14ac:dyDescent="0.25">
      <c r="A1292">
        <v>52936</v>
      </c>
      <c r="B1292" s="3">
        <v>44987</v>
      </c>
      <c r="C1292" t="s">
        <v>34</v>
      </c>
      <c r="D1292">
        <v>-1.0714191012084484E-2</v>
      </c>
    </row>
    <row r="1293" spans="1:4" x14ac:dyDescent="0.25">
      <c r="A1293">
        <v>52936</v>
      </c>
      <c r="B1293" s="3">
        <v>44988</v>
      </c>
      <c r="C1293" t="s">
        <v>34</v>
      </c>
      <c r="D1293">
        <v>-1.5043035382404923E-3</v>
      </c>
    </row>
    <row r="1294" spans="1:4" x14ac:dyDescent="0.25">
      <c r="A1294">
        <v>52936</v>
      </c>
      <c r="B1294" s="3">
        <v>44991</v>
      </c>
      <c r="C1294" t="s">
        <v>34</v>
      </c>
      <c r="D1294">
        <v>-1.2654359452426434E-2</v>
      </c>
    </row>
    <row r="1295" spans="1:4" x14ac:dyDescent="0.25">
      <c r="A1295">
        <v>52936</v>
      </c>
      <c r="B1295" s="3">
        <v>44992</v>
      </c>
      <c r="C1295" t="s">
        <v>34</v>
      </c>
      <c r="D1295">
        <v>-2.6548698544502258E-2</v>
      </c>
    </row>
    <row r="1296" spans="1:4" x14ac:dyDescent="0.25">
      <c r="A1296">
        <v>52936</v>
      </c>
      <c r="B1296" s="3">
        <v>44993</v>
      </c>
      <c r="C1296" t="s">
        <v>34</v>
      </c>
      <c r="D1296">
        <v>-2.1943477913737297E-3</v>
      </c>
    </row>
    <row r="1297" spans="1:4" x14ac:dyDescent="0.25">
      <c r="A1297">
        <v>52936</v>
      </c>
      <c r="B1297" s="3">
        <v>44994</v>
      </c>
      <c r="C1297" t="s">
        <v>34</v>
      </c>
      <c r="D1297">
        <v>-1.6022628173232079E-2</v>
      </c>
    </row>
    <row r="1298" spans="1:4" x14ac:dyDescent="0.25">
      <c r="A1298">
        <v>52936</v>
      </c>
      <c r="B1298" s="3">
        <v>44995</v>
      </c>
      <c r="C1298" t="s">
        <v>34</v>
      </c>
      <c r="D1298">
        <v>-2.6500636711716652E-2</v>
      </c>
    </row>
    <row r="1299" spans="1:4" x14ac:dyDescent="0.25">
      <c r="A1299">
        <v>52936</v>
      </c>
      <c r="B1299" s="3">
        <v>44998</v>
      </c>
      <c r="C1299" t="s">
        <v>34</v>
      </c>
      <c r="D1299">
        <v>-2.0662484690546989E-2</v>
      </c>
    </row>
    <row r="1300" spans="1:4" x14ac:dyDescent="0.25">
      <c r="A1300">
        <v>52936</v>
      </c>
      <c r="B1300" s="3">
        <v>44999</v>
      </c>
      <c r="C1300" t="s">
        <v>34</v>
      </c>
      <c r="D1300">
        <v>3.6419909447431564E-2</v>
      </c>
    </row>
    <row r="1301" spans="1:4" x14ac:dyDescent="0.25">
      <c r="A1301">
        <v>52936</v>
      </c>
      <c r="B1301" s="3">
        <v>45000</v>
      </c>
      <c r="C1301" t="s">
        <v>34</v>
      </c>
      <c r="D1301">
        <v>-1.8282711505889893E-2</v>
      </c>
    </row>
    <row r="1302" spans="1:4" x14ac:dyDescent="0.25">
      <c r="A1302">
        <v>52936</v>
      </c>
      <c r="B1302" s="3">
        <v>45001</v>
      </c>
      <c r="C1302" t="s">
        <v>34</v>
      </c>
      <c r="D1302">
        <v>4.0239475667476654E-2</v>
      </c>
    </row>
    <row r="1303" spans="1:4" x14ac:dyDescent="0.25">
      <c r="A1303">
        <v>52936</v>
      </c>
      <c r="B1303" s="3">
        <v>45002</v>
      </c>
      <c r="C1303" t="s">
        <v>34</v>
      </c>
      <c r="D1303">
        <v>-3.9322294294834137E-2</v>
      </c>
    </row>
    <row r="1304" spans="1:4" x14ac:dyDescent="0.25">
      <c r="A1304">
        <v>52936</v>
      </c>
      <c r="B1304" s="3">
        <v>45005</v>
      </c>
      <c r="C1304" t="s">
        <v>34</v>
      </c>
      <c r="D1304">
        <v>4.9917316064238548E-3</v>
      </c>
    </row>
    <row r="1305" spans="1:4" x14ac:dyDescent="0.25">
      <c r="A1305">
        <v>52936</v>
      </c>
      <c r="B1305" s="3">
        <v>45006</v>
      </c>
      <c r="C1305" t="s">
        <v>34</v>
      </c>
      <c r="D1305">
        <v>1.8543027341365814E-2</v>
      </c>
    </row>
    <row r="1306" spans="1:4" x14ac:dyDescent="0.25">
      <c r="A1306">
        <v>52936</v>
      </c>
      <c r="B1306" s="3">
        <v>45007</v>
      </c>
      <c r="C1306" t="s">
        <v>34</v>
      </c>
      <c r="D1306">
        <v>-2.7308197692036629E-2</v>
      </c>
    </row>
    <row r="1307" spans="1:4" x14ac:dyDescent="0.25">
      <c r="A1307">
        <v>52936</v>
      </c>
      <c r="B1307" s="3">
        <v>45008</v>
      </c>
      <c r="C1307" t="s">
        <v>34</v>
      </c>
      <c r="D1307">
        <v>-1.1363641358911991E-2</v>
      </c>
    </row>
    <row r="1308" spans="1:4" x14ac:dyDescent="0.25">
      <c r="A1308">
        <v>52936</v>
      </c>
      <c r="B1308" s="3">
        <v>45009</v>
      </c>
      <c r="C1308" t="s">
        <v>34</v>
      </c>
      <c r="D1308">
        <v>3.0764024704694748E-2</v>
      </c>
    </row>
    <row r="1309" spans="1:4" x14ac:dyDescent="0.25">
      <c r="A1309">
        <v>52936</v>
      </c>
      <c r="B1309" s="3">
        <v>45012</v>
      </c>
      <c r="C1309" t="s">
        <v>34</v>
      </c>
      <c r="D1309">
        <v>3.6077601835131645E-3</v>
      </c>
    </row>
    <row r="1310" spans="1:4" x14ac:dyDescent="0.25">
      <c r="A1310">
        <v>52936</v>
      </c>
      <c r="B1310" s="3">
        <v>45013</v>
      </c>
      <c r="C1310" t="s">
        <v>34</v>
      </c>
      <c r="D1310">
        <v>1.7973830923438072E-2</v>
      </c>
    </row>
    <row r="1311" spans="1:4" x14ac:dyDescent="0.25">
      <c r="A1311">
        <v>52936</v>
      </c>
      <c r="B1311" s="3">
        <v>45014</v>
      </c>
      <c r="C1311" t="s">
        <v>34</v>
      </c>
      <c r="D1311">
        <v>1.2199071235954762E-2</v>
      </c>
    </row>
    <row r="1312" spans="1:4" x14ac:dyDescent="0.25">
      <c r="A1312">
        <v>52936</v>
      </c>
      <c r="B1312" s="3">
        <v>45015</v>
      </c>
      <c r="C1312" t="s">
        <v>34</v>
      </c>
      <c r="D1312">
        <v>-5.0745271146297455E-3</v>
      </c>
    </row>
    <row r="1313" spans="1:4" x14ac:dyDescent="0.25">
      <c r="A1313">
        <v>52936</v>
      </c>
      <c r="B1313" s="3">
        <v>45016</v>
      </c>
      <c r="C1313" t="s">
        <v>34</v>
      </c>
      <c r="D1313">
        <v>1.1794674210250378E-2</v>
      </c>
    </row>
    <row r="1314" spans="1:4" x14ac:dyDescent="0.25">
      <c r="A1314">
        <v>52936</v>
      </c>
      <c r="B1314" s="3">
        <v>45019</v>
      </c>
      <c r="C1314" t="s">
        <v>34</v>
      </c>
      <c r="D1314">
        <v>4.0958118624985218E-3</v>
      </c>
    </row>
    <row r="1315" spans="1:4" x14ac:dyDescent="0.25">
      <c r="A1315">
        <v>52936</v>
      </c>
      <c r="B1315" s="3">
        <v>45020</v>
      </c>
      <c r="C1315" t="s">
        <v>34</v>
      </c>
      <c r="D1315">
        <v>5.334172397851944E-3</v>
      </c>
    </row>
    <row r="1316" spans="1:4" x14ac:dyDescent="0.25">
      <c r="A1316">
        <v>52936</v>
      </c>
      <c r="B1316" s="3">
        <v>45021</v>
      </c>
      <c r="C1316" t="s">
        <v>34</v>
      </c>
      <c r="D1316">
        <v>2.1223479881882668E-2</v>
      </c>
    </row>
    <row r="1317" spans="1:4" x14ac:dyDescent="0.25">
      <c r="A1317">
        <v>52936</v>
      </c>
      <c r="B1317" s="3">
        <v>45022</v>
      </c>
      <c r="C1317" t="s">
        <v>34</v>
      </c>
      <c r="D1317">
        <v>-3.3618768211454153E-3</v>
      </c>
    </row>
    <row r="1318" spans="1:4" x14ac:dyDescent="0.25">
      <c r="A1318">
        <v>52936</v>
      </c>
      <c r="B1318" s="3">
        <v>45026</v>
      </c>
      <c r="C1318" t="s">
        <v>34</v>
      </c>
      <c r="D1318">
        <v>1.5946041792631149E-2</v>
      </c>
    </row>
    <row r="1319" spans="1:4" x14ac:dyDescent="0.25">
      <c r="A1319">
        <v>52936</v>
      </c>
      <c r="B1319" s="3">
        <v>45027</v>
      </c>
      <c r="C1319" t="s">
        <v>34</v>
      </c>
      <c r="D1319">
        <v>2.4146698415279388E-3</v>
      </c>
    </row>
    <row r="1320" spans="1:4" x14ac:dyDescent="0.25">
      <c r="A1320">
        <v>52936</v>
      </c>
      <c r="B1320" s="3">
        <v>45028</v>
      </c>
      <c r="C1320" t="s">
        <v>34</v>
      </c>
      <c r="D1320">
        <v>-3.5230297595262527E-2</v>
      </c>
    </row>
    <row r="1321" spans="1:4" x14ac:dyDescent="0.25">
      <c r="A1321">
        <v>52936</v>
      </c>
      <c r="B1321" s="3">
        <v>45029</v>
      </c>
      <c r="C1321" t="s">
        <v>34</v>
      </c>
      <c r="D1321">
        <v>-3.7453208118677139E-2</v>
      </c>
    </row>
    <row r="1322" spans="1:4" x14ac:dyDescent="0.25">
      <c r="A1322">
        <v>52936</v>
      </c>
      <c r="B1322" s="3">
        <v>45030</v>
      </c>
      <c r="C1322" t="s">
        <v>34</v>
      </c>
      <c r="D1322">
        <v>-2.7561619877815247E-2</v>
      </c>
    </row>
    <row r="1323" spans="1:4" x14ac:dyDescent="0.25">
      <c r="A1323">
        <v>52936</v>
      </c>
      <c r="B1323" s="3">
        <v>45033</v>
      </c>
      <c r="C1323" t="s">
        <v>34</v>
      </c>
      <c r="D1323">
        <v>8.0026602372527122E-3</v>
      </c>
    </row>
    <row r="1324" spans="1:4" x14ac:dyDescent="0.25">
      <c r="A1324">
        <v>52936</v>
      </c>
      <c r="B1324" s="3">
        <v>45034</v>
      </c>
      <c r="C1324" t="s">
        <v>34</v>
      </c>
      <c r="D1324">
        <v>6.6160957794636488E-4</v>
      </c>
    </row>
    <row r="1325" spans="1:4" x14ac:dyDescent="0.25">
      <c r="A1325">
        <v>52936</v>
      </c>
      <c r="B1325" s="3">
        <v>45035</v>
      </c>
      <c r="C1325" t="s">
        <v>34</v>
      </c>
      <c r="D1325">
        <v>2.909088134765625E-2</v>
      </c>
    </row>
    <row r="1326" spans="1:4" x14ac:dyDescent="0.25">
      <c r="A1326">
        <v>52936</v>
      </c>
      <c r="B1326" s="3">
        <v>45036</v>
      </c>
      <c r="C1326" t="s">
        <v>34</v>
      </c>
      <c r="D1326">
        <v>-4.1760089807212353E-3</v>
      </c>
    </row>
    <row r="1327" spans="1:4" x14ac:dyDescent="0.25">
      <c r="A1327">
        <v>52936</v>
      </c>
      <c r="B1327" s="3">
        <v>45037</v>
      </c>
      <c r="C1327" t="s">
        <v>34</v>
      </c>
      <c r="D1327">
        <v>6.4517604187130928E-4</v>
      </c>
    </row>
    <row r="1328" spans="1:4" x14ac:dyDescent="0.25">
      <c r="A1328">
        <v>52936</v>
      </c>
      <c r="B1328" s="3">
        <v>45040</v>
      </c>
      <c r="C1328" t="s">
        <v>34</v>
      </c>
      <c r="D1328">
        <v>-7.4145565740764141E-3</v>
      </c>
    </row>
    <row r="1329" spans="1:4" x14ac:dyDescent="0.25">
      <c r="A1329">
        <v>52936</v>
      </c>
      <c r="B1329" s="3">
        <v>45041</v>
      </c>
      <c r="C1329" t="s">
        <v>34</v>
      </c>
      <c r="D1329">
        <v>-1.5914311632514E-2</v>
      </c>
    </row>
    <row r="1330" spans="1:4" x14ac:dyDescent="0.25">
      <c r="A1330">
        <v>52936</v>
      </c>
      <c r="B1330" s="3">
        <v>45042</v>
      </c>
      <c r="C1330" t="s">
        <v>34</v>
      </c>
      <c r="D1330">
        <v>-2.3102210834622383E-3</v>
      </c>
    </row>
    <row r="1331" spans="1:4" x14ac:dyDescent="0.25">
      <c r="A1331">
        <v>52936</v>
      </c>
      <c r="B1331" s="3">
        <v>45043</v>
      </c>
      <c r="C1331" t="s">
        <v>34</v>
      </c>
      <c r="D1331">
        <v>3.4402940422296524E-2</v>
      </c>
    </row>
    <row r="1332" spans="1:4" x14ac:dyDescent="0.25">
      <c r="A1332">
        <v>52936</v>
      </c>
      <c r="B1332" s="3">
        <v>45044</v>
      </c>
      <c r="C1332" t="s">
        <v>34</v>
      </c>
      <c r="D1332">
        <v>-2.750241756439209E-2</v>
      </c>
    </row>
    <row r="1333" spans="1:4" x14ac:dyDescent="0.25">
      <c r="A1333">
        <v>52936</v>
      </c>
      <c r="B1333" s="3">
        <v>45047</v>
      </c>
      <c r="C1333" t="s">
        <v>34</v>
      </c>
      <c r="D1333">
        <v>-1.3153242180123925E-3</v>
      </c>
    </row>
    <row r="1334" spans="1:4" x14ac:dyDescent="0.25">
      <c r="A1334">
        <v>52936</v>
      </c>
      <c r="B1334" s="3">
        <v>45048</v>
      </c>
      <c r="C1334" t="s">
        <v>34</v>
      </c>
      <c r="D1334">
        <v>-2.9634557664394379E-2</v>
      </c>
    </row>
    <row r="1335" spans="1:4" x14ac:dyDescent="0.25">
      <c r="A1335">
        <v>52936</v>
      </c>
      <c r="B1335" s="3">
        <v>45049</v>
      </c>
      <c r="C1335" t="s">
        <v>34</v>
      </c>
      <c r="D1335">
        <v>-7.1258596144616604E-3</v>
      </c>
    </row>
    <row r="1336" spans="1:4" x14ac:dyDescent="0.25">
      <c r="A1336">
        <v>52936</v>
      </c>
      <c r="B1336" s="3">
        <v>45050</v>
      </c>
      <c r="C1336" t="s">
        <v>34</v>
      </c>
      <c r="D1336">
        <v>9.2276297509670258E-3</v>
      </c>
    </row>
    <row r="1337" spans="1:4" x14ac:dyDescent="0.25">
      <c r="A1337">
        <v>52936</v>
      </c>
      <c r="B1337" s="3">
        <v>45051</v>
      </c>
      <c r="C1337" t="s">
        <v>34</v>
      </c>
      <c r="D1337">
        <v>-3.3864640863612294E-4</v>
      </c>
    </row>
    <row r="1338" spans="1:4" x14ac:dyDescent="0.25">
      <c r="A1338">
        <v>52936</v>
      </c>
      <c r="B1338" s="3">
        <v>45054</v>
      </c>
      <c r="C1338" t="s">
        <v>34</v>
      </c>
      <c r="D1338">
        <v>4.0650041773915291E-3</v>
      </c>
    </row>
    <row r="1339" spans="1:4" x14ac:dyDescent="0.25">
      <c r="A1339">
        <v>52936</v>
      </c>
      <c r="B1339" s="3">
        <v>45055</v>
      </c>
      <c r="C1339" t="s">
        <v>34</v>
      </c>
      <c r="D1339">
        <v>7.7598332427442074E-3</v>
      </c>
    </row>
    <row r="1340" spans="1:4" x14ac:dyDescent="0.25">
      <c r="A1340">
        <v>52936</v>
      </c>
      <c r="B1340" s="3">
        <v>45056</v>
      </c>
      <c r="C1340" t="s">
        <v>34</v>
      </c>
      <c r="D1340">
        <v>-5.0218119286000729E-3</v>
      </c>
    </row>
    <row r="1341" spans="1:4" x14ac:dyDescent="0.25">
      <c r="A1341">
        <v>52936</v>
      </c>
      <c r="B1341" s="3">
        <v>45057</v>
      </c>
      <c r="C1341" t="s">
        <v>34</v>
      </c>
      <c r="D1341">
        <v>-5.3835748694837093E-3</v>
      </c>
    </row>
    <row r="1342" spans="1:4" x14ac:dyDescent="0.25">
      <c r="A1342">
        <v>52936</v>
      </c>
      <c r="B1342" s="3">
        <v>45058</v>
      </c>
      <c r="C1342" t="s">
        <v>34</v>
      </c>
      <c r="D1342">
        <v>-6.7654094891622663E-4</v>
      </c>
    </row>
    <row r="1343" spans="1:4" x14ac:dyDescent="0.25">
      <c r="A1343">
        <v>52936</v>
      </c>
      <c r="B1343" s="3">
        <v>45061</v>
      </c>
      <c r="C1343" t="s">
        <v>34</v>
      </c>
      <c r="D1343">
        <v>1.997285895049572E-2</v>
      </c>
    </row>
    <row r="1344" spans="1:4" x14ac:dyDescent="0.25">
      <c r="A1344">
        <v>52936</v>
      </c>
      <c r="B1344" s="3">
        <v>45062</v>
      </c>
      <c r="C1344" t="s">
        <v>34</v>
      </c>
      <c r="D1344">
        <v>9.6249887719750404E-3</v>
      </c>
    </row>
    <row r="1345" spans="1:4" x14ac:dyDescent="0.25">
      <c r="A1345">
        <v>52936</v>
      </c>
      <c r="B1345" s="3">
        <v>45063</v>
      </c>
      <c r="C1345" t="s">
        <v>34</v>
      </c>
      <c r="D1345">
        <v>1.1505600996315479E-2</v>
      </c>
    </row>
    <row r="1346" spans="1:4" x14ac:dyDescent="0.25">
      <c r="A1346">
        <v>52936</v>
      </c>
      <c r="B1346" s="3">
        <v>45064</v>
      </c>
      <c r="C1346" t="s">
        <v>34</v>
      </c>
      <c r="D1346">
        <v>9.4247320666909218E-3</v>
      </c>
    </row>
    <row r="1347" spans="1:4" x14ac:dyDescent="0.25">
      <c r="A1347">
        <v>52936</v>
      </c>
      <c r="B1347" s="3">
        <v>45065</v>
      </c>
      <c r="C1347" t="s">
        <v>34</v>
      </c>
      <c r="D1347">
        <v>-5.4732798598706722E-3</v>
      </c>
    </row>
    <row r="1348" spans="1:4" x14ac:dyDescent="0.25">
      <c r="A1348">
        <v>52936</v>
      </c>
      <c r="B1348" s="3">
        <v>45068</v>
      </c>
      <c r="C1348" t="s">
        <v>34</v>
      </c>
      <c r="D1348">
        <v>1.0035654529929161E-2</v>
      </c>
    </row>
    <row r="1349" spans="1:4" x14ac:dyDescent="0.25">
      <c r="A1349">
        <v>52936</v>
      </c>
      <c r="B1349" s="3">
        <v>45069</v>
      </c>
      <c r="C1349" t="s">
        <v>34</v>
      </c>
      <c r="D1349">
        <v>-2.2435922175645828E-2</v>
      </c>
    </row>
    <row r="1350" spans="1:4" x14ac:dyDescent="0.25">
      <c r="A1350">
        <v>52936</v>
      </c>
      <c r="B1350" s="3">
        <v>45070</v>
      </c>
      <c r="C1350" t="s">
        <v>34</v>
      </c>
      <c r="D1350">
        <v>-2.8524618595838547E-2</v>
      </c>
    </row>
    <row r="1351" spans="1:4" x14ac:dyDescent="0.25">
      <c r="A1351">
        <v>52936</v>
      </c>
      <c r="B1351" s="3">
        <v>45071</v>
      </c>
      <c r="C1351" t="s">
        <v>34</v>
      </c>
      <c r="D1351">
        <v>-6.7494268296286464E-4</v>
      </c>
    </row>
    <row r="1352" spans="1:4" x14ac:dyDescent="0.25">
      <c r="A1352">
        <v>52936</v>
      </c>
      <c r="B1352" s="3">
        <v>45072</v>
      </c>
      <c r="C1352" t="s">
        <v>34</v>
      </c>
      <c r="D1352">
        <v>-2.0263888873159885E-3</v>
      </c>
    </row>
    <row r="1353" spans="1:4" x14ac:dyDescent="0.25">
      <c r="A1353">
        <v>52936</v>
      </c>
      <c r="B1353" s="3">
        <v>45076</v>
      </c>
      <c r="C1353" t="s">
        <v>34</v>
      </c>
      <c r="D1353">
        <v>2.368868887424469E-2</v>
      </c>
    </row>
    <row r="1354" spans="1:4" x14ac:dyDescent="0.25">
      <c r="A1354">
        <v>52936</v>
      </c>
      <c r="B1354" s="3">
        <v>45077</v>
      </c>
      <c r="C1354" t="s">
        <v>34</v>
      </c>
      <c r="D1354">
        <v>-7.9338764771819115E-3</v>
      </c>
    </row>
    <row r="1355" spans="1:4" x14ac:dyDescent="0.25">
      <c r="A1355">
        <v>52936</v>
      </c>
      <c r="B1355" s="3">
        <v>45078</v>
      </c>
      <c r="C1355" t="s">
        <v>34</v>
      </c>
      <c r="D1355">
        <v>-1.1662791483104229E-2</v>
      </c>
    </row>
    <row r="1356" spans="1:4" x14ac:dyDescent="0.25">
      <c r="A1356">
        <v>52936</v>
      </c>
      <c r="B1356" s="3">
        <v>45079</v>
      </c>
      <c r="C1356" t="s">
        <v>34</v>
      </c>
      <c r="D1356">
        <v>2.0566439256072044E-2</v>
      </c>
    </row>
    <row r="1357" spans="1:4" x14ac:dyDescent="0.25">
      <c r="A1357">
        <v>52936</v>
      </c>
      <c r="B1357" s="3">
        <v>45082</v>
      </c>
      <c r="C1357" t="s">
        <v>34</v>
      </c>
      <c r="D1357">
        <v>-2.6759212836623192E-2</v>
      </c>
    </row>
    <row r="1358" spans="1:4" x14ac:dyDescent="0.25">
      <c r="A1358">
        <v>52936</v>
      </c>
      <c r="B1358" s="3">
        <v>45083</v>
      </c>
      <c r="C1358" t="s">
        <v>34</v>
      </c>
      <c r="D1358">
        <v>2.8173858299851418E-2</v>
      </c>
    </row>
    <row r="1359" spans="1:4" x14ac:dyDescent="0.25">
      <c r="A1359">
        <v>52936</v>
      </c>
      <c r="B1359" s="3">
        <v>45084</v>
      </c>
      <c r="C1359" t="s">
        <v>34</v>
      </c>
      <c r="D1359">
        <v>3.3014196902513504E-2</v>
      </c>
    </row>
    <row r="1360" spans="1:4" x14ac:dyDescent="0.25">
      <c r="A1360">
        <v>52936</v>
      </c>
      <c r="B1360" s="3">
        <v>45085</v>
      </c>
      <c r="C1360" t="s">
        <v>34</v>
      </c>
      <c r="D1360">
        <v>-1.949506439268589E-2</v>
      </c>
    </row>
    <row r="1361" spans="1:4" x14ac:dyDescent="0.25">
      <c r="A1361">
        <v>52936</v>
      </c>
      <c r="B1361" s="3">
        <v>45086</v>
      </c>
      <c r="C1361" t="s">
        <v>34</v>
      </c>
      <c r="D1361">
        <v>-2.9335059225559235E-2</v>
      </c>
    </row>
    <row r="1362" spans="1:4" x14ac:dyDescent="0.25">
      <c r="A1362">
        <v>52936</v>
      </c>
      <c r="B1362" s="3">
        <v>45089</v>
      </c>
      <c r="C1362" t="s">
        <v>34</v>
      </c>
      <c r="D1362">
        <v>-2.3506246507167816E-3</v>
      </c>
    </row>
    <row r="1363" spans="1:4" x14ac:dyDescent="0.25">
      <c r="A1363">
        <v>52936</v>
      </c>
      <c r="B1363" s="3">
        <v>45090</v>
      </c>
      <c r="C1363" t="s">
        <v>34</v>
      </c>
      <c r="D1363">
        <v>6.73189468216151E-4</v>
      </c>
    </row>
    <row r="1364" spans="1:4" x14ac:dyDescent="0.25">
      <c r="A1364">
        <v>52936</v>
      </c>
      <c r="B1364" s="3">
        <v>45091</v>
      </c>
      <c r="C1364" t="s">
        <v>34</v>
      </c>
      <c r="D1364">
        <v>-9.1658309102058411E-3</v>
      </c>
    </row>
    <row r="1365" spans="1:4" x14ac:dyDescent="0.25">
      <c r="A1365">
        <v>52936</v>
      </c>
      <c r="B1365" s="3">
        <v>45092</v>
      </c>
      <c r="C1365" t="s">
        <v>34</v>
      </c>
      <c r="D1365">
        <v>-3.0885434243828058E-3</v>
      </c>
    </row>
    <row r="1366" spans="1:4" x14ac:dyDescent="0.25">
      <c r="A1366">
        <v>52936</v>
      </c>
      <c r="B1366" s="3">
        <v>45093</v>
      </c>
      <c r="C1366" t="s">
        <v>34</v>
      </c>
      <c r="D1366">
        <v>5.4044805467128754E-2</v>
      </c>
    </row>
    <row r="1367" spans="1:4" x14ac:dyDescent="0.25">
      <c r="A1367">
        <v>52936</v>
      </c>
      <c r="B1367" s="3">
        <v>45097</v>
      </c>
      <c r="C1367" t="s">
        <v>34</v>
      </c>
      <c r="D1367">
        <v>6.8582324311137199E-3</v>
      </c>
    </row>
    <row r="1368" spans="1:4" x14ac:dyDescent="0.25">
      <c r="A1368">
        <v>52936</v>
      </c>
      <c r="B1368" s="3">
        <v>45098</v>
      </c>
      <c r="C1368" t="s">
        <v>34</v>
      </c>
      <c r="D1368">
        <v>1.3947463594377041E-2</v>
      </c>
    </row>
    <row r="1369" spans="1:4" x14ac:dyDescent="0.25">
      <c r="A1369">
        <v>52936</v>
      </c>
      <c r="B1369" s="3">
        <v>45099</v>
      </c>
      <c r="C1369" t="s">
        <v>34</v>
      </c>
      <c r="D1369">
        <v>1.7594344913959503E-2</v>
      </c>
    </row>
    <row r="1370" spans="1:4" x14ac:dyDescent="0.25">
      <c r="A1370">
        <v>52936</v>
      </c>
      <c r="B1370" s="3">
        <v>45100</v>
      </c>
      <c r="C1370" t="s">
        <v>34</v>
      </c>
      <c r="D1370">
        <v>-3.7723951041698456E-2</v>
      </c>
    </row>
    <row r="1371" spans="1:4" x14ac:dyDescent="0.25">
      <c r="A1371">
        <v>52936</v>
      </c>
      <c r="B1371" s="3">
        <v>45103</v>
      </c>
      <c r="C1371" t="s">
        <v>34</v>
      </c>
      <c r="D1371">
        <v>2.613522345200181E-3</v>
      </c>
    </row>
    <row r="1372" spans="1:4" x14ac:dyDescent="0.25">
      <c r="A1372">
        <v>52936</v>
      </c>
      <c r="B1372" s="3">
        <v>45104</v>
      </c>
      <c r="C1372" t="s">
        <v>34</v>
      </c>
      <c r="D1372">
        <v>-6.8426518701016903E-3</v>
      </c>
    </row>
    <row r="1373" spans="1:4" x14ac:dyDescent="0.25">
      <c r="A1373">
        <v>52936</v>
      </c>
      <c r="B1373" s="3">
        <v>45105</v>
      </c>
      <c r="C1373" t="s">
        <v>34</v>
      </c>
      <c r="D1373">
        <v>-3.0511820688843727E-2</v>
      </c>
    </row>
    <row r="1374" spans="1:4" x14ac:dyDescent="0.25">
      <c r="A1374">
        <v>52936</v>
      </c>
      <c r="B1374" s="3">
        <v>45106</v>
      </c>
      <c r="C1374" t="s">
        <v>34</v>
      </c>
      <c r="D1374">
        <v>3.6886639893054962E-2</v>
      </c>
    </row>
    <row r="1375" spans="1:4" x14ac:dyDescent="0.25">
      <c r="A1375">
        <v>52936</v>
      </c>
      <c r="B1375" s="3">
        <v>45107</v>
      </c>
      <c r="C1375" t="s">
        <v>34</v>
      </c>
      <c r="D1375">
        <v>-1.2075683102011681E-2</v>
      </c>
    </row>
    <row r="1376" spans="1:4" x14ac:dyDescent="0.25">
      <c r="A1376">
        <v>52936</v>
      </c>
      <c r="B1376" s="3">
        <v>45110</v>
      </c>
      <c r="C1376" t="s">
        <v>34</v>
      </c>
      <c r="D1376">
        <v>-6.607352988794446E-4</v>
      </c>
    </row>
    <row r="1377" spans="1:4" x14ac:dyDescent="0.25">
      <c r="A1377">
        <v>52936</v>
      </c>
      <c r="B1377" s="3">
        <v>45112</v>
      </c>
      <c r="C1377" t="s">
        <v>34</v>
      </c>
      <c r="D1377">
        <v>-3.1404983252286911E-2</v>
      </c>
    </row>
    <row r="1378" spans="1:4" x14ac:dyDescent="0.25">
      <c r="A1378">
        <v>52936</v>
      </c>
      <c r="B1378" s="3">
        <v>45113</v>
      </c>
      <c r="C1378" t="s">
        <v>34</v>
      </c>
      <c r="D1378">
        <v>-1.5017018653452396E-2</v>
      </c>
    </row>
    <row r="1379" spans="1:4" x14ac:dyDescent="0.25">
      <c r="A1379">
        <v>52936</v>
      </c>
      <c r="B1379" s="3">
        <v>45114</v>
      </c>
      <c r="C1379" t="s">
        <v>34</v>
      </c>
      <c r="D1379">
        <v>1.3166983611881733E-2</v>
      </c>
    </row>
    <row r="1380" spans="1:4" x14ac:dyDescent="0.25">
      <c r="A1380">
        <v>52936</v>
      </c>
      <c r="B1380" s="3">
        <v>45117</v>
      </c>
      <c r="C1380" t="s">
        <v>34</v>
      </c>
      <c r="D1380">
        <v>-1.2311922386288643E-2</v>
      </c>
    </row>
    <row r="1381" spans="1:4" x14ac:dyDescent="0.25">
      <c r="A1381">
        <v>52936</v>
      </c>
      <c r="B1381" s="3">
        <v>45118</v>
      </c>
      <c r="C1381" t="s">
        <v>34</v>
      </c>
      <c r="D1381">
        <v>-1.5581678599119186E-2</v>
      </c>
    </row>
    <row r="1382" spans="1:4" x14ac:dyDescent="0.25">
      <c r="A1382">
        <v>52936</v>
      </c>
      <c r="B1382" s="3">
        <v>45119</v>
      </c>
      <c r="C1382" t="s">
        <v>34</v>
      </c>
      <c r="D1382">
        <v>4.7836814075708389E-2</v>
      </c>
    </row>
    <row r="1383" spans="1:4" x14ac:dyDescent="0.25">
      <c r="A1383">
        <v>52936</v>
      </c>
      <c r="B1383" s="3">
        <v>45120</v>
      </c>
      <c r="C1383" t="s">
        <v>34</v>
      </c>
      <c r="D1383">
        <v>-1.946968212723732E-2</v>
      </c>
    </row>
    <row r="1384" spans="1:4" x14ac:dyDescent="0.25">
      <c r="A1384">
        <v>52936</v>
      </c>
      <c r="B1384" s="3">
        <v>45121</v>
      </c>
      <c r="C1384" t="s">
        <v>34</v>
      </c>
      <c r="D1384">
        <v>-1.7117425799369812E-2</v>
      </c>
    </row>
    <row r="1385" spans="1:4" x14ac:dyDescent="0.25">
      <c r="A1385">
        <v>52936</v>
      </c>
      <c r="B1385" s="3">
        <v>45124</v>
      </c>
      <c r="C1385" t="s">
        <v>34</v>
      </c>
      <c r="D1385">
        <v>1.5674008056521416E-2</v>
      </c>
    </row>
    <row r="1386" spans="1:4" x14ac:dyDescent="0.25">
      <c r="A1386">
        <v>52936</v>
      </c>
      <c r="B1386" s="3">
        <v>45125</v>
      </c>
      <c r="C1386" t="s">
        <v>34</v>
      </c>
      <c r="D1386">
        <v>1.3374464586377144E-2</v>
      </c>
    </row>
    <row r="1387" spans="1:4" x14ac:dyDescent="0.25">
      <c r="A1387">
        <v>52936</v>
      </c>
      <c r="B1387" s="3">
        <v>45126</v>
      </c>
      <c r="C1387" t="s">
        <v>34</v>
      </c>
      <c r="D1387">
        <v>7.7834674157202244E-3</v>
      </c>
    </row>
    <row r="1388" spans="1:4" x14ac:dyDescent="0.25">
      <c r="A1388">
        <v>52936</v>
      </c>
      <c r="B1388" s="3">
        <v>45127</v>
      </c>
      <c r="C1388" t="s">
        <v>34</v>
      </c>
      <c r="D1388">
        <v>2.2498322650790215E-2</v>
      </c>
    </row>
    <row r="1389" spans="1:4" x14ac:dyDescent="0.25">
      <c r="A1389">
        <v>52936</v>
      </c>
      <c r="B1389" s="3">
        <v>45128</v>
      </c>
      <c r="C1389" t="s">
        <v>34</v>
      </c>
      <c r="D1389">
        <v>-1.9704883452504873E-3</v>
      </c>
    </row>
    <row r="1390" spans="1:4" x14ac:dyDescent="0.25">
      <c r="A1390">
        <v>52936</v>
      </c>
      <c r="B1390" s="3">
        <v>45131</v>
      </c>
      <c r="C1390" t="s">
        <v>34</v>
      </c>
      <c r="D1390">
        <v>1.0858832858502865E-2</v>
      </c>
    </row>
    <row r="1391" spans="1:4" x14ac:dyDescent="0.25">
      <c r="A1391">
        <v>52936</v>
      </c>
      <c r="B1391" s="3">
        <v>45132</v>
      </c>
      <c r="C1391" t="s">
        <v>34</v>
      </c>
      <c r="D1391">
        <v>-3.2552829361520708E-4</v>
      </c>
    </row>
    <row r="1392" spans="1:4" x14ac:dyDescent="0.25">
      <c r="A1392">
        <v>52936</v>
      </c>
      <c r="B1392" s="3">
        <v>45133</v>
      </c>
      <c r="C1392" t="s">
        <v>34</v>
      </c>
      <c r="D1392">
        <v>2.0840160548686981E-2</v>
      </c>
    </row>
    <row r="1393" spans="1:4" x14ac:dyDescent="0.25">
      <c r="A1393">
        <v>52936</v>
      </c>
      <c r="B1393" s="3">
        <v>45134</v>
      </c>
      <c r="C1393" t="s">
        <v>34</v>
      </c>
      <c r="D1393">
        <v>-4.4657508842647076E-3</v>
      </c>
    </row>
    <row r="1394" spans="1:4" x14ac:dyDescent="0.25">
      <c r="A1394">
        <v>52936</v>
      </c>
      <c r="B1394" s="3">
        <v>45135</v>
      </c>
      <c r="C1394" t="s">
        <v>34</v>
      </c>
      <c r="D1394">
        <v>2.1467480808496475E-2</v>
      </c>
    </row>
    <row r="1395" spans="1:4" x14ac:dyDescent="0.25">
      <c r="A1395">
        <v>52936</v>
      </c>
      <c r="B1395" s="3">
        <v>45138</v>
      </c>
      <c r="C1395" t="s">
        <v>34</v>
      </c>
      <c r="D1395">
        <v>9.4103245064616203E-3</v>
      </c>
    </row>
    <row r="1396" spans="1:4" x14ac:dyDescent="0.25">
      <c r="A1396">
        <v>52936</v>
      </c>
      <c r="B1396" s="3">
        <v>45139</v>
      </c>
      <c r="C1396" t="s">
        <v>34</v>
      </c>
      <c r="D1396">
        <v>-1.6469879075884819E-2</v>
      </c>
    </row>
    <row r="1397" spans="1:4" x14ac:dyDescent="0.25">
      <c r="A1397">
        <v>52936</v>
      </c>
      <c r="B1397" s="3">
        <v>45140</v>
      </c>
      <c r="C1397" t="s">
        <v>34</v>
      </c>
      <c r="D1397">
        <v>-3.7598755210638046E-2</v>
      </c>
    </row>
    <row r="1398" spans="1:4" x14ac:dyDescent="0.25">
      <c r="A1398">
        <v>52936</v>
      </c>
      <c r="B1398" s="3">
        <v>45141</v>
      </c>
      <c r="C1398" t="s">
        <v>34</v>
      </c>
      <c r="D1398">
        <v>1.9369671121239662E-2</v>
      </c>
    </row>
    <row r="1399" spans="1:4" x14ac:dyDescent="0.25">
      <c r="A1399">
        <v>52936</v>
      </c>
      <c r="B1399" s="3">
        <v>45142</v>
      </c>
      <c r="C1399" t="s">
        <v>34</v>
      </c>
      <c r="D1399">
        <v>-1.6747135668992996E-2</v>
      </c>
    </row>
    <row r="1400" spans="1:4" x14ac:dyDescent="0.25">
      <c r="A1400">
        <v>52936</v>
      </c>
      <c r="B1400" s="3">
        <v>45145</v>
      </c>
      <c r="C1400" t="s">
        <v>34</v>
      </c>
      <c r="D1400">
        <v>2.9806742444634438E-2</v>
      </c>
    </row>
    <row r="1401" spans="1:4" x14ac:dyDescent="0.25">
      <c r="A1401">
        <v>52936</v>
      </c>
      <c r="B1401" s="3">
        <v>45146</v>
      </c>
      <c r="C1401" t="s">
        <v>34</v>
      </c>
      <c r="D1401">
        <v>-6.6794208250939846E-3</v>
      </c>
    </row>
    <row r="1402" spans="1:4" x14ac:dyDescent="0.25">
      <c r="A1402">
        <v>52936</v>
      </c>
      <c r="B1402" s="3">
        <v>45147</v>
      </c>
      <c r="C1402" t="s">
        <v>34</v>
      </c>
      <c r="D1402">
        <v>-1.2807879829779267E-3</v>
      </c>
    </row>
    <row r="1403" spans="1:4" x14ac:dyDescent="0.25">
      <c r="A1403">
        <v>52936</v>
      </c>
      <c r="B1403" s="3">
        <v>45148</v>
      </c>
      <c r="C1403" t="s">
        <v>34</v>
      </c>
      <c r="D1403">
        <v>-6.4124580239877105E-4</v>
      </c>
    </row>
    <row r="1404" spans="1:4" x14ac:dyDescent="0.25">
      <c r="A1404">
        <v>52936</v>
      </c>
      <c r="B1404" s="3">
        <v>45149</v>
      </c>
      <c r="C1404" t="s">
        <v>34</v>
      </c>
      <c r="D1404">
        <v>-6.4165727235376835E-4</v>
      </c>
    </row>
    <row r="1405" spans="1:4" x14ac:dyDescent="0.25">
      <c r="A1405">
        <v>52936</v>
      </c>
      <c r="B1405" s="3">
        <v>45152</v>
      </c>
      <c r="C1405" t="s">
        <v>34</v>
      </c>
      <c r="D1405">
        <v>-5.4574664682149887E-3</v>
      </c>
    </row>
    <row r="1406" spans="1:4" x14ac:dyDescent="0.25">
      <c r="A1406">
        <v>52936</v>
      </c>
      <c r="B1406" s="3">
        <v>45153</v>
      </c>
      <c r="C1406" t="s">
        <v>34</v>
      </c>
      <c r="D1406">
        <v>-3.357001394033432E-2</v>
      </c>
    </row>
    <row r="1407" spans="1:4" x14ac:dyDescent="0.25">
      <c r="A1407">
        <v>52936</v>
      </c>
      <c r="B1407" s="3">
        <v>45154</v>
      </c>
      <c r="C1407" t="s">
        <v>34</v>
      </c>
      <c r="D1407">
        <v>8.350033313035965E-3</v>
      </c>
    </row>
    <row r="1408" spans="1:4" x14ac:dyDescent="0.25">
      <c r="A1408">
        <v>52936</v>
      </c>
      <c r="B1408" s="3">
        <v>45155</v>
      </c>
      <c r="C1408" t="s">
        <v>34</v>
      </c>
      <c r="D1408">
        <v>-8.2808872684836388E-3</v>
      </c>
    </row>
    <row r="1409" spans="1:4" x14ac:dyDescent="0.25">
      <c r="A1409">
        <v>52936</v>
      </c>
      <c r="B1409" s="3">
        <v>45156</v>
      </c>
      <c r="C1409" t="s">
        <v>34</v>
      </c>
      <c r="D1409">
        <v>-3.406815230846405E-2</v>
      </c>
    </row>
    <row r="1410" spans="1:4" x14ac:dyDescent="0.25">
      <c r="A1410">
        <v>52936</v>
      </c>
      <c r="B1410" s="3">
        <v>45159</v>
      </c>
      <c r="C1410" t="s">
        <v>34</v>
      </c>
      <c r="D1410">
        <v>-2.4204596411436796E-3</v>
      </c>
    </row>
    <row r="1411" spans="1:4" x14ac:dyDescent="0.25">
      <c r="A1411">
        <v>52936</v>
      </c>
      <c r="B1411" s="3">
        <v>45160</v>
      </c>
      <c r="C1411" t="s">
        <v>34</v>
      </c>
      <c r="D1411">
        <v>-9.3587683513760567E-3</v>
      </c>
    </row>
    <row r="1412" spans="1:4" x14ac:dyDescent="0.25">
      <c r="A1412">
        <v>52936</v>
      </c>
      <c r="B1412" s="3">
        <v>45161</v>
      </c>
      <c r="C1412" t="s">
        <v>34</v>
      </c>
      <c r="D1412">
        <v>-1.0497091570869088E-3</v>
      </c>
    </row>
    <row r="1413" spans="1:4" x14ac:dyDescent="0.25">
      <c r="A1413">
        <v>52936</v>
      </c>
      <c r="B1413" s="3">
        <v>45162</v>
      </c>
      <c r="C1413" t="s">
        <v>34</v>
      </c>
      <c r="D1413">
        <v>1.2259207665920258E-2</v>
      </c>
    </row>
    <row r="1414" spans="1:4" x14ac:dyDescent="0.25">
      <c r="A1414">
        <v>52936</v>
      </c>
      <c r="B1414" s="3">
        <v>45163</v>
      </c>
      <c r="C1414" t="s">
        <v>34</v>
      </c>
      <c r="D1414">
        <v>9.6886055544018745E-3</v>
      </c>
    </row>
    <row r="1415" spans="1:4" x14ac:dyDescent="0.25">
      <c r="A1415">
        <v>52936</v>
      </c>
      <c r="B1415" s="3">
        <v>45166</v>
      </c>
      <c r="C1415" t="s">
        <v>34</v>
      </c>
      <c r="D1415">
        <v>-7.5394525192677975E-3</v>
      </c>
    </row>
    <row r="1416" spans="1:4" x14ac:dyDescent="0.25">
      <c r="A1416">
        <v>52936</v>
      </c>
      <c r="B1416" s="3">
        <v>45167</v>
      </c>
      <c r="C1416" t="s">
        <v>34</v>
      </c>
      <c r="D1416">
        <v>5.1796110346913338E-3</v>
      </c>
    </row>
    <row r="1417" spans="1:4" x14ac:dyDescent="0.25">
      <c r="A1417">
        <v>52936</v>
      </c>
      <c r="B1417" s="3">
        <v>45168</v>
      </c>
      <c r="C1417" t="s">
        <v>34</v>
      </c>
      <c r="D1417">
        <v>7.2139841504395008E-3</v>
      </c>
    </row>
    <row r="1418" spans="1:4" x14ac:dyDescent="0.25">
      <c r="A1418">
        <v>52936</v>
      </c>
      <c r="B1418" s="3">
        <v>45169</v>
      </c>
      <c r="C1418" t="s">
        <v>34</v>
      </c>
      <c r="D1418">
        <v>-2.4215521290898323E-2</v>
      </c>
    </row>
    <row r="1419" spans="1:4" x14ac:dyDescent="0.25">
      <c r="A1419">
        <v>52936</v>
      </c>
      <c r="B1419" s="3">
        <v>45170</v>
      </c>
      <c r="C1419" t="s">
        <v>34</v>
      </c>
      <c r="D1419">
        <v>2.0971500780433416E-3</v>
      </c>
    </row>
    <row r="1420" spans="1:4" x14ac:dyDescent="0.25">
      <c r="A1420">
        <v>52936</v>
      </c>
      <c r="B1420" s="3">
        <v>45174</v>
      </c>
      <c r="C1420" t="s">
        <v>34</v>
      </c>
      <c r="D1420">
        <v>-2.7206161990761757E-2</v>
      </c>
    </row>
    <row r="1421" spans="1:4" x14ac:dyDescent="0.25">
      <c r="A1421">
        <v>52936</v>
      </c>
      <c r="B1421" s="3">
        <v>45175</v>
      </c>
      <c r="C1421" t="s">
        <v>34</v>
      </c>
      <c r="D1421">
        <v>-1.4341702917590737E-3</v>
      </c>
    </row>
    <row r="1422" spans="1:4" x14ac:dyDescent="0.25">
      <c r="A1422">
        <v>52936</v>
      </c>
      <c r="B1422" s="3">
        <v>45176</v>
      </c>
      <c r="C1422" t="s">
        <v>34</v>
      </c>
      <c r="D1422">
        <v>1.0412890464067459E-2</v>
      </c>
    </row>
    <row r="1423" spans="1:4" x14ac:dyDescent="0.25">
      <c r="A1423">
        <v>52936</v>
      </c>
      <c r="B1423" s="3">
        <v>45177</v>
      </c>
      <c r="C1423" t="s">
        <v>34</v>
      </c>
      <c r="D1423">
        <v>-1.7768030520528555E-3</v>
      </c>
    </row>
    <row r="1424" spans="1:4" x14ac:dyDescent="0.25">
      <c r="A1424">
        <v>52936</v>
      </c>
      <c r="B1424" s="3">
        <v>45180</v>
      </c>
      <c r="C1424" t="s">
        <v>34</v>
      </c>
      <c r="D1424">
        <v>1.9223887473344803E-2</v>
      </c>
    </row>
    <row r="1425" spans="1:4" x14ac:dyDescent="0.25">
      <c r="A1425">
        <v>52936</v>
      </c>
      <c r="B1425" s="3">
        <v>45181</v>
      </c>
      <c r="C1425" t="s">
        <v>34</v>
      </c>
      <c r="D1425">
        <v>2.0258467644453049E-2</v>
      </c>
    </row>
    <row r="1426" spans="1:4" x14ac:dyDescent="0.25">
      <c r="A1426">
        <v>52936</v>
      </c>
      <c r="B1426" s="3">
        <v>45182</v>
      </c>
      <c r="C1426" t="s">
        <v>34</v>
      </c>
      <c r="D1426">
        <v>9.5002055168151855E-3</v>
      </c>
    </row>
    <row r="1427" spans="1:4" x14ac:dyDescent="0.25">
      <c r="A1427">
        <v>52936</v>
      </c>
      <c r="B1427" s="3">
        <v>45183</v>
      </c>
      <c r="C1427" t="s">
        <v>34</v>
      </c>
      <c r="D1427">
        <v>6.5135597251355648E-3</v>
      </c>
    </row>
    <row r="1428" spans="1:4" x14ac:dyDescent="0.25">
      <c r="A1428">
        <v>52936</v>
      </c>
      <c r="B1428" s="3">
        <v>45184</v>
      </c>
      <c r="C1428" t="s">
        <v>34</v>
      </c>
      <c r="D1428">
        <v>-1.2602208182215691E-2</v>
      </c>
    </row>
    <row r="1429" spans="1:4" x14ac:dyDescent="0.25">
      <c r="A1429">
        <v>52936</v>
      </c>
      <c r="B1429" s="3">
        <v>45187</v>
      </c>
      <c r="C1429" t="s">
        <v>34</v>
      </c>
      <c r="D1429">
        <v>-1.8282189965248108E-2</v>
      </c>
    </row>
    <row r="1430" spans="1:4" x14ac:dyDescent="0.25">
      <c r="A1430">
        <v>52936</v>
      </c>
      <c r="B1430" s="3">
        <v>45188</v>
      </c>
      <c r="C1430" t="s">
        <v>34</v>
      </c>
      <c r="D1430">
        <v>-4.5677851885557175E-3</v>
      </c>
    </row>
    <row r="1431" spans="1:4" x14ac:dyDescent="0.25">
      <c r="A1431">
        <v>52936</v>
      </c>
      <c r="B1431" s="3">
        <v>45189</v>
      </c>
      <c r="C1431" t="s">
        <v>34</v>
      </c>
      <c r="D1431">
        <v>-3.1768498010933399E-3</v>
      </c>
    </row>
    <row r="1432" spans="1:4" x14ac:dyDescent="0.25">
      <c r="A1432">
        <v>52936</v>
      </c>
      <c r="B1432" s="3">
        <v>45190</v>
      </c>
      <c r="C1432" t="s">
        <v>34</v>
      </c>
      <c r="D1432">
        <v>-6.7280642688274384E-3</v>
      </c>
    </row>
    <row r="1433" spans="1:4" x14ac:dyDescent="0.25">
      <c r="A1433">
        <v>52936</v>
      </c>
      <c r="B1433" s="3">
        <v>45191</v>
      </c>
      <c r="C1433" t="s">
        <v>34</v>
      </c>
      <c r="D1433">
        <v>8.5562095046043396E-3</v>
      </c>
    </row>
    <row r="1434" spans="1:4" x14ac:dyDescent="0.25">
      <c r="A1434">
        <v>52936</v>
      </c>
      <c r="B1434" s="3">
        <v>45194</v>
      </c>
      <c r="C1434" t="s">
        <v>34</v>
      </c>
      <c r="D1434">
        <v>2.8278515674173832E-3</v>
      </c>
    </row>
    <row r="1435" spans="1:4" x14ac:dyDescent="0.25">
      <c r="A1435">
        <v>52936</v>
      </c>
      <c r="B1435" s="3">
        <v>45195</v>
      </c>
      <c r="C1435" t="s">
        <v>34</v>
      </c>
      <c r="D1435">
        <v>-1.0927083902060986E-2</v>
      </c>
    </row>
    <row r="1436" spans="1:4" x14ac:dyDescent="0.25">
      <c r="A1436">
        <v>52936</v>
      </c>
      <c r="B1436" s="3">
        <v>45196</v>
      </c>
      <c r="C1436" t="s">
        <v>34</v>
      </c>
      <c r="D1436">
        <v>-1.1404123157262802E-2</v>
      </c>
    </row>
    <row r="1437" spans="1:4" x14ac:dyDescent="0.25">
      <c r="A1437">
        <v>52936</v>
      </c>
      <c r="B1437" s="3">
        <v>45197</v>
      </c>
      <c r="C1437" t="s">
        <v>34</v>
      </c>
      <c r="D1437">
        <v>2.9560191556811333E-2</v>
      </c>
    </row>
    <row r="1438" spans="1:4" x14ac:dyDescent="0.25">
      <c r="A1438">
        <v>52936</v>
      </c>
      <c r="B1438" s="3">
        <v>45198</v>
      </c>
      <c r="C1438" t="s">
        <v>34</v>
      </c>
      <c r="D1438">
        <v>-1.8557380884885788E-2</v>
      </c>
    </row>
    <row r="1439" spans="1:4" x14ac:dyDescent="0.25">
      <c r="A1439">
        <v>52936</v>
      </c>
      <c r="B1439" s="3">
        <v>45201</v>
      </c>
      <c r="C1439" t="s">
        <v>34</v>
      </c>
      <c r="D1439">
        <v>-8.2055460661649704E-3</v>
      </c>
    </row>
    <row r="1440" spans="1:4" x14ac:dyDescent="0.25">
      <c r="A1440">
        <v>52936</v>
      </c>
      <c r="B1440" s="3">
        <v>45202</v>
      </c>
      <c r="C1440" t="s">
        <v>34</v>
      </c>
      <c r="D1440">
        <v>1.7986024031415582E-3</v>
      </c>
    </row>
    <row r="1441" spans="1:4" x14ac:dyDescent="0.25">
      <c r="A1441">
        <v>52936</v>
      </c>
      <c r="B1441" s="3">
        <v>45203</v>
      </c>
      <c r="C1441" t="s">
        <v>34</v>
      </c>
      <c r="D1441">
        <v>-5.3859828040003777E-3</v>
      </c>
    </row>
    <row r="1442" spans="1:4" x14ac:dyDescent="0.25">
      <c r="A1442">
        <v>52936</v>
      </c>
      <c r="B1442" s="3">
        <v>45204</v>
      </c>
      <c r="C1442" t="s">
        <v>34</v>
      </c>
      <c r="D1442">
        <v>1.6606464982032776E-2</v>
      </c>
    </row>
    <row r="1443" spans="1:4" x14ac:dyDescent="0.25">
      <c r="A1443">
        <v>52936</v>
      </c>
      <c r="B1443" s="3">
        <v>45205</v>
      </c>
      <c r="C1443" t="s">
        <v>34</v>
      </c>
      <c r="D1443">
        <v>8.1675974652171135E-3</v>
      </c>
    </row>
    <row r="1444" spans="1:4" x14ac:dyDescent="0.25">
      <c r="A1444">
        <v>52936</v>
      </c>
      <c r="B1444" s="3">
        <v>45208</v>
      </c>
      <c r="C1444" t="s">
        <v>34</v>
      </c>
      <c r="D1444">
        <v>1.2328298762440681E-2</v>
      </c>
    </row>
    <row r="1445" spans="1:4" x14ac:dyDescent="0.25">
      <c r="A1445">
        <v>52936</v>
      </c>
      <c r="B1445" s="3">
        <v>45209</v>
      </c>
      <c r="C1445" t="s">
        <v>34</v>
      </c>
      <c r="D1445">
        <v>-4.8712384887039661E-3</v>
      </c>
    </row>
    <row r="1446" spans="1:4" x14ac:dyDescent="0.25">
      <c r="A1446">
        <v>52936</v>
      </c>
      <c r="B1446" s="3">
        <v>45210</v>
      </c>
      <c r="C1446" t="s">
        <v>34</v>
      </c>
      <c r="D1446">
        <v>9.4405757263302803E-3</v>
      </c>
    </row>
    <row r="1447" spans="1:4" x14ac:dyDescent="0.25">
      <c r="A1447">
        <v>52936</v>
      </c>
      <c r="B1447" s="3">
        <v>45211</v>
      </c>
      <c r="C1447" t="s">
        <v>34</v>
      </c>
      <c r="D1447">
        <v>-8.65950807929039E-3</v>
      </c>
    </row>
    <row r="1448" spans="1:4" x14ac:dyDescent="0.25">
      <c r="A1448">
        <v>52936</v>
      </c>
      <c r="B1448" s="3">
        <v>45212</v>
      </c>
      <c r="C1448" t="s">
        <v>34</v>
      </c>
      <c r="D1448">
        <v>3.8784019649028778E-2</v>
      </c>
    </row>
    <row r="1449" spans="1:4" x14ac:dyDescent="0.25">
      <c r="A1449">
        <v>52936</v>
      </c>
      <c r="B1449" s="3">
        <v>45215</v>
      </c>
      <c r="C1449" t="s">
        <v>34</v>
      </c>
      <c r="D1449">
        <v>3.229064866900444E-2</v>
      </c>
    </row>
    <row r="1450" spans="1:4" x14ac:dyDescent="0.25">
      <c r="A1450">
        <v>52936</v>
      </c>
      <c r="B1450" s="3">
        <v>45216</v>
      </c>
      <c r="C1450" t="s">
        <v>34</v>
      </c>
      <c r="D1450">
        <v>1.9224507734179497E-2</v>
      </c>
    </row>
    <row r="1451" spans="1:4" x14ac:dyDescent="0.25">
      <c r="A1451">
        <v>52936</v>
      </c>
      <c r="B1451" s="3">
        <v>45217</v>
      </c>
      <c r="C1451" t="s">
        <v>34</v>
      </c>
      <c r="D1451">
        <v>-1.1828671209514141E-2</v>
      </c>
    </row>
    <row r="1452" spans="1:4" x14ac:dyDescent="0.25">
      <c r="A1452">
        <v>52936</v>
      </c>
      <c r="B1452" s="3">
        <v>45218</v>
      </c>
      <c r="C1452" t="s">
        <v>34</v>
      </c>
      <c r="D1452">
        <v>-1.2617256492376328E-2</v>
      </c>
    </row>
    <row r="1453" spans="1:4" x14ac:dyDescent="0.25">
      <c r="A1453">
        <v>52936</v>
      </c>
      <c r="B1453" s="3">
        <v>45219</v>
      </c>
      <c r="C1453" t="s">
        <v>34</v>
      </c>
      <c r="D1453">
        <v>-7.5360266491770744E-3</v>
      </c>
    </row>
    <row r="1454" spans="1:4" x14ac:dyDescent="0.25">
      <c r="A1454">
        <v>52936</v>
      </c>
      <c r="B1454" s="3">
        <v>45222</v>
      </c>
      <c r="C1454" t="s">
        <v>34</v>
      </c>
      <c r="D1454">
        <v>-2.773192897439003E-2</v>
      </c>
    </row>
    <row r="1455" spans="1:4" x14ac:dyDescent="0.25">
      <c r="A1455">
        <v>52936</v>
      </c>
      <c r="B1455" s="3">
        <v>45223</v>
      </c>
      <c r="C1455" t="s">
        <v>34</v>
      </c>
      <c r="D1455">
        <v>7.1306987665593624E-3</v>
      </c>
    </row>
    <row r="1456" spans="1:4" x14ac:dyDescent="0.25">
      <c r="A1456">
        <v>52936</v>
      </c>
      <c r="B1456" s="3">
        <v>45224</v>
      </c>
      <c r="C1456" t="s">
        <v>34</v>
      </c>
      <c r="D1456">
        <v>1.5171974897384644E-2</v>
      </c>
    </row>
    <row r="1457" spans="1:4" x14ac:dyDescent="0.25">
      <c r="A1457">
        <v>52936</v>
      </c>
      <c r="B1457" s="3">
        <v>45225</v>
      </c>
      <c r="C1457" t="s">
        <v>34</v>
      </c>
      <c r="D1457">
        <v>9.9630618933588266E-4</v>
      </c>
    </row>
    <row r="1458" spans="1:4" x14ac:dyDescent="0.25">
      <c r="A1458">
        <v>52936</v>
      </c>
      <c r="B1458" s="3">
        <v>45226</v>
      </c>
      <c r="C1458" t="s">
        <v>34</v>
      </c>
      <c r="D1458">
        <v>-1.6257457435131073E-2</v>
      </c>
    </row>
    <row r="1459" spans="1:4" x14ac:dyDescent="0.25">
      <c r="A1459">
        <v>52936</v>
      </c>
      <c r="B1459" s="3">
        <v>45229</v>
      </c>
      <c r="C1459" t="s">
        <v>34</v>
      </c>
      <c r="D1459">
        <v>2.3271519690752029E-2</v>
      </c>
    </row>
    <row r="1460" spans="1:4" x14ac:dyDescent="0.25">
      <c r="A1460">
        <v>52936</v>
      </c>
      <c r="B1460" s="3">
        <v>45230</v>
      </c>
      <c r="C1460" t="s">
        <v>34</v>
      </c>
      <c r="D1460">
        <v>1.7798252403736115E-2</v>
      </c>
    </row>
    <row r="1461" spans="1:4" x14ac:dyDescent="0.25">
      <c r="A1461">
        <v>52936</v>
      </c>
      <c r="B1461" s="3">
        <v>45231</v>
      </c>
      <c r="C1461" t="s">
        <v>34</v>
      </c>
      <c r="D1461">
        <v>0.21599741280078888</v>
      </c>
    </row>
    <row r="1462" spans="1:4" x14ac:dyDescent="0.25">
      <c r="A1462">
        <v>52936</v>
      </c>
      <c r="B1462" s="3">
        <v>45232</v>
      </c>
      <c r="C1462" t="s">
        <v>34</v>
      </c>
      <c r="D1462">
        <v>-1.4380849897861481E-2</v>
      </c>
    </row>
    <row r="1463" spans="1:4" x14ac:dyDescent="0.25">
      <c r="A1463">
        <v>52936</v>
      </c>
      <c r="B1463" s="3">
        <v>45233</v>
      </c>
      <c r="C1463" t="s">
        <v>34</v>
      </c>
      <c r="D1463">
        <v>-1.5401235781610012E-2</v>
      </c>
    </row>
    <row r="1464" spans="1:4" x14ac:dyDescent="0.25">
      <c r="A1464">
        <v>52936</v>
      </c>
      <c r="B1464" s="3">
        <v>45236</v>
      </c>
      <c r="C1464" t="s">
        <v>34</v>
      </c>
      <c r="D1464">
        <v>9.6048926934599876E-3</v>
      </c>
    </row>
    <row r="1465" spans="1:4" x14ac:dyDescent="0.25">
      <c r="A1465">
        <v>52936</v>
      </c>
      <c r="B1465" s="3">
        <v>45237</v>
      </c>
      <c r="C1465" t="s">
        <v>34</v>
      </c>
      <c r="D1465">
        <v>6.7953248508274555E-3</v>
      </c>
    </row>
    <row r="1466" spans="1:4" x14ac:dyDescent="0.25">
      <c r="A1466">
        <v>52936</v>
      </c>
      <c r="B1466" s="3">
        <v>45238</v>
      </c>
      <c r="C1466" t="s">
        <v>34</v>
      </c>
      <c r="D1466">
        <v>-1.079917699098587E-2</v>
      </c>
    </row>
    <row r="1467" spans="1:4" x14ac:dyDescent="0.25">
      <c r="A1467">
        <v>52936</v>
      </c>
      <c r="B1467" s="3">
        <v>45239</v>
      </c>
      <c r="C1467" t="s">
        <v>34</v>
      </c>
      <c r="D1467">
        <v>-8.4606325253844261E-3</v>
      </c>
    </row>
    <row r="1468" spans="1:4" x14ac:dyDescent="0.25">
      <c r="A1468">
        <v>52936</v>
      </c>
      <c r="B1468" s="3">
        <v>45240</v>
      </c>
      <c r="C1468" t="s">
        <v>34</v>
      </c>
      <c r="D1468">
        <v>-7.4318866245448589E-3</v>
      </c>
    </row>
    <row r="1469" spans="1:4" x14ac:dyDescent="0.25">
      <c r="A1469">
        <v>52936</v>
      </c>
      <c r="B1469" s="3">
        <v>45243</v>
      </c>
      <c r="C1469" t="s">
        <v>34</v>
      </c>
      <c r="D1469">
        <v>-9.7061088308691978E-3</v>
      </c>
    </row>
    <row r="1470" spans="1:4" x14ac:dyDescent="0.25">
      <c r="A1470">
        <v>52936</v>
      </c>
      <c r="B1470" s="3">
        <v>45244</v>
      </c>
      <c r="C1470" t="s">
        <v>34</v>
      </c>
      <c r="D1470">
        <v>2.7163295075297356E-2</v>
      </c>
    </row>
    <row r="1471" spans="1:4" x14ac:dyDescent="0.25">
      <c r="A1471">
        <v>52936</v>
      </c>
      <c r="B1471" s="3">
        <v>45245</v>
      </c>
      <c r="C1471" t="s">
        <v>34</v>
      </c>
      <c r="D1471">
        <v>-8.996778167784214E-3</v>
      </c>
    </row>
    <row r="1472" spans="1:4" x14ac:dyDescent="0.25">
      <c r="A1472">
        <v>52936</v>
      </c>
      <c r="B1472" s="3">
        <v>45246</v>
      </c>
      <c r="C1472" t="s">
        <v>34</v>
      </c>
      <c r="D1472">
        <v>-7.9779122024774551E-3</v>
      </c>
    </row>
    <row r="1473" spans="1:4" x14ac:dyDescent="0.25">
      <c r="A1473">
        <v>52936</v>
      </c>
      <c r="B1473" s="3">
        <v>45247</v>
      </c>
      <c r="C1473" t="s">
        <v>34</v>
      </c>
      <c r="D1473">
        <v>0</v>
      </c>
    </row>
    <row r="1474" spans="1:4" x14ac:dyDescent="0.25">
      <c r="A1474">
        <v>52936</v>
      </c>
      <c r="B1474" s="3">
        <v>45250</v>
      </c>
      <c r="C1474" t="s">
        <v>34</v>
      </c>
      <c r="D1474">
        <v>7.2101582773029804E-3</v>
      </c>
    </row>
    <row r="1475" spans="1:4" x14ac:dyDescent="0.25">
      <c r="A1475">
        <v>52936</v>
      </c>
      <c r="B1475" s="3">
        <v>45251</v>
      </c>
      <c r="C1475" t="s">
        <v>34</v>
      </c>
      <c r="D1475">
        <v>-2.7528419741429389E-4</v>
      </c>
    </row>
    <row r="1476" spans="1:4" x14ac:dyDescent="0.25">
      <c r="A1476">
        <v>52936</v>
      </c>
      <c r="B1476" s="3">
        <v>45252</v>
      </c>
      <c r="C1476" t="s">
        <v>34</v>
      </c>
      <c r="D1476">
        <v>8.2621658220887184E-3</v>
      </c>
    </row>
    <row r="1477" spans="1:4" x14ac:dyDescent="0.25">
      <c r="A1477">
        <v>52936</v>
      </c>
      <c r="B1477" s="3">
        <v>45254</v>
      </c>
      <c r="C1477" t="s">
        <v>34</v>
      </c>
      <c r="D1477">
        <v>7.101838942617178E-3</v>
      </c>
    </row>
    <row r="1478" spans="1:4" x14ac:dyDescent="0.25">
      <c r="A1478">
        <v>52936</v>
      </c>
      <c r="B1478" s="3">
        <v>45257</v>
      </c>
      <c r="C1478" t="s">
        <v>34</v>
      </c>
      <c r="D1478">
        <v>8.6791347712278366E-3</v>
      </c>
    </row>
    <row r="1479" spans="1:4" x14ac:dyDescent="0.25">
      <c r="A1479">
        <v>52936</v>
      </c>
      <c r="B1479" s="3">
        <v>45258</v>
      </c>
      <c r="C1479" t="s">
        <v>34</v>
      </c>
      <c r="D1479">
        <v>-1.3175527565181255E-2</v>
      </c>
    </row>
    <row r="1480" spans="1:4" x14ac:dyDescent="0.25">
      <c r="A1480">
        <v>52936</v>
      </c>
      <c r="B1480" s="3">
        <v>45259</v>
      </c>
      <c r="C1480" t="s">
        <v>34</v>
      </c>
      <c r="D1480">
        <v>-4.9046403728425503E-3</v>
      </c>
    </row>
    <row r="1481" spans="1:4" x14ac:dyDescent="0.25">
      <c r="A1481">
        <v>52936</v>
      </c>
      <c r="B1481" s="3">
        <v>45260</v>
      </c>
      <c r="C1481" t="s">
        <v>34</v>
      </c>
      <c r="D1481">
        <v>1.9989034160971642E-2</v>
      </c>
    </row>
    <row r="1482" spans="1:4" x14ac:dyDescent="0.25">
      <c r="A1482">
        <v>52936</v>
      </c>
      <c r="B1482" s="3">
        <v>45261</v>
      </c>
      <c r="C1482" t="s">
        <v>34</v>
      </c>
      <c r="D1482">
        <v>4.5369092375040054E-2</v>
      </c>
    </row>
    <row r="1483" spans="1:4" x14ac:dyDescent="0.25">
      <c r="A1483">
        <v>52936</v>
      </c>
      <c r="B1483" s="3">
        <v>45264</v>
      </c>
      <c r="C1483" t="s">
        <v>34</v>
      </c>
      <c r="D1483">
        <v>2.3882905021309853E-2</v>
      </c>
    </row>
    <row r="1484" spans="1:4" x14ac:dyDescent="0.25">
      <c r="A1484">
        <v>52936</v>
      </c>
      <c r="B1484" s="3">
        <v>45265</v>
      </c>
      <c r="C1484" t="s">
        <v>34</v>
      </c>
      <c r="D1484">
        <v>-1.1788247153162956E-2</v>
      </c>
    </row>
    <row r="1485" spans="1:4" x14ac:dyDescent="0.25">
      <c r="A1485">
        <v>52936</v>
      </c>
      <c r="B1485" s="3">
        <v>45266</v>
      </c>
      <c r="C1485" t="s">
        <v>34</v>
      </c>
      <c r="D1485">
        <v>-6.0914130881428719E-3</v>
      </c>
    </row>
    <row r="1486" spans="1:4" x14ac:dyDescent="0.25">
      <c r="A1486">
        <v>52936</v>
      </c>
      <c r="B1486" s="3">
        <v>45267</v>
      </c>
      <c r="C1486" t="s">
        <v>34</v>
      </c>
      <c r="D1486">
        <v>-1.532210735604167E-3</v>
      </c>
    </row>
    <row r="1487" spans="1:4" x14ac:dyDescent="0.25">
      <c r="A1487">
        <v>52936</v>
      </c>
      <c r="B1487" s="3">
        <v>45268</v>
      </c>
      <c r="C1487" t="s">
        <v>34</v>
      </c>
      <c r="D1487">
        <v>-5.3708208724856377E-3</v>
      </c>
    </row>
    <row r="1488" spans="1:4" x14ac:dyDescent="0.25">
      <c r="A1488">
        <v>52936</v>
      </c>
      <c r="B1488" s="3">
        <v>45271</v>
      </c>
      <c r="C1488" t="s">
        <v>34</v>
      </c>
      <c r="D1488">
        <v>8.2283290103077888E-3</v>
      </c>
    </row>
    <row r="1489" spans="1:4" x14ac:dyDescent="0.25">
      <c r="A1489">
        <v>52936</v>
      </c>
      <c r="B1489" s="3">
        <v>45272</v>
      </c>
      <c r="C1489" t="s">
        <v>34</v>
      </c>
      <c r="D1489">
        <v>1.3517026789486408E-2</v>
      </c>
    </row>
    <row r="1490" spans="1:4" x14ac:dyDescent="0.25">
      <c r="A1490">
        <v>52936</v>
      </c>
      <c r="B1490" s="3">
        <v>45273</v>
      </c>
      <c r="C1490" t="s">
        <v>34</v>
      </c>
      <c r="D1490">
        <v>-5.6618411326780915E-4</v>
      </c>
    </row>
    <row r="1491" spans="1:4" x14ac:dyDescent="0.25">
      <c r="A1491">
        <v>52936</v>
      </c>
      <c r="B1491" s="3">
        <v>45274</v>
      </c>
      <c r="C1491" t="s">
        <v>34</v>
      </c>
      <c r="D1491">
        <v>-2.2335052490234375E-2</v>
      </c>
    </row>
    <row r="1492" spans="1:4" x14ac:dyDescent="0.25">
      <c r="A1492">
        <v>52936</v>
      </c>
      <c r="B1492" s="3">
        <v>45275</v>
      </c>
      <c r="C1492" t="s">
        <v>34</v>
      </c>
      <c r="D1492">
        <v>-2.8296992182731628E-2</v>
      </c>
    </row>
    <row r="1493" spans="1:4" x14ac:dyDescent="0.25">
      <c r="A1493">
        <v>52936</v>
      </c>
      <c r="B1493" s="3">
        <v>45278</v>
      </c>
      <c r="C1493" t="s">
        <v>34</v>
      </c>
      <c r="D1493">
        <v>0</v>
      </c>
    </row>
    <row r="1494" spans="1:4" x14ac:dyDescent="0.25">
      <c r="A1494">
        <v>52936</v>
      </c>
      <c r="B1494" s="3">
        <v>45279</v>
      </c>
      <c r="C1494" t="s">
        <v>34</v>
      </c>
      <c r="D1494">
        <v>7.7478201128542423E-3</v>
      </c>
    </row>
    <row r="1495" spans="1:4" x14ac:dyDescent="0.25">
      <c r="A1495">
        <v>52936</v>
      </c>
      <c r="B1495" s="3">
        <v>45280</v>
      </c>
      <c r="C1495" t="s">
        <v>34</v>
      </c>
      <c r="D1495">
        <v>-1.0604494251310825E-2</v>
      </c>
    </row>
    <row r="1496" spans="1:4" x14ac:dyDescent="0.25">
      <c r="A1496">
        <v>52936</v>
      </c>
      <c r="B1496" s="3">
        <v>45281</v>
      </c>
      <c r="C1496" t="s">
        <v>34</v>
      </c>
      <c r="D1496">
        <v>4.287241492420435E-3</v>
      </c>
    </row>
    <row r="1497" spans="1:4" x14ac:dyDescent="0.25">
      <c r="A1497">
        <v>52936</v>
      </c>
      <c r="B1497" s="3">
        <v>45282</v>
      </c>
      <c r="C1497" t="s">
        <v>34</v>
      </c>
      <c r="D1497">
        <v>4.2689396068453789E-3</v>
      </c>
    </row>
    <row r="1498" spans="1:4" x14ac:dyDescent="0.25">
      <c r="A1498">
        <v>52936</v>
      </c>
      <c r="B1498" s="3">
        <v>45286</v>
      </c>
      <c r="C1498" t="s">
        <v>34</v>
      </c>
      <c r="D1498">
        <v>2.6573156355880201E-4</v>
      </c>
    </row>
    <row r="1499" spans="1:4" x14ac:dyDescent="0.25">
      <c r="A1499">
        <v>52936</v>
      </c>
      <c r="B1499" s="3">
        <v>45287</v>
      </c>
      <c r="C1499" t="s">
        <v>34</v>
      </c>
      <c r="D1499">
        <v>1.1420990340411663E-2</v>
      </c>
    </row>
    <row r="1500" spans="1:4" x14ac:dyDescent="0.25">
      <c r="A1500">
        <v>52936</v>
      </c>
      <c r="B1500" s="3">
        <v>45288</v>
      </c>
      <c r="C1500" t="s">
        <v>34</v>
      </c>
      <c r="D1500">
        <v>-6.8277870304882526E-3</v>
      </c>
    </row>
    <row r="1501" spans="1:4" x14ac:dyDescent="0.25">
      <c r="A1501">
        <v>52936</v>
      </c>
      <c r="B1501" s="3">
        <v>45289</v>
      </c>
      <c r="C1501" t="s">
        <v>34</v>
      </c>
      <c r="D1501">
        <v>-1.3484884053468704E-2</v>
      </c>
    </row>
    <row r="1502" spans="1:4" x14ac:dyDescent="0.25">
      <c r="A1502">
        <v>76721</v>
      </c>
      <c r="B1502" s="3">
        <v>44929</v>
      </c>
      <c r="C1502" t="s">
        <v>29</v>
      </c>
      <c r="D1502">
        <v>4.8166033811867237E-3</v>
      </c>
    </row>
    <row r="1503" spans="1:4" x14ac:dyDescent="0.25">
      <c r="A1503">
        <v>76721</v>
      </c>
      <c r="B1503" s="3">
        <v>44930</v>
      </c>
      <c r="C1503" t="s">
        <v>29</v>
      </c>
      <c r="D1503">
        <v>-1.7393641173839569E-2</v>
      </c>
    </row>
    <row r="1504" spans="1:4" x14ac:dyDescent="0.25">
      <c r="A1504">
        <v>76721</v>
      </c>
      <c r="B1504" s="3">
        <v>44931</v>
      </c>
      <c r="C1504" t="s">
        <v>29</v>
      </c>
      <c r="D1504">
        <v>-1.7353164032101631E-2</v>
      </c>
    </row>
    <row r="1505" spans="1:4" x14ac:dyDescent="0.25">
      <c r="A1505">
        <v>76721</v>
      </c>
      <c r="B1505" s="3">
        <v>44932</v>
      </c>
      <c r="C1505" t="s">
        <v>29</v>
      </c>
      <c r="D1505">
        <v>2.2127624601125717E-2</v>
      </c>
    </row>
    <row r="1506" spans="1:4" x14ac:dyDescent="0.25">
      <c r="A1506">
        <v>76721</v>
      </c>
      <c r="B1506" s="3">
        <v>44935</v>
      </c>
      <c r="C1506" t="s">
        <v>29</v>
      </c>
      <c r="D1506">
        <v>1.7346655949950218E-2</v>
      </c>
    </row>
    <row r="1507" spans="1:4" x14ac:dyDescent="0.25">
      <c r="A1507">
        <v>76721</v>
      </c>
      <c r="B1507" s="3">
        <v>44936</v>
      </c>
      <c r="C1507" t="s">
        <v>29</v>
      </c>
      <c r="D1507">
        <v>1.8619636073708534E-2</v>
      </c>
    </row>
    <row r="1508" spans="1:4" x14ac:dyDescent="0.25">
      <c r="A1508">
        <v>76721</v>
      </c>
      <c r="B1508" s="3">
        <v>44937</v>
      </c>
      <c r="C1508" t="s">
        <v>29</v>
      </c>
      <c r="D1508">
        <v>1.6069592908024788E-2</v>
      </c>
    </row>
    <row r="1509" spans="1:4" x14ac:dyDescent="0.25">
      <c r="A1509">
        <v>76721</v>
      </c>
      <c r="B1509" s="3">
        <v>44938</v>
      </c>
      <c r="C1509" t="s">
        <v>29</v>
      </c>
      <c r="D1509">
        <v>1.7528854310512543E-2</v>
      </c>
    </row>
    <row r="1510" spans="1:4" x14ac:dyDescent="0.25">
      <c r="A1510">
        <v>76721</v>
      </c>
      <c r="B1510" s="3">
        <v>44939</v>
      </c>
      <c r="C1510" t="s">
        <v>29</v>
      </c>
      <c r="D1510">
        <v>1.3081982731819153E-2</v>
      </c>
    </row>
    <row r="1511" spans="1:4" x14ac:dyDescent="0.25">
      <c r="A1511">
        <v>76721</v>
      </c>
      <c r="B1511" s="3">
        <v>44943</v>
      </c>
      <c r="C1511" t="s">
        <v>29</v>
      </c>
      <c r="D1511">
        <v>3.3050015568733215E-2</v>
      </c>
    </row>
    <row r="1512" spans="1:4" x14ac:dyDescent="0.25">
      <c r="A1512">
        <v>76721</v>
      </c>
      <c r="B1512" s="3">
        <v>44944</v>
      </c>
      <c r="C1512" t="s">
        <v>29</v>
      </c>
      <c r="D1512">
        <v>-1.3490147888660431E-2</v>
      </c>
    </row>
    <row r="1513" spans="1:4" x14ac:dyDescent="0.25">
      <c r="A1513">
        <v>76721</v>
      </c>
      <c r="B1513" s="3">
        <v>44945</v>
      </c>
      <c r="C1513" t="s">
        <v>29</v>
      </c>
      <c r="D1513">
        <v>4.1400305926799774E-3</v>
      </c>
    </row>
    <row r="1514" spans="1:4" x14ac:dyDescent="0.25">
      <c r="A1514">
        <v>76721</v>
      </c>
      <c r="B1514" s="3">
        <v>44946</v>
      </c>
      <c r="C1514" t="s">
        <v>29</v>
      </c>
      <c r="D1514">
        <v>2.8735574334859848E-2</v>
      </c>
    </row>
    <row r="1515" spans="1:4" x14ac:dyDescent="0.25">
      <c r="A1515">
        <v>76721</v>
      </c>
      <c r="B1515" s="3">
        <v>44949</v>
      </c>
      <c r="C1515" t="s">
        <v>29</v>
      </c>
      <c r="D1515">
        <v>0</v>
      </c>
    </row>
    <row r="1516" spans="1:4" x14ac:dyDescent="0.25">
      <c r="A1516">
        <v>76721</v>
      </c>
      <c r="B1516" s="3">
        <v>44950</v>
      </c>
      <c r="C1516" t="s">
        <v>29</v>
      </c>
      <c r="D1516">
        <v>-5.950909573584795E-3</v>
      </c>
    </row>
    <row r="1517" spans="1:4" x14ac:dyDescent="0.25">
      <c r="A1517">
        <v>76721</v>
      </c>
      <c r="B1517" s="3">
        <v>44951</v>
      </c>
      <c r="C1517" t="s">
        <v>29</v>
      </c>
      <c r="D1517">
        <v>6.5974458120763302E-3</v>
      </c>
    </row>
    <row r="1518" spans="1:4" x14ac:dyDescent="0.25">
      <c r="A1518">
        <v>76721</v>
      </c>
      <c r="B1518" s="3">
        <v>44952</v>
      </c>
      <c r="C1518" t="s">
        <v>29</v>
      </c>
      <c r="D1518">
        <v>1.9359160214662552E-2</v>
      </c>
    </row>
    <row r="1519" spans="1:4" x14ac:dyDescent="0.25">
      <c r="A1519">
        <v>76721</v>
      </c>
      <c r="B1519" s="3">
        <v>44953</v>
      </c>
      <c r="C1519" t="s">
        <v>29</v>
      </c>
      <c r="D1519">
        <v>2.1134745329618454E-2</v>
      </c>
    </row>
    <row r="1520" spans="1:4" x14ac:dyDescent="0.25">
      <c r="A1520">
        <v>76721</v>
      </c>
      <c r="B1520" s="3">
        <v>44956</v>
      </c>
      <c r="C1520" t="s">
        <v>29</v>
      </c>
      <c r="D1520">
        <v>7.1711502969264984E-3</v>
      </c>
    </row>
    <row r="1521" spans="1:4" x14ac:dyDescent="0.25">
      <c r="A1521">
        <v>76721</v>
      </c>
      <c r="B1521" s="3">
        <v>44957</v>
      </c>
      <c r="C1521" t="s">
        <v>29</v>
      </c>
      <c r="D1521">
        <v>3.1316954642534256E-2</v>
      </c>
    </row>
    <row r="1522" spans="1:4" x14ac:dyDescent="0.25">
      <c r="A1522">
        <v>76721</v>
      </c>
      <c r="B1522" s="3">
        <v>44958</v>
      </c>
      <c r="C1522" t="s">
        <v>29</v>
      </c>
      <c r="D1522">
        <v>2.8794283047318459E-2</v>
      </c>
    </row>
    <row r="1523" spans="1:4" x14ac:dyDescent="0.25">
      <c r="A1523">
        <v>76721</v>
      </c>
      <c r="B1523" s="3">
        <v>44959</v>
      </c>
      <c r="C1523" t="s">
        <v>29</v>
      </c>
      <c r="D1523">
        <v>3.1261995434761047E-2</v>
      </c>
    </row>
    <row r="1524" spans="1:4" x14ac:dyDescent="0.25">
      <c r="A1524">
        <v>76721</v>
      </c>
      <c r="B1524" s="3">
        <v>44960</v>
      </c>
      <c r="C1524" t="s">
        <v>29</v>
      </c>
      <c r="D1524">
        <v>-2.0950198173522949E-2</v>
      </c>
    </row>
    <row r="1525" spans="1:4" x14ac:dyDescent="0.25">
      <c r="A1525">
        <v>76721</v>
      </c>
      <c r="B1525" s="3">
        <v>44963</v>
      </c>
      <c r="C1525" t="s">
        <v>29</v>
      </c>
      <c r="D1525">
        <v>-1.6589172184467316E-2</v>
      </c>
    </row>
    <row r="1526" spans="1:4" x14ac:dyDescent="0.25">
      <c r="A1526">
        <v>76721</v>
      </c>
      <c r="B1526" s="3">
        <v>44964</v>
      </c>
      <c r="C1526" t="s">
        <v>29</v>
      </c>
      <c r="D1526">
        <v>2.967192605137825E-2</v>
      </c>
    </row>
    <row r="1527" spans="1:4" x14ac:dyDescent="0.25">
      <c r="A1527">
        <v>76721</v>
      </c>
      <c r="B1527" s="3">
        <v>44965</v>
      </c>
      <c r="C1527" t="s">
        <v>29</v>
      </c>
      <c r="D1527">
        <v>-3.0524581670761108E-2</v>
      </c>
    </row>
    <row r="1528" spans="1:4" x14ac:dyDescent="0.25">
      <c r="A1528">
        <v>76721</v>
      </c>
      <c r="B1528" s="3">
        <v>44966</v>
      </c>
      <c r="C1528" t="s">
        <v>29</v>
      </c>
      <c r="D1528">
        <v>-3.9632366970181465E-3</v>
      </c>
    </row>
    <row r="1529" spans="1:4" x14ac:dyDescent="0.25">
      <c r="A1529">
        <v>76721</v>
      </c>
      <c r="B1529" s="3">
        <v>44967</v>
      </c>
      <c r="C1529" t="s">
        <v>29</v>
      </c>
      <c r="D1529">
        <v>-6.0237431898713112E-3</v>
      </c>
    </row>
    <row r="1530" spans="1:4" x14ac:dyDescent="0.25">
      <c r="A1530">
        <v>76721</v>
      </c>
      <c r="B1530" s="3">
        <v>44970</v>
      </c>
      <c r="C1530" t="s">
        <v>29</v>
      </c>
      <c r="D1530">
        <v>1.2620951049029827E-2</v>
      </c>
    </row>
    <row r="1531" spans="1:4" x14ac:dyDescent="0.25">
      <c r="A1531">
        <v>76721</v>
      </c>
      <c r="B1531" s="3">
        <v>44971</v>
      </c>
      <c r="C1531" t="s">
        <v>29</v>
      </c>
      <c r="D1531">
        <v>-7.9614128917455673E-3</v>
      </c>
    </row>
    <row r="1532" spans="1:4" x14ac:dyDescent="0.25">
      <c r="A1532">
        <v>76721</v>
      </c>
      <c r="B1532" s="3">
        <v>44972</v>
      </c>
      <c r="C1532" t="s">
        <v>29</v>
      </c>
      <c r="D1532">
        <v>1.5552429482340813E-2</v>
      </c>
    </row>
    <row r="1533" spans="1:4" x14ac:dyDescent="0.25">
      <c r="A1533">
        <v>76721</v>
      </c>
      <c r="B1533" s="3">
        <v>44973</v>
      </c>
      <c r="C1533" t="s">
        <v>29</v>
      </c>
      <c r="D1533">
        <v>-1.215331070125103E-2</v>
      </c>
    </row>
    <row r="1534" spans="1:4" x14ac:dyDescent="0.25">
      <c r="A1534">
        <v>76721</v>
      </c>
      <c r="B1534" s="3">
        <v>44974</v>
      </c>
      <c r="C1534" t="s">
        <v>29</v>
      </c>
      <c r="D1534">
        <v>1.6440533101558685E-2</v>
      </c>
    </row>
    <row r="1535" spans="1:4" x14ac:dyDescent="0.25">
      <c r="A1535">
        <v>76721</v>
      </c>
      <c r="B1535" s="3">
        <v>44978</v>
      </c>
      <c r="C1535" t="s">
        <v>29</v>
      </c>
      <c r="D1535">
        <v>-1.9322691485285759E-2</v>
      </c>
    </row>
    <row r="1536" spans="1:4" x14ac:dyDescent="0.25">
      <c r="A1536">
        <v>76721</v>
      </c>
      <c r="B1536" s="3">
        <v>44979</v>
      </c>
      <c r="C1536" t="s">
        <v>29</v>
      </c>
      <c r="D1536">
        <v>9.9623817950487137E-3</v>
      </c>
    </row>
    <row r="1537" spans="1:4" x14ac:dyDescent="0.25">
      <c r="A1537">
        <v>76721</v>
      </c>
      <c r="B1537" s="3">
        <v>44980</v>
      </c>
      <c r="C1537" t="s">
        <v>29</v>
      </c>
      <c r="D1537">
        <v>-2.8495672158896923E-3</v>
      </c>
    </row>
    <row r="1538" spans="1:4" x14ac:dyDescent="0.25">
      <c r="A1538">
        <v>76721</v>
      </c>
      <c r="B1538" s="3">
        <v>44981</v>
      </c>
      <c r="C1538" t="s">
        <v>29</v>
      </c>
      <c r="D1538">
        <v>1.4453668147325516E-2</v>
      </c>
    </row>
    <row r="1539" spans="1:4" x14ac:dyDescent="0.25">
      <c r="A1539">
        <v>76721</v>
      </c>
      <c r="B1539" s="3">
        <v>44984</v>
      </c>
      <c r="C1539" t="s">
        <v>29</v>
      </c>
      <c r="D1539">
        <v>-2.1398760378360748E-2</v>
      </c>
    </row>
    <row r="1540" spans="1:4" x14ac:dyDescent="0.25">
      <c r="A1540">
        <v>76721</v>
      </c>
      <c r="B1540" s="3">
        <v>44985</v>
      </c>
      <c r="C1540" t="s">
        <v>29</v>
      </c>
      <c r="D1540">
        <v>-1.9929173868149519E-3</v>
      </c>
    </row>
    <row r="1541" spans="1:4" x14ac:dyDescent="0.25">
      <c r="A1541">
        <v>76721</v>
      </c>
      <c r="B1541" s="3">
        <v>44986</v>
      </c>
      <c r="C1541" t="s">
        <v>29</v>
      </c>
      <c r="D1541">
        <v>2.0579136908054352E-2</v>
      </c>
    </row>
    <row r="1542" spans="1:4" x14ac:dyDescent="0.25">
      <c r="A1542">
        <v>76721</v>
      </c>
      <c r="B1542" s="3">
        <v>44987</v>
      </c>
      <c r="C1542" t="s">
        <v>29</v>
      </c>
      <c r="D1542">
        <v>-1.1196330189704895E-2</v>
      </c>
    </row>
    <row r="1543" spans="1:4" x14ac:dyDescent="0.25">
      <c r="A1543">
        <v>76721</v>
      </c>
      <c r="B1543" s="3">
        <v>44988</v>
      </c>
      <c r="C1543" t="s">
        <v>29</v>
      </c>
      <c r="D1543">
        <v>1.1378043331205845E-2</v>
      </c>
    </row>
    <row r="1544" spans="1:4" x14ac:dyDescent="0.25">
      <c r="A1544">
        <v>76721</v>
      </c>
      <c r="B1544" s="3">
        <v>44991</v>
      </c>
      <c r="C1544" t="s">
        <v>29</v>
      </c>
      <c r="D1544">
        <v>-3.0706489458680153E-2</v>
      </c>
    </row>
    <row r="1545" spans="1:4" x14ac:dyDescent="0.25">
      <c r="A1545">
        <v>76721</v>
      </c>
      <c r="B1545" s="3">
        <v>44992</v>
      </c>
      <c r="C1545" t="s">
        <v>29</v>
      </c>
      <c r="D1545">
        <v>-2.6352745480835438E-3</v>
      </c>
    </row>
    <row r="1546" spans="1:4" x14ac:dyDescent="0.25">
      <c r="A1546">
        <v>76721</v>
      </c>
      <c r="B1546" s="3">
        <v>44993</v>
      </c>
      <c r="C1546" t="s">
        <v>29</v>
      </c>
      <c r="D1546">
        <v>6.745846476405859E-4</v>
      </c>
    </row>
    <row r="1547" spans="1:4" x14ac:dyDescent="0.25">
      <c r="A1547">
        <v>76721</v>
      </c>
      <c r="B1547" s="3">
        <v>44994</v>
      </c>
      <c r="C1547" t="s">
        <v>29</v>
      </c>
      <c r="D1547">
        <v>-3.2022884115576744E-3</v>
      </c>
    </row>
    <row r="1548" spans="1:4" x14ac:dyDescent="0.25">
      <c r="A1548">
        <v>76721</v>
      </c>
      <c r="B1548" s="3">
        <v>44995</v>
      </c>
      <c r="C1548" t="s">
        <v>29</v>
      </c>
      <c r="D1548">
        <v>-9.6375560387969017E-3</v>
      </c>
    </row>
    <row r="1549" spans="1:4" x14ac:dyDescent="0.25">
      <c r="A1549">
        <v>76721</v>
      </c>
      <c r="B1549" s="3">
        <v>44998</v>
      </c>
      <c r="C1549" t="s">
        <v>29</v>
      </c>
      <c r="D1549">
        <v>6.6583096049726009E-3</v>
      </c>
    </row>
    <row r="1550" spans="1:4" x14ac:dyDescent="0.25">
      <c r="A1550">
        <v>76721</v>
      </c>
      <c r="B1550" s="3">
        <v>44999</v>
      </c>
      <c r="C1550" t="s">
        <v>29</v>
      </c>
      <c r="D1550">
        <v>2.8209652751684189E-2</v>
      </c>
    </row>
    <row r="1551" spans="1:4" x14ac:dyDescent="0.25">
      <c r="A1551">
        <v>76721</v>
      </c>
      <c r="B1551" s="3">
        <v>45000</v>
      </c>
      <c r="C1551" t="s">
        <v>29</v>
      </c>
      <c r="D1551">
        <v>-5.6081167422235012E-3</v>
      </c>
    </row>
    <row r="1552" spans="1:4" x14ac:dyDescent="0.25">
      <c r="A1552">
        <v>76721</v>
      </c>
      <c r="B1552" s="3">
        <v>45001</v>
      </c>
      <c r="C1552" t="s">
        <v>29</v>
      </c>
      <c r="D1552">
        <v>3.118433803319931E-2</v>
      </c>
    </row>
    <row r="1553" spans="1:4" x14ac:dyDescent="0.25">
      <c r="A1553">
        <v>76721</v>
      </c>
      <c r="B1553" s="3">
        <v>45002</v>
      </c>
      <c r="C1553" t="s">
        <v>29</v>
      </c>
      <c r="D1553">
        <v>-1.9838879816234112E-3</v>
      </c>
    </row>
    <row r="1554" spans="1:4" x14ac:dyDescent="0.25">
      <c r="A1554">
        <v>76721</v>
      </c>
      <c r="B1554" s="3">
        <v>45005</v>
      </c>
      <c r="C1554" t="s">
        <v>29</v>
      </c>
      <c r="D1554">
        <v>1.5741646289825439E-2</v>
      </c>
    </row>
    <row r="1555" spans="1:4" x14ac:dyDescent="0.25">
      <c r="A1555">
        <v>76721</v>
      </c>
      <c r="B1555" s="3">
        <v>45006</v>
      </c>
      <c r="C1555" t="s">
        <v>29</v>
      </c>
      <c r="D1555">
        <v>-6.8763823946937919E-4</v>
      </c>
    </row>
    <row r="1556" spans="1:4" x14ac:dyDescent="0.25">
      <c r="A1556">
        <v>76721</v>
      </c>
      <c r="B1556" s="3">
        <v>45007</v>
      </c>
      <c r="C1556" t="s">
        <v>29</v>
      </c>
      <c r="D1556">
        <v>-1.6355244442820549E-2</v>
      </c>
    </row>
    <row r="1557" spans="1:4" x14ac:dyDescent="0.25">
      <c r="A1557">
        <v>76721</v>
      </c>
      <c r="B1557" s="3">
        <v>45008</v>
      </c>
      <c r="C1557" t="s">
        <v>29</v>
      </c>
      <c r="D1557">
        <v>-1.2430034577846527E-2</v>
      </c>
    </row>
    <row r="1558" spans="1:4" x14ac:dyDescent="0.25">
      <c r="A1558">
        <v>76721</v>
      </c>
      <c r="B1558" s="3">
        <v>45009</v>
      </c>
      <c r="C1558" t="s">
        <v>29</v>
      </c>
      <c r="D1558">
        <v>1.7272369936108589E-2</v>
      </c>
    </row>
    <row r="1559" spans="1:4" x14ac:dyDescent="0.25">
      <c r="A1559">
        <v>76721</v>
      </c>
      <c r="B1559" s="3">
        <v>45012</v>
      </c>
      <c r="C1559" t="s">
        <v>29</v>
      </c>
      <c r="D1559">
        <v>2.0299993455410004E-2</v>
      </c>
    </row>
    <row r="1560" spans="1:4" x14ac:dyDescent="0.25">
      <c r="A1560">
        <v>76721</v>
      </c>
      <c r="B1560" s="3">
        <v>45013</v>
      </c>
      <c r="C1560" t="s">
        <v>29</v>
      </c>
      <c r="D1560">
        <v>-2.572342287749052E-3</v>
      </c>
    </row>
    <row r="1561" spans="1:4" x14ac:dyDescent="0.25">
      <c r="A1561">
        <v>76721</v>
      </c>
      <c r="B1561" s="3">
        <v>45014</v>
      </c>
      <c r="C1561" t="s">
        <v>29</v>
      </c>
      <c r="D1561">
        <v>-6.1052823439240456E-3</v>
      </c>
    </row>
    <row r="1562" spans="1:4" x14ac:dyDescent="0.25">
      <c r="A1562">
        <v>76721</v>
      </c>
      <c r="B1562" s="3">
        <v>45015</v>
      </c>
      <c r="C1562" t="s">
        <v>29</v>
      </c>
      <c r="D1562">
        <v>1.0590815218165517E-3</v>
      </c>
    </row>
    <row r="1563" spans="1:4" x14ac:dyDescent="0.25">
      <c r="A1563">
        <v>76721</v>
      </c>
      <c r="B1563" s="3">
        <v>45016</v>
      </c>
      <c r="C1563" t="s">
        <v>29</v>
      </c>
      <c r="D1563">
        <v>6.5594874322414398E-3</v>
      </c>
    </row>
    <row r="1564" spans="1:4" x14ac:dyDescent="0.25">
      <c r="A1564">
        <v>76721</v>
      </c>
      <c r="B1564" s="3">
        <v>45019</v>
      </c>
      <c r="C1564" t="s">
        <v>29</v>
      </c>
      <c r="D1564">
        <v>2.470050472766161E-3</v>
      </c>
    </row>
    <row r="1565" spans="1:4" x14ac:dyDescent="0.25">
      <c r="A1565">
        <v>76721</v>
      </c>
      <c r="B1565" s="3">
        <v>45020</v>
      </c>
      <c r="C1565" t="s">
        <v>29</v>
      </c>
      <c r="D1565">
        <v>1.2057683430612087E-2</v>
      </c>
    </row>
    <row r="1566" spans="1:4" x14ac:dyDescent="0.25">
      <c r="A1566">
        <v>76721</v>
      </c>
      <c r="B1566" s="3">
        <v>45021</v>
      </c>
      <c r="C1566" t="s">
        <v>29</v>
      </c>
      <c r="D1566">
        <v>6.7334691993892193E-4</v>
      </c>
    </row>
    <row r="1567" spans="1:4" x14ac:dyDescent="0.25">
      <c r="A1567">
        <v>76721</v>
      </c>
      <c r="B1567" s="3">
        <v>45022</v>
      </c>
      <c r="C1567" t="s">
        <v>29</v>
      </c>
      <c r="D1567">
        <v>-8.6447782814502716E-3</v>
      </c>
    </row>
    <row r="1568" spans="1:4" x14ac:dyDescent="0.25">
      <c r="A1568">
        <v>76721</v>
      </c>
      <c r="B1568" s="3">
        <v>45026</v>
      </c>
      <c r="C1568" t="s">
        <v>29</v>
      </c>
      <c r="D1568">
        <v>1.2218743562698364E-2</v>
      </c>
    </row>
    <row r="1569" spans="1:4" x14ac:dyDescent="0.25">
      <c r="A1569">
        <v>76721</v>
      </c>
      <c r="B1569" s="3">
        <v>45027</v>
      </c>
      <c r="C1569" t="s">
        <v>29</v>
      </c>
      <c r="D1569">
        <v>3.7142182700335979E-3</v>
      </c>
    </row>
    <row r="1570" spans="1:4" x14ac:dyDescent="0.25">
      <c r="A1570">
        <v>76721</v>
      </c>
      <c r="B1570" s="3">
        <v>45028</v>
      </c>
      <c r="C1570" t="s">
        <v>29</v>
      </c>
      <c r="D1570">
        <v>4.3685603886842728E-3</v>
      </c>
    </row>
    <row r="1571" spans="1:4" x14ac:dyDescent="0.25">
      <c r="A1571">
        <v>76721</v>
      </c>
      <c r="B1571" s="3">
        <v>45029</v>
      </c>
      <c r="C1571" t="s">
        <v>29</v>
      </c>
      <c r="D1571">
        <v>1.4379273168742657E-2</v>
      </c>
    </row>
    <row r="1572" spans="1:4" x14ac:dyDescent="0.25">
      <c r="A1572">
        <v>76721</v>
      </c>
      <c r="B1572" s="3">
        <v>45030</v>
      </c>
      <c r="C1572" t="s">
        <v>29</v>
      </c>
      <c r="D1572">
        <v>-1.5133319539017975E-4</v>
      </c>
    </row>
    <row r="1573" spans="1:4" x14ac:dyDescent="0.25">
      <c r="A1573">
        <v>76721</v>
      </c>
      <c r="B1573" s="3">
        <v>45033</v>
      </c>
      <c r="C1573" t="s">
        <v>29</v>
      </c>
      <c r="D1573">
        <v>-1.0393530130386353E-2</v>
      </c>
    </row>
    <row r="1574" spans="1:4" x14ac:dyDescent="0.25">
      <c r="A1574">
        <v>76721</v>
      </c>
      <c r="B1574" s="3">
        <v>45034</v>
      </c>
      <c r="C1574" t="s">
        <v>29</v>
      </c>
      <c r="D1574">
        <v>9.1775227338075638E-4</v>
      </c>
    </row>
    <row r="1575" spans="1:4" x14ac:dyDescent="0.25">
      <c r="A1575">
        <v>76721</v>
      </c>
      <c r="B1575" s="3">
        <v>45035</v>
      </c>
      <c r="C1575" t="s">
        <v>29</v>
      </c>
      <c r="D1575">
        <v>9.0158358216285706E-3</v>
      </c>
    </row>
    <row r="1576" spans="1:4" x14ac:dyDescent="0.25">
      <c r="A1576">
        <v>76721</v>
      </c>
      <c r="B1576" s="3">
        <v>45036</v>
      </c>
      <c r="C1576" t="s">
        <v>29</v>
      </c>
      <c r="D1576">
        <v>1.2671058066189289E-2</v>
      </c>
    </row>
    <row r="1577" spans="1:4" x14ac:dyDescent="0.25">
      <c r="A1577">
        <v>76721</v>
      </c>
      <c r="B1577" s="3">
        <v>45037</v>
      </c>
      <c r="C1577" t="s">
        <v>29</v>
      </c>
      <c r="D1577">
        <v>1.7946114763617516E-2</v>
      </c>
    </row>
    <row r="1578" spans="1:4" x14ac:dyDescent="0.25">
      <c r="A1578">
        <v>76721</v>
      </c>
      <c r="B1578" s="3">
        <v>45040</v>
      </c>
      <c r="C1578" t="s">
        <v>29</v>
      </c>
      <c r="D1578">
        <v>-6.4152674749493599E-3</v>
      </c>
    </row>
    <row r="1579" spans="1:4" x14ac:dyDescent="0.25">
      <c r="A1579">
        <v>76721</v>
      </c>
      <c r="B1579" s="3">
        <v>45041</v>
      </c>
      <c r="C1579" t="s">
        <v>29</v>
      </c>
      <c r="D1579">
        <v>-9.9068190902471542E-3</v>
      </c>
    </row>
    <row r="1580" spans="1:4" x14ac:dyDescent="0.25">
      <c r="A1580">
        <v>76721</v>
      </c>
      <c r="B1580" s="3">
        <v>45042</v>
      </c>
      <c r="C1580" t="s">
        <v>29</v>
      </c>
      <c r="D1580">
        <v>-8.8610053062438965E-3</v>
      </c>
    </row>
    <row r="1581" spans="1:4" x14ac:dyDescent="0.25">
      <c r="A1581">
        <v>76721</v>
      </c>
      <c r="B1581" s="3">
        <v>45043</v>
      </c>
      <c r="C1581" t="s">
        <v>29</v>
      </c>
      <c r="D1581">
        <v>1.3259665109217167E-2</v>
      </c>
    </row>
    <row r="1582" spans="1:4" x14ac:dyDescent="0.25">
      <c r="A1582">
        <v>76721</v>
      </c>
      <c r="B1582" s="3">
        <v>45044</v>
      </c>
      <c r="C1582" t="s">
        <v>29</v>
      </c>
      <c r="D1582">
        <v>1.4374605379998684E-3</v>
      </c>
    </row>
    <row r="1583" spans="1:4" x14ac:dyDescent="0.25">
      <c r="A1583">
        <v>76721</v>
      </c>
      <c r="B1583" s="3">
        <v>45047</v>
      </c>
      <c r="C1583" t="s">
        <v>29</v>
      </c>
      <c r="D1583">
        <v>1.3314866460859776E-2</v>
      </c>
    </row>
    <row r="1584" spans="1:4" x14ac:dyDescent="0.25">
      <c r="A1584">
        <v>76721</v>
      </c>
      <c r="B1584" s="3">
        <v>45048</v>
      </c>
      <c r="C1584" t="s">
        <v>29</v>
      </c>
      <c r="D1584">
        <v>6.8385788472369313E-4</v>
      </c>
    </row>
    <row r="1585" spans="1:4" x14ac:dyDescent="0.25">
      <c r="A1585">
        <v>76721</v>
      </c>
      <c r="B1585" s="3">
        <v>45049</v>
      </c>
      <c r="C1585" t="s">
        <v>29</v>
      </c>
      <c r="D1585">
        <v>2.177099883556366E-2</v>
      </c>
    </row>
    <row r="1586" spans="1:4" x14ac:dyDescent="0.25">
      <c r="A1586">
        <v>76721</v>
      </c>
      <c r="B1586" s="3">
        <v>45050</v>
      </c>
      <c r="C1586" t="s">
        <v>29</v>
      </c>
      <c r="D1586">
        <v>-1.3806681148707867E-2</v>
      </c>
    </row>
    <row r="1587" spans="1:4" x14ac:dyDescent="0.25">
      <c r="A1587">
        <v>76721</v>
      </c>
      <c r="B1587" s="3">
        <v>45051</v>
      </c>
      <c r="C1587" t="s">
        <v>29</v>
      </c>
      <c r="D1587">
        <v>1.2159133329987526E-2</v>
      </c>
    </row>
    <row r="1588" spans="1:4" x14ac:dyDescent="0.25">
      <c r="A1588">
        <v>76721</v>
      </c>
      <c r="B1588" s="3">
        <v>45054</v>
      </c>
      <c r="C1588" t="s">
        <v>29</v>
      </c>
      <c r="D1588">
        <v>9.5719797536730766E-4</v>
      </c>
    </row>
    <row r="1589" spans="1:4" x14ac:dyDescent="0.25">
      <c r="A1589">
        <v>76721</v>
      </c>
      <c r="B1589" s="3">
        <v>45055</v>
      </c>
      <c r="C1589" t="s">
        <v>29</v>
      </c>
      <c r="D1589">
        <v>9.0849405387416482E-4</v>
      </c>
    </row>
    <row r="1590" spans="1:4" x14ac:dyDescent="0.25">
      <c r="A1590">
        <v>76721</v>
      </c>
      <c r="B1590" s="3">
        <v>45056</v>
      </c>
      <c r="C1590" t="s">
        <v>29</v>
      </c>
      <c r="D1590">
        <v>3.4729871898889542E-2</v>
      </c>
    </row>
    <row r="1591" spans="1:4" x14ac:dyDescent="0.25">
      <c r="A1591">
        <v>76721</v>
      </c>
      <c r="B1591" s="3">
        <v>45057</v>
      </c>
      <c r="C1591" t="s">
        <v>29</v>
      </c>
      <c r="D1591">
        <v>1.3849851675331593E-3</v>
      </c>
    </row>
    <row r="1592" spans="1:4" x14ac:dyDescent="0.25">
      <c r="A1592">
        <v>76721</v>
      </c>
      <c r="B1592" s="3">
        <v>45058</v>
      </c>
      <c r="C1592" t="s">
        <v>29</v>
      </c>
      <c r="D1592">
        <v>1.028128620237112E-2</v>
      </c>
    </row>
    <row r="1593" spans="1:4" x14ac:dyDescent="0.25">
      <c r="A1593">
        <v>76721</v>
      </c>
      <c r="B1593" s="3">
        <v>45061</v>
      </c>
      <c r="C1593" t="s">
        <v>29</v>
      </c>
      <c r="D1593">
        <v>8.7162340059876442E-3</v>
      </c>
    </row>
    <row r="1594" spans="1:4" x14ac:dyDescent="0.25">
      <c r="A1594">
        <v>76721</v>
      </c>
      <c r="B1594" s="3">
        <v>45062</v>
      </c>
      <c r="C1594" t="s">
        <v>29</v>
      </c>
      <c r="D1594">
        <v>-2.3298922926187515E-2</v>
      </c>
    </row>
    <row r="1595" spans="1:4" x14ac:dyDescent="0.25">
      <c r="A1595">
        <v>76721</v>
      </c>
      <c r="B1595" s="3">
        <v>45063</v>
      </c>
      <c r="C1595" t="s">
        <v>29</v>
      </c>
      <c r="D1595">
        <v>-4.1548941284418106E-2</v>
      </c>
    </row>
    <row r="1596" spans="1:4" x14ac:dyDescent="0.25">
      <c r="A1596">
        <v>76721</v>
      </c>
      <c r="B1596" s="3">
        <v>45064</v>
      </c>
      <c r="C1596" t="s">
        <v>29</v>
      </c>
      <c r="D1596">
        <v>-6.9108479656279087E-3</v>
      </c>
    </row>
    <row r="1597" spans="1:4" x14ac:dyDescent="0.25">
      <c r="A1597">
        <v>76721</v>
      </c>
      <c r="B1597" s="3">
        <v>45065</v>
      </c>
      <c r="C1597" t="s">
        <v>29</v>
      </c>
      <c r="D1597">
        <v>-5.8402051217854023E-4</v>
      </c>
    </row>
    <row r="1598" spans="1:4" x14ac:dyDescent="0.25">
      <c r="A1598">
        <v>76721</v>
      </c>
      <c r="B1598" s="3">
        <v>45068</v>
      </c>
      <c r="C1598" t="s">
        <v>29</v>
      </c>
      <c r="D1598">
        <v>-6.4761252142488956E-3</v>
      </c>
    </row>
    <row r="1599" spans="1:4" x14ac:dyDescent="0.25">
      <c r="A1599">
        <v>76721</v>
      </c>
      <c r="B1599" s="3">
        <v>45069</v>
      </c>
      <c r="C1599" t="s">
        <v>29</v>
      </c>
      <c r="D1599">
        <v>-1.0096048004925251E-2</v>
      </c>
    </row>
    <row r="1600" spans="1:4" x14ac:dyDescent="0.25">
      <c r="A1600">
        <v>76721</v>
      </c>
      <c r="B1600" s="3">
        <v>45070</v>
      </c>
      <c r="C1600" t="s">
        <v>29</v>
      </c>
      <c r="D1600">
        <v>-1.0941634885966778E-2</v>
      </c>
    </row>
    <row r="1601" spans="1:4" x14ac:dyDescent="0.25">
      <c r="A1601">
        <v>76721</v>
      </c>
      <c r="B1601" s="3">
        <v>45071</v>
      </c>
      <c r="C1601" t="s">
        <v>29</v>
      </c>
      <c r="D1601">
        <v>9.4107706099748611E-3</v>
      </c>
    </row>
    <row r="1602" spans="1:4" x14ac:dyDescent="0.25">
      <c r="A1602">
        <v>76721</v>
      </c>
      <c r="B1602" s="3">
        <v>45072</v>
      </c>
      <c r="C1602" t="s">
        <v>29</v>
      </c>
      <c r="D1602">
        <v>-2.8961053118109703E-2</v>
      </c>
    </row>
    <row r="1603" spans="1:4" x14ac:dyDescent="0.25">
      <c r="A1603">
        <v>76721</v>
      </c>
      <c r="B1603" s="3">
        <v>45076</v>
      </c>
      <c r="C1603" t="s">
        <v>29</v>
      </c>
      <c r="D1603">
        <v>-1.7108375206589699E-2</v>
      </c>
    </row>
    <row r="1604" spans="1:4" x14ac:dyDescent="0.25">
      <c r="A1604">
        <v>76721</v>
      </c>
      <c r="B1604" s="3">
        <v>45077</v>
      </c>
      <c r="C1604" t="s">
        <v>29</v>
      </c>
      <c r="D1604">
        <v>1.5483713708817959E-2</v>
      </c>
    </row>
    <row r="1605" spans="1:4" x14ac:dyDescent="0.25">
      <c r="A1605">
        <v>76721</v>
      </c>
      <c r="B1605" s="3">
        <v>45078</v>
      </c>
      <c r="C1605" t="s">
        <v>29</v>
      </c>
      <c r="D1605">
        <v>-1.3815199490636587E-3</v>
      </c>
    </row>
    <row r="1606" spans="1:4" x14ac:dyDescent="0.25">
      <c r="A1606">
        <v>76721</v>
      </c>
      <c r="B1606" s="3">
        <v>45079</v>
      </c>
      <c r="C1606" t="s">
        <v>29</v>
      </c>
      <c r="D1606">
        <v>4.7855697572231293E-2</v>
      </c>
    </row>
    <row r="1607" spans="1:4" x14ac:dyDescent="0.25">
      <c r="A1607">
        <v>76721</v>
      </c>
      <c r="B1607" s="3">
        <v>45082</v>
      </c>
      <c r="C1607" t="s">
        <v>29</v>
      </c>
      <c r="D1607">
        <v>-2.4253051728010178E-2</v>
      </c>
    </row>
    <row r="1608" spans="1:4" x14ac:dyDescent="0.25">
      <c r="A1608">
        <v>76721</v>
      </c>
      <c r="B1608" s="3">
        <v>45083</v>
      </c>
      <c r="C1608" t="s">
        <v>29</v>
      </c>
      <c r="D1608">
        <v>1.6687555238604546E-2</v>
      </c>
    </row>
    <row r="1609" spans="1:4" x14ac:dyDescent="0.25">
      <c r="A1609">
        <v>76721</v>
      </c>
      <c r="B1609" s="3">
        <v>45084</v>
      </c>
      <c r="C1609" t="s">
        <v>29</v>
      </c>
      <c r="D1609">
        <v>1.5920719131827354E-2</v>
      </c>
    </row>
    <row r="1610" spans="1:4" x14ac:dyDescent="0.25">
      <c r="A1610">
        <v>76721</v>
      </c>
      <c r="B1610" s="3">
        <v>45085</v>
      </c>
      <c r="C1610" t="s">
        <v>29</v>
      </c>
      <c r="D1610">
        <v>-1.0868010111153126E-2</v>
      </c>
    </row>
    <row r="1611" spans="1:4" x14ac:dyDescent="0.25">
      <c r="A1611">
        <v>76721</v>
      </c>
      <c r="B1611" s="3">
        <v>45086</v>
      </c>
      <c r="C1611" t="s">
        <v>29</v>
      </c>
      <c r="D1611">
        <v>-1.7363974824547768E-2</v>
      </c>
    </row>
    <row r="1612" spans="1:4" x14ac:dyDescent="0.25">
      <c r="A1612">
        <v>76721</v>
      </c>
      <c r="B1612" s="3">
        <v>45089</v>
      </c>
      <c r="C1612" t="s">
        <v>29</v>
      </c>
      <c r="D1612">
        <v>-5.5907508358359337E-3</v>
      </c>
    </row>
    <row r="1613" spans="1:4" x14ac:dyDescent="0.25">
      <c r="A1613">
        <v>76721</v>
      </c>
      <c r="B1613" s="3">
        <v>45090</v>
      </c>
      <c r="C1613" t="s">
        <v>29</v>
      </c>
      <c r="D1613">
        <v>-1.425637025386095E-2</v>
      </c>
    </row>
    <row r="1614" spans="1:4" x14ac:dyDescent="0.25">
      <c r="A1614">
        <v>76721</v>
      </c>
      <c r="B1614" s="3">
        <v>45091</v>
      </c>
      <c r="C1614" t="s">
        <v>29</v>
      </c>
      <c r="D1614">
        <v>-2.3934394121170044E-2</v>
      </c>
    </row>
    <row r="1615" spans="1:4" x14ac:dyDescent="0.25">
      <c r="A1615">
        <v>76721</v>
      </c>
      <c r="B1615" s="3">
        <v>45092</v>
      </c>
      <c r="C1615" t="s">
        <v>29</v>
      </c>
      <c r="D1615">
        <v>-1.5651264402549714E-4</v>
      </c>
    </row>
    <row r="1616" spans="1:4" x14ac:dyDescent="0.25">
      <c r="A1616">
        <v>76721</v>
      </c>
      <c r="B1616" s="3">
        <v>45093</v>
      </c>
      <c r="C1616" t="s">
        <v>29</v>
      </c>
      <c r="D1616">
        <v>1.4089139876887202E-3</v>
      </c>
    </row>
    <row r="1617" spans="1:4" x14ac:dyDescent="0.25">
      <c r="A1617">
        <v>76721</v>
      </c>
      <c r="B1617" s="3">
        <v>45097</v>
      </c>
      <c r="C1617" t="s">
        <v>29</v>
      </c>
      <c r="D1617">
        <v>2.0426232367753983E-2</v>
      </c>
    </row>
    <row r="1618" spans="1:4" x14ac:dyDescent="0.25">
      <c r="A1618">
        <v>76721</v>
      </c>
      <c r="B1618" s="3">
        <v>45098</v>
      </c>
      <c r="C1618" t="s">
        <v>29</v>
      </c>
      <c r="D1618">
        <v>3.829852445051074E-3</v>
      </c>
    </row>
    <row r="1619" spans="1:4" x14ac:dyDescent="0.25">
      <c r="A1619">
        <v>76721</v>
      </c>
      <c r="B1619" s="3">
        <v>45099</v>
      </c>
      <c r="C1619" t="s">
        <v>29</v>
      </c>
      <c r="D1619">
        <v>1.953401230275631E-2</v>
      </c>
    </row>
    <row r="1620" spans="1:4" x14ac:dyDescent="0.25">
      <c r="A1620">
        <v>76721</v>
      </c>
      <c r="B1620" s="3">
        <v>45100</v>
      </c>
      <c r="C1620" t="s">
        <v>29</v>
      </c>
      <c r="D1620">
        <v>-8.9807744370773435E-4</v>
      </c>
    </row>
    <row r="1621" spans="1:4" x14ac:dyDescent="0.25">
      <c r="A1621">
        <v>76721</v>
      </c>
      <c r="B1621" s="3">
        <v>45103</v>
      </c>
      <c r="C1621" t="s">
        <v>29</v>
      </c>
      <c r="D1621">
        <v>-3.9252899587154388E-2</v>
      </c>
    </row>
    <row r="1622" spans="1:4" x14ac:dyDescent="0.25">
      <c r="A1622">
        <v>76721</v>
      </c>
      <c r="B1622" s="3">
        <v>45104</v>
      </c>
      <c r="C1622" t="s">
        <v>29</v>
      </c>
      <c r="D1622">
        <v>1.4918364584445953E-2</v>
      </c>
    </row>
    <row r="1623" spans="1:4" x14ac:dyDescent="0.25">
      <c r="A1623">
        <v>76721</v>
      </c>
      <c r="B1623" s="3">
        <v>45105</v>
      </c>
      <c r="C1623" t="s">
        <v>29</v>
      </c>
      <c r="D1623">
        <v>-9.4750635325908661E-3</v>
      </c>
    </row>
    <row r="1624" spans="1:4" x14ac:dyDescent="0.25">
      <c r="A1624">
        <v>76721</v>
      </c>
      <c r="B1624" s="3">
        <v>45106</v>
      </c>
      <c r="C1624" t="s">
        <v>29</v>
      </c>
      <c r="D1624">
        <v>6.1013856902718544E-3</v>
      </c>
    </row>
    <row r="1625" spans="1:4" x14ac:dyDescent="0.25">
      <c r="A1625">
        <v>76721</v>
      </c>
      <c r="B1625" s="3">
        <v>45107</v>
      </c>
      <c r="C1625" t="s">
        <v>29</v>
      </c>
      <c r="D1625">
        <v>-5.5504254996776581E-3</v>
      </c>
    </row>
    <row r="1626" spans="1:4" x14ac:dyDescent="0.25">
      <c r="A1626">
        <v>76721</v>
      </c>
      <c r="B1626" s="3">
        <v>45110</v>
      </c>
      <c r="C1626" t="s">
        <v>29</v>
      </c>
      <c r="D1626">
        <v>1.2506450526416302E-2</v>
      </c>
    </row>
    <row r="1627" spans="1:4" x14ac:dyDescent="0.25">
      <c r="A1627">
        <v>76721</v>
      </c>
      <c r="B1627" s="3">
        <v>45112</v>
      </c>
      <c r="C1627" t="s">
        <v>29</v>
      </c>
      <c r="D1627">
        <v>-6.2270378693938255E-3</v>
      </c>
    </row>
    <row r="1628" spans="1:4" x14ac:dyDescent="0.25">
      <c r="A1628">
        <v>76721</v>
      </c>
      <c r="B1628" s="3">
        <v>45113</v>
      </c>
      <c r="C1628" t="s">
        <v>29</v>
      </c>
      <c r="D1628">
        <v>9.7587285563349724E-4</v>
      </c>
    </row>
    <row r="1629" spans="1:4" x14ac:dyDescent="0.25">
      <c r="A1629">
        <v>76721</v>
      </c>
      <c r="B1629" s="3">
        <v>45114</v>
      </c>
      <c r="C1629" t="s">
        <v>29</v>
      </c>
      <c r="D1629">
        <v>-2.1961100399494171E-2</v>
      </c>
    </row>
    <row r="1630" spans="1:4" x14ac:dyDescent="0.25">
      <c r="A1630">
        <v>76721</v>
      </c>
      <c r="B1630" s="3">
        <v>45117</v>
      </c>
      <c r="C1630" t="s">
        <v>29</v>
      </c>
      <c r="D1630">
        <v>1.0859829373657703E-2</v>
      </c>
    </row>
    <row r="1631" spans="1:4" x14ac:dyDescent="0.25">
      <c r="A1631">
        <v>76721</v>
      </c>
      <c r="B1631" s="3">
        <v>45118</v>
      </c>
      <c r="C1631" t="s">
        <v>29</v>
      </c>
      <c r="D1631">
        <v>6.383698433637619E-3</v>
      </c>
    </row>
    <row r="1632" spans="1:4" x14ac:dyDescent="0.25">
      <c r="A1632">
        <v>76721</v>
      </c>
      <c r="B1632" s="3">
        <v>45119</v>
      </c>
      <c r="C1632" t="s">
        <v>29</v>
      </c>
      <c r="D1632">
        <v>2.0627810154110193E-3</v>
      </c>
    </row>
    <row r="1633" spans="1:4" x14ac:dyDescent="0.25">
      <c r="A1633">
        <v>76721</v>
      </c>
      <c r="B1633" s="3">
        <v>45120</v>
      </c>
      <c r="C1633" t="s">
        <v>29</v>
      </c>
      <c r="D1633">
        <v>2.4188216775655746E-3</v>
      </c>
    </row>
    <row r="1634" spans="1:4" x14ac:dyDescent="0.25">
      <c r="A1634">
        <v>76721</v>
      </c>
      <c r="B1634" s="3">
        <v>45121</v>
      </c>
      <c r="C1634" t="s">
        <v>29</v>
      </c>
      <c r="D1634">
        <v>3.5219226032495499E-2</v>
      </c>
    </row>
    <row r="1635" spans="1:4" x14ac:dyDescent="0.25">
      <c r="A1635">
        <v>76721</v>
      </c>
      <c r="B1635" s="3">
        <v>45124</v>
      </c>
      <c r="C1635" t="s">
        <v>29</v>
      </c>
      <c r="D1635">
        <v>3.3078745007514954E-2</v>
      </c>
    </row>
    <row r="1636" spans="1:4" x14ac:dyDescent="0.25">
      <c r="A1636">
        <v>76721</v>
      </c>
      <c r="B1636" s="3">
        <v>45125</v>
      </c>
      <c r="C1636" t="s">
        <v>29</v>
      </c>
      <c r="D1636">
        <v>5.0405794754624367E-3</v>
      </c>
    </row>
    <row r="1637" spans="1:4" x14ac:dyDescent="0.25">
      <c r="A1637">
        <v>76721</v>
      </c>
      <c r="B1637" s="3">
        <v>45126</v>
      </c>
      <c r="C1637" t="s">
        <v>29</v>
      </c>
      <c r="D1637">
        <v>-2.0920924842357635E-2</v>
      </c>
    </row>
    <row r="1638" spans="1:4" x14ac:dyDescent="0.25">
      <c r="A1638">
        <v>76721</v>
      </c>
      <c r="B1638" s="3">
        <v>45127</v>
      </c>
      <c r="C1638" t="s">
        <v>29</v>
      </c>
      <c r="D1638">
        <v>3.2539751380681992E-2</v>
      </c>
    </row>
    <row r="1639" spans="1:4" x14ac:dyDescent="0.25">
      <c r="A1639">
        <v>76721</v>
      </c>
      <c r="B1639" s="3">
        <v>45128</v>
      </c>
      <c r="C1639" t="s">
        <v>29</v>
      </c>
      <c r="D1639">
        <v>9.1660879552364349E-3</v>
      </c>
    </row>
    <row r="1640" spans="1:4" x14ac:dyDescent="0.25">
      <c r="A1640">
        <v>76721</v>
      </c>
      <c r="B1640" s="3">
        <v>45131</v>
      </c>
      <c r="C1640" t="s">
        <v>29</v>
      </c>
      <c r="D1640">
        <v>-1.4045601710677147E-2</v>
      </c>
    </row>
    <row r="1641" spans="1:4" x14ac:dyDescent="0.25">
      <c r="A1641">
        <v>76721</v>
      </c>
      <c r="B1641" s="3">
        <v>45132</v>
      </c>
      <c r="C1641" t="s">
        <v>29</v>
      </c>
      <c r="D1641">
        <v>1.3770878314971924E-2</v>
      </c>
    </row>
    <row r="1642" spans="1:4" x14ac:dyDescent="0.25">
      <c r="A1642">
        <v>76721</v>
      </c>
      <c r="B1642" s="3">
        <v>45133</v>
      </c>
      <c r="C1642" t="s">
        <v>29</v>
      </c>
      <c r="D1642">
        <v>-3.236687183380127E-2</v>
      </c>
    </row>
    <row r="1643" spans="1:4" x14ac:dyDescent="0.25">
      <c r="A1643">
        <v>76721</v>
      </c>
      <c r="B1643" s="3">
        <v>45134</v>
      </c>
      <c r="C1643" t="s">
        <v>29</v>
      </c>
      <c r="D1643">
        <v>-1.5974529087543488E-3</v>
      </c>
    </row>
    <row r="1644" spans="1:4" x14ac:dyDescent="0.25">
      <c r="A1644">
        <v>76721</v>
      </c>
      <c r="B1644" s="3">
        <v>45135</v>
      </c>
      <c r="C1644" t="s">
        <v>29</v>
      </c>
      <c r="D1644">
        <v>-1.0084857232868671E-2</v>
      </c>
    </row>
    <row r="1645" spans="1:4" x14ac:dyDescent="0.25">
      <c r="A1645">
        <v>76721</v>
      </c>
      <c r="B1645" s="3">
        <v>45138</v>
      </c>
      <c r="C1645" t="s">
        <v>29</v>
      </c>
      <c r="D1645">
        <v>1.9101699581369758E-3</v>
      </c>
    </row>
    <row r="1646" spans="1:4" x14ac:dyDescent="0.25">
      <c r="A1646">
        <v>76721</v>
      </c>
      <c r="B1646" s="3">
        <v>45139</v>
      </c>
      <c r="C1646" t="s">
        <v>29</v>
      </c>
      <c r="D1646">
        <v>3.9108479395508766E-3</v>
      </c>
    </row>
    <row r="1647" spans="1:4" x14ac:dyDescent="0.25">
      <c r="A1647">
        <v>76721</v>
      </c>
      <c r="B1647" s="3">
        <v>45140</v>
      </c>
      <c r="C1647" t="s">
        <v>29</v>
      </c>
      <c r="D1647">
        <v>5.5074002593755722E-2</v>
      </c>
    </row>
    <row r="1648" spans="1:4" x14ac:dyDescent="0.25">
      <c r="A1648">
        <v>76721</v>
      </c>
      <c r="B1648" s="3">
        <v>45141</v>
      </c>
      <c r="C1648" t="s">
        <v>29</v>
      </c>
      <c r="D1648">
        <v>-2.676883339881897E-2</v>
      </c>
    </row>
    <row r="1649" spans="1:4" x14ac:dyDescent="0.25">
      <c r="A1649">
        <v>76721</v>
      </c>
      <c r="B1649" s="3">
        <v>45142</v>
      </c>
      <c r="C1649" t="s">
        <v>29</v>
      </c>
      <c r="D1649">
        <v>1.2614424340426922E-2</v>
      </c>
    </row>
    <row r="1650" spans="1:4" x14ac:dyDescent="0.25">
      <c r="A1650">
        <v>76721</v>
      </c>
      <c r="B1650" s="3">
        <v>45145</v>
      </c>
      <c r="C1650" t="s">
        <v>29</v>
      </c>
      <c r="D1650">
        <v>8.8512124493718147E-3</v>
      </c>
    </row>
    <row r="1651" spans="1:4" x14ac:dyDescent="0.25">
      <c r="A1651">
        <v>76721</v>
      </c>
      <c r="B1651" s="3">
        <v>45146</v>
      </c>
      <c r="C1651" t="s">
        <v>29</v>
      </c>
      <c r="D1651">
        <v>-3.7137605249881744E-4</v>
      </c>
    </row>
    <row r="1652" spans="1:4" x14ac:dyDescent="0.25">
      <c r="A1652">
        <v>76721</v>
      </c>
      <c r="B1652" s="3">
        <v>45147</v>
      </c>
      <c r="C1652" t="s">
        <v>29</v>
      </c>
      <c r="D1652">
        <v>2.6469755917787552E-2</v>
      </c>
    </row>
    <row r="1653" spans="1:4" x14ac:dyDescent="0.25">
      <c r="A1653">
        <v>76721</v>
      </c>
      <c r="B1653" s="3">
        <v>45148</v>
      </c>
      <c r="C1653" t="s">
        <v>29</v>
      </c>
      <c r="D1653">
        <v>5.5193686857819557E-3</v>
      </c>
    </row>
    <row r="1654" spans="1:4" x14ac:dyDescent="0.25">
      <c r="A1654">
        <v>76721</v>
      </c>
      <c r="B1654" s="3">
        <v>45149</v>
      </c>
      <c r="C1654" t="s">
        <v>29</v>
      </c>
      <c r="D1654">
        <v>-9.8983722273260355E-4</v>
      </c>
    </row>
    <row r="1655" spans="1:4" x14ac:dyDescent="0.25">
      <c r="A1655">
        <v>76721</v>
      </c>
      <c r="B1655" s="3">
        <v>45152</v>
      </c>
      <c r="C1655" t="s">
        <v>29</v>
      </c>
      <c r="D1655">
        <v>-1.0223333723843098E-2</v>
      </c>
    </row>
    <row r="1656" spans="1:4" x14ac:dyDescent="0.25">
      <c r="A1656">
        <v>76721</v>
      </c>
      <c r="B1656" s="3">
        <v>45153</v>
      </c>
      <c r="C1656" t="s">
        <v>29</v>
      </c>
      <c r="D1656">
        <v>2.279653400182724E-2</v>
      </c>
    </row>
    <row r="1657" spans="1:4" x14ac:dyDescent="0.25">
      <c r="A1657">
        <v>76721</v>
      </c>
      <c r="B1657" s="3">
        <v>45154</v>
      </c>
      <c r="C1657" t="s">
        <v>29</v>
      </c>
      <c r="D1657">
        <v>7.2515564970672131E-3</v>
      </c>
    </row>
    <row r="1658" spans="1:4" x14ac:dyDescent="0.25">
      <c r="A1658">
        <v>76721</v>
      </c>
      <c r="B1658" s="3">
        <v>45155</v>
      </c>
      <c r="C1658" t="s">
        <v>29</v>
      </c>
      <c r="D1658">
        <v>7.9498550621792674E-4</v>
      </c>
    </row>
    <row r="1659" spans="1:4" x14ac:dyDescent="0.25">
      <c r="A1659">
        <v>76721</v>
      </c>
      <c r="B1659" s="3">
        <v>45156</v>
      </c>
      <c r="C1659" t="s">
        <v>29</v>
      </c>
      <c r="D1659">
        <v>-2.2684140130877495E-2</v>
      </c>
    </row>
    <row r="1660" spans="1:4" x14ac:dyDescent="0.25">
      <c r="A1660">
        <v>76721</v>
      </c>
      <c r="B1660" s="3">
        <v>45159</v>
      </c>
      <c r="C1660" t="s">
        <v>29</v>
      </c>
      <c r="D1660">
        <v>-1.1469827964901924E-2</v>
      </c>
    </row>
    <row r="1661" spans="1:4" x14ac:dyDescent="0.25">
      <c r="A1661">
        <v>76721</v>
      </c>
      <c r="B1661" s="3">
        <v>45160</v>
      </c>
      <c r="C1661" t="s">
        <v>29</v>
      </c>
      <c r="D1661">
        <v>-7.4003487825393677E-3</v>
      </c>
    </row>
    <row r="1662" spans="1:4" x14ac:dyDescent="0.25">
      <c r="A1662">
        <v>76721</v>
      </c>
      <c r="B1662" s="3">
        <v>45161</v>
      </c>
      <c r="C1662" t="s">
        <v>29</v>
      </c>
      <c r="D1662">
        <v>7.4094557203352451E-3</v>
      </c>
    </row>
    <row r="1663" spans="1:4" x14ac:dyDescent="0.25">
      <c r="A1663">
        <v>76721</v>
      </c>
      <c r="B1663" s="3">
        <v>45162</v>
      </c>
      <c r="C1663" t="s">
        <v>29</v>
      </c>
      <c r="D1663">
        <v>-2.5399714708328247E-2</v>
      </c>
    </row>
    <row r="1664" spans="1:4" x14ac:dyDescent="0.25">
      <c r="A1664">
        <v>76721</v>
      </c>
      <c r="B1664" s="3">
        <v>45163</v>
      </c>
      <c r="C1664" t="s">
        <v>29</v>
      </c>
      <c r="D1664">
        <v>2.4889836087822914E-2</v>
      </c>
    </row>
    <row r="1665" spans="1:4" x14ac:dyDescent="0.25">
      <c r="A1665">
        <v>76721</v>
      </c>
      <c r="B1665" s="3">
        <v>45166</v>
      </c>
      <c r="C1665" t="s">
        <v>29</v>
      </c>
      <c r="D1665">
        <v>-1.0976418852806091E-2</v>
      </c>
    </row>
    <row r="1666" spans="1:4" x14ac:dyDescent="0.25">
      <c r="A1666">
        <v>76721</v>
      </c>
      <c r="B1666" s="3">
        <v>45167</v>
      </c>
      <c r="C1666" t="s">
        <v>29</v>
      </c>
      <c r="D1666">
        <v>3.4219906665384769E-3</v>
      </c>
    </row>
    <row r="1667" spans="1:4" x14ac:dyDescent="0.25">
      <c r="A1667">
        <v>76721</v>
      </c>
      <c r="B1667" s="3">
        <v>45168</v>
      </c>
      <c r="C1667" t="s">
        <v>29</v>
      </c>
      <c r="D1667">
        <v>7.051010150462389E-3</v>
      </c>
    </row>
    <row r="1668" spans="1:4" x14ac:dyDescent="0.25">
      <c r="A1668">
        <v>76721</v>
      </c>
      <c r="B1668" s="3">
        <v>45169</v>
      </c>
      <c r="C1668" t="s">
        <v>29</v>
      </c>
      <c r="D1668">
        <v>-9.4728507101535797E-3</v>
      </c>
    </row>
    <row r="1669" spans="1:4" x14ac:dyDescent="0.25">
      <c r="A1669">
        <v>76721</v>
      </c>
      <c r="B1669" s="3">
        <v>45170</v>
      </c>
      <c r="C1669" t="s">
        <v>29</v>
      </c>
      <c r="D1669">
        <v>-4.2873639613389969E-2</v>
      </c>
    </row>
    <row r="1670" spans="1:4" x14ac:dyDescent="0.25">
      <c r="A1670">
        <v>76721</v>
      </c>
      <c r="B1670" s="3">
        <v>45174</v>
      </c>
      <c r="C1670" t="s">
        <v>29</v>
      </c>
      <c r="D1670">
        <v>-1.9018210470676422E-2</v>
      </c>
    </row>
    <row r="1671" spans="1:4" x14ac:dyDescent="0.25">
      <c r="A1671">
        <v>76721</v>
      </c>
      <c r="B1671" s="3">
        <v>45175</v>
      </c>
      <c r="C1671" t="s">
        <v>29</v>
      </c>
      <c r="D1671">
        <v>1.8009170889854431E-2</v>
      </c>
    </row>
    <row r="1672" spans="1:4" x14ac:dyDescent="0.25">
      <c r="A1672">
        <v>76721</v>
      </c>
      <c r="B1672" s="3">
        <v>45176</v>
      </c>
      <c r="C1672" t="s">
        <v>29</v>
      </c>
      <c r="D1672">
        <v>-1.1745336465537548E-2</v>
      </c>
    </row>
    <row r="1673" spans="1:4" x14ac:dyDescent="0.25">
      <c r="A1673">
        <v>76721</v>
      </c>
      <c r="B1673" s="3">
        <v>45177</v>
      </c>
      <c r="C1673" t="s">
        <v>29</v>
      </c>
      <c r="D1673">
        <v>-6.6516706719994545E-3</v>
      </c>
    </row>
    <row r="1674" spans="1:4" x14ac:dyDescent="0.25">
      <c r="A1674">
        <v>76721</v>
      </c>
      <c r="B1674" s="3">
        <v>45180</v>
      </c>
      <c r="C1674" t="s">
        <v>29</v>
      </c>
      <c r="D1674">
        <v>-7.0409053005278111E-3</v>
      </c>
    </row>
    <row r="1675" spans="1:4" x14ac:dyDescent="0.25">
      <c r="A1675">
        <v>76721</v>
      </c>
      <c r="B1675" s="3">
        <v>45181</v>
      </c>
      <c r="C1675" t="s">
        <v>29</v>
      </c>
      <c r="D1675">
        <v>-1.7503837123513222E-2</v>
      </c>
    </row>
    <row r="1676" spans="1:4" x14ac:dyDescent="0.25">
      <c r="A1676">
        <v>76721</v>
      </c>
      <c r="B1676" s="3">
        <v>45182</v>
      </c>
      <c r="C1676" t="s">
        <v>29</v>
      </c>
      <c r="D1676">
        <v>-5.0469366833567619E-3</v>
      </c>
    </row>
    <row r="1677" spans="1:4" x14ac:dyDescent="0.25">
      <c r="A1677">
        <v>76721</v>
      </c>
      <c r="B1677" s="3">
        <v>45183</v>
      </c>
      <c r="C1677" t="s">
        <v>29</v>
      </c>
      <c r="D1677">
        <v>9.2827528715133667E-3</v>
      </c>
    </row>
    <row r="1678" spans="1:4" x14ac:dyDescent="0.25">
      <c r="A1678">
        <v>76721</v>
      </c>
      <c r="B1678" s="3">
        <v>45184</v>
      </c>
      <c r="C1678" t="s">
        <v>29</v>
      </c>
      <c r="D1678">
        <v>2.613480668514967E-3</v>
      </c>
    </row>
    <row r="1679" spans="1:4" x14ac:dyDescent="0.25">
      <c r="A1679">
        <v>76721</v>
      </c>
      <c r="B1679" s="3">
        <v>45187</v>
      </c>
      <c r="C1679" t="s">
        <v>29</v>
      </c>
      <c r="D1679">
        <v>8.0198707291856408E-4</v>
      </c>
    </row>
    <row r="1680" spans="1:4" x14ac:dyDescent="0.25">
      <c r="A1680">
        <v>76721</v>
      </c>
      <c r="B1680" s="3">
        <v>45188</v>
      </c>
      <c r="C1680" t="s">
        <v>29</v>
      </c>
      <c r="D1680">
        <v>-1.5126416459679604E-2</v>
      </c>
    </row>
    <row r="1681" spans="1:4" x14ac:dyDescent="0.25">
      <c r="A1681">
        <v>76721</v>
      </c>
      <c r="B1681" s="3">
        <v>45189</v>
      </c>
      <c r="C1681" t="s">
        <v>29</v>
      </c>
      <c r="D1681">
        <v>1.0883381590247154E-2</v>
      </c>
    </row>
    <row r="1682" spans="1:4" x14ac:dyDescent="0.25">
      <c r="A1682">
        <v>76721</v>
      </c>
      <c r="B1682" s="3">
        <v>45190</v>
      </c>
      <c r="C1682" t="s">
        <v>29</v>
      </c>
      <c r="D1682">
        <v>-3.8184896111488342E-2</v>
      </c>
    </row>
    <row r="1683" spans="1:4" x14ac:dyDescent="0.25">
      <c r="A1683">
        <v>76721</v>
      </c>
      <c r="B1683" s="3">
        <v>45191</v>
      </c>
      <c r="C1683" t="s">
        <v>29</v>
      </c>
      <c r="D1683">
        <v>-2.3014289326965809E-3</v>
      </c>
    </row>
    <row r="1684" spans="1:4" x14ac:dyDescent="0.25">
      <c r="A1684">
        <v>76721</v>
      </c>
      <c r="B1684" s="3">
        <v>45194</v>
      </c>
      <c r="C1684" t="s">
        <v>29</v>
      </c>
      <c r="D1684">
        <v>3.4601467195898294E-3</v>
      </c>
    </row>
    <row r="1685" spans="1:4" x14ac:dyDescent="0.25">
      <c r="A1685">
        <v>76721</v>
      </c>
      <c r="B1685" s="3">
        <v>45195</v>
      </c>
      <c r="C1685" t="s">
        <v>29</v>
      </c>
      <c r="D1685">
        <v>-9.9261850118637085E-4</v>
      </c>
    </row>
    <row r="1686" spans="1:4" x14ac:dyDescent="0.25">
      <c r="A1686">
        <v>76721</v>
      </c>
      <c r="B1686" s="3">
        <v>45196</v>
      </c>
      <c r="C1686" t="s">
        <v>29</v>
      </c>
      <c r="D1686">
        <v>2.4632558226585388E-2</v>
      </c>
    </row>
    <row r="1687" spans="1:4" x14ac:dyDescent="0.25">
      <c r="A1687">
        <v>76721</v>
      </c>
      <c r="B1687" s="3">
        <v>45197</v>
      </c>
      <c r="C1687" t="s">
        <v>29</v>
      </c>
      <c r="D1687">
        <v>1.4802007004618645E-2</v>
      </c>
    </row>
    <row r="1688" spans="1:4" x14ac:dyDescent="0.25">
      <c r="A1688">
        <v>76721</v>
      </c>
      <c r="B1688" s="3">
        <v>45198</v>
      </c>
      <c r="C1688" t="s">
        <v>29</v>
      </c>
      <c r="D1688">
        <v>-1.0914461687207222E-2</v>
      </c>
    </row>
    <row r="1689" spans="1:4" x14ac:dyDescent="0.25">
      <c r="A1689">
        <v>76721</v>
      </c>
      <c r="B1689" s="3">
        <v>45201</v>
      </c>
      <c r="C1689" t="s">
        <v>29</v>
      </c>
      <c r="D1689">
        <v>6.8650199100375175E-3</v>
      </c>
    </row>
    <row r="1690" spans="1:4" x14ac:dyDescent="0.25">
      <c r="A1690">
        <v>76721</v>
      </c>
      <c r="B1690" s="3">
        <v>45202</v>
      </c>
      <c r="C1690" t="s">
        <v>29</v>
      </c>
      <c r="D1690">
        <v>-1.5101037919521332E-2</v>
      </c>
    </row>
    <row r="1691" spans="1:4" x14ac:dyDescent="0.25">
      <c r="A1691">
        <v>76721</v>
      </c>
      <c r="B1691" s="3">
        <v>45203</v>
      </c>
      <c r="C1691" t="s">
        <v>29</v>
      </c>
      <c r="D1691">
        <v>7.3842494748532772E-3</v>
      </c>
    </row>
    <row r="1692" spans="1:4" x14ac:dyDescent="0.25">
      <c r="A1692">
        <v>76721</v>
      </c>
      <c r="B1692" s="3">
        <v>45204</v>
      </c>
      <c r="C1692" t="s">
        <v>29</v>
      </c>
      <c r="D1692">
        <v>3.410527715459466E-3</v>
      </c>
    </row>
    <row r="1693" spans="1:4" x14ac:dyDescent="0.25">
      <c r="A1693">
        <v>76721</v>
      </c>
      <c r="B1693" s="3">
        <v>45205</v>
      </c>
      <c r="C1693" t="s">
        <v>29</v>
      </c>
      <c r="D1693">
        <v>2.7851084247231483E-2</v>
      </c>
    </row>
    <row r="1694" spans="1:4" x14ac:dyDescent="0.25">
      <c r="A1694">
        <v>76721</v>
      </c>
      <c r="B1694" s="3">
        <v>45208</v>
      </c>
      <c r="C1694" t="s">
        <v>29</v>
      </c>
      <c r="D1694">
        <v>-5.4291798733174801E-4</v>
      </c>
    </row>
    <row r="1695" spans="1:4" x14ac:dyDescent="0.25">
      <c r="A1695">
        <v>76721</v>
      </c>
      <c r="B1695" s="3">
        <v>45209</v>
      </c>
      <c r="C1695" t="s">
        <v>29</v>
      </c>
      <c r="D1695">
        <v>1.2987678870558739E-2</v>
      </c>
    </row>
    <row r="1696" spans="1:4" x14ac:dyDescent="0.25">
      <c r="A1696">
        <v>76721</v>
      </c>
      <c r="B1696" s="3">
        <v>45210</v>
      </c>
      <c r="C1696" t="s">
        <v>29</v>
      </c>
      <c r="D1696">
        <v>-2.8762292116880417E-2</v>
      </c>
    </row>
    <row r="1697" spans="1:4" x14ac:dyDescent="0.25">
      <c r="A1697">
        <v>76721</v>
      </c>
      <c r="B1697" s="3">
        <v>45211</v>
      </c>
      <c r="C1697" t="s">
        <v>29</v>
      </c>
      <c r="D1697">
        <v>2.8760785236954689E-2</v>
      </c>
    </row>
    <row r="1698" spans="1:4" x14ac:dyDescent="0.25">
      <c r="A1698">
        <v>76721</v>
      </c>
      <c r="B1698" s="3">
        <v>45212</v>
      </c>
      <c r="C1698" t="s">
        <v>29</v>
      </c>
      <c r="D1698">
        <v>-1.0392295196652412E-2</v>
      </c>
    </row>
    <row r="1699" spans="1:4" x14ac:dyDescent="0.25">
      <c r="A1699">
        <v>76721</v>
      </c>
      <c r="B1699" s="3">
        <v>45215</v>
      </c>
      <c r="C1699" t="s">
        <v>29</v>
      </c>
      <c r="D1699">
        <v>3.6484026350080967E-3</v>
      </c>
    </row>
    <row r="1700" spans="1:4" x14ac:dyDescent="0.25">
      <c r="A1700">
        <v>76721</v>
      </c>
      <c r="B1700" s="3">
        <v>45216</v>
      </c>
      <c r="C1700" t="s">
        <v>29</v>
      </c>
      <c r="D1700">
        <v>1.0806403588503599E-3</v>
      </c>
    </row>
    <row r="1701" spans="1:4" x14ac:dyDescent="0.25">
      <c r="A1701">
        <v>76721</v>
      </c>
      <c r="B1701" s="3">
        <v>45217</v>
      </c>
      <c r="C1701" t="s">
        <v>29</v>
      </c>
      <c r="D1701">
        <v>-6.869787466712296E-4</v>
      </c>
    </row>
    <row r="1702" spans="1:4" x14ac:dyDescent="0.25">
      <c r="A1702">
        <v>76721</v>
      </c>
      <c r="B1702" s="3">
        <v>45218</v>
      </c>
      <c r="C1702" t="s">
        <v>29</v>
      </c>
      <c r="D1702">
        <v>-5.6469133123755455E-3</v>
      </c>
    </row>
    <row r="1703" spans="1:4" x14ac:dyDescent="0.25">
      <c r="A1703">
        <v>76721</v>
      </c>
      <c r="B1703" s="3">
        <v>45219</v>
      </c>
      <c r="C1703" t="s">
        <v>29</v>
      </c>
      <c r="D1703">
        <v>-1.7975306138396263E-2</v>
      </c>
    </row>
    <row r="1704" spans="1:4" x14ac:dyDescent="0.25">
      <c r="A1704">
        <v>76721</v>
      </c>
      <c r="B1704" s="3">
        <v>45222</v>
      </c>
      <c r="C1704" t="s">
        <v>29</v>
      </c>
      <c r="D1704">
        <v>-1.3627711683511734E-2</v>
      </c>
    </row>
    <row r="1705" spans="1:4" x14ac:dyDescent="0.25">
      <c r="A1705">
        <v>76721</v>
      </c>
      <c r="B1705" s="3">
        <v>45223</v>
      </c>
      <c r="C1705" t="s">
        <v>29</v>
      </c>
      <c r="D1705">
        <v>-8.411899209022522E-3</v>
      </c>
    </row>
    <row r="1706" spans="1:4" x14ac:dyDescent="0.25">
      <c r="A1706">
        <v>76721</v>
      </c>
      <c r="B1706" s="3">
        <v>45224</v>
      </c>
      <c r="C1706" t="s">
        <v>29</v>
      </c>
      <c r="D1706">
        <v>-2.6735437568277121E-3</v>
      </c>
    </row>
    <row r="1707" spans="1:4" x14ac:dyDescent="0.25">
      <c r="A1707">
        <v>76721</v>
      </c>
      <c r="B1707" s="3">
        <v>45225</v>
      </c>
      <c r="C1707" t="s">
        <v>29</v>
      </c>
      <c r="D1707">
        <v>-1.3454998843371868E-2</v>
      </c>
    </row>
    <row r="1708" spans="1:4" x14ac:dyDescent="0.25">
      <c r="A1708">
        <v>76721</v>
      </c>
      <c r="B1708" s="3">
        <v>45226</v>
      </c>
      <c r="C1708" t="s">
        <v>29</v>
      </c>
      <c r="D1708">
        <v>-5.434463731944561E-3</v>
      </c>
    </row>
    <row r="1709" spans="1:4" x14ac:dyDescent="0.25">
      <c r="A1709">
        <v>76721</v>
      </c>
      <c r="B1709" s="3">
        <v>45229</v>
      </c>
      <c r="C1709" t="s">
        <v>29</v>
      </c>
      <c r="D1709">
        <v>-5.5692614987492561E-3</v>
      </c>
    </row>
    <row r="1710" spans="1:4" x14ac:dyDescent="0.25">
      <c r="A1710">
        <v>76721</v>
      </c>
      <c r="B1710" s="3">
        <v>45230</v>
      </c>
      <c r="C1710" t="s">
        <v>29</v>
      </c>
      <c r="D1710">
        <v>2.4673735722899437E-2</v>
      </c>
    </row>
    <row r="1711" spans="1:4" x14ac:dyDescent="0.25">
      <c r="A1711">
        <v>76721</v>
      </c>
      <c r="B1711" s="3">
        <v>45231</v>
      </c>
      <c r="C1711" t="s">
        <v>29</v>
      </c>
      <c r="D1711">
        <v>5.2077677100896835E-3</v>
      </c>
    </row>
    <row r="1712" spans="1:4" x14ac:dyDescent="0.25">
      <c r="A1712">
        <v>76721</v>
      </c>
      <c r="B1712" s="3">
        <v>45232</v>
      </c>
      <c r="C1712" t="s">
        <v>29</v>
      </c>
      <c r="D1712">
        <v>2.8725346550345421E-2</v>
      </c>
    </row>
    <row r="1713" spans="1:4" x14ac:dyDescent="0.25">
      <c r="A1713">
        <v>76721</v>
      </c>
      <c r="B1713" s="3">
        <v>45233</v>
      </c>
      <c r="C1713" t="s">
        <v>29</v>
      </c>
      <c r="D1713">
        <v>-4.5375400222837925E-3</v>
      </c>
    </row>
    <row r="1714" spans="1:4" x14ac:dyDescent="0.25">
      <c r="A1714">
        <v>76721</v>
      </c>
      <c r="B1714" s="3">
        <v>45236</v>
      </c>
      <c r="C1714" t="s">
        <v>29</v>
      </c>
      <c r="D1714">
        <v>-4.6082856133580208E-3</v>
      </c>
    </row>
    <row r="1715" spans="1:4" x14ac:dyDescent="0.25">
      <c r="A1715">
        <v>76721</v>
      </c>
      <c r="B1715" s="3">
        <v>45237</v>
      </c>
      <c r="C1715" t="s">
        <v>29</v>
      </c>
      <c r="D1715">
        <v>-4.6296203508973122E-3</v>
      </c>
    </row>
    <row r="1716" spans="1:4" x14ac:dyDescent="0.25">
      <c r="A1716">
        <v>76721</v>
      </c>
      <c r="B1716" s="3">
        <v>45238</v>
      </c>
      <c r="C1716" t="s">
        <v>29</v>
      </c>
      <c r="D1716">
        <v>-3.8423142395913601E-3</v>
      </c>
    </row>
    <row r="1717" spans="1:4" x14ac:dyDescent="0.25">
      <c r="A1717">
        <v>76721</v>
      </c>
      <c r="B1717" s="3">
        <v>45239</v>
      </c>
      <c r="C1717" t="s">
        <v>29</v>
      </c>
      <c r="D1717">
        <v>-2.6898030191659927E-3</v>
      </c>
    </row>
    <row r="1718" spans="1:4" x14ac:dyDescent="0.25">
      <c r="A1718">
        <v>76721</v>
      </c>
      <c r="B1718" s="3">
        <v>45240</v>
      </c>
      <c r="C1718" t="s">
        <v>29</v>
      </c>
      <c r="D1718">
        <v>1.2365823611617088E-2</v>
      </c>
    </row>
    <row r="1719" spans="1:4" x14ac:dyDescent="0.25">
      <c r="A1719">
        <v>76721</v>
      </c>
      <c r="B1719" s="3">
        <v>45243</v>
      </c>
      <c r="C1719" t="s">
        <v>29</v>
      </c>
      <c r="D1719">
        <v>1.4677782543003559E-2</v>
      </c>
    </row>
    <row r="1720" spans="1:4" x14ac:dyDescent="0.25">
      <c r="A1720">
        <v>76721</v>
      </c>
      <c r="B1720" s="3">
        <v>45244</v>
      </c>
      <c r="C1720" t="s">
        <v>29</v>
      </c>
      <c r="D1720">
        <v>6.1181046068668365E-2</v>
      </c>
    </row>
    <row r="1721" spans="1:4" x14ac:dyDescent="0.25">
      <c r="A1721">
        <v>76721</v>
      </c>
      <c r="B1721" s="3">
        <v>45245</v>
      </c>
      <c r="C1721" t="s">
        <v>29</v>
      </c>
      <c r="D1721">
        <v>-1.3351386412978172E-2</v>
      </c>
    </row>
    <row r="1722" spans="1:4" x14ac:dyDescent="0.25">
      <c r="A1722">
        <v>76721</v>
      </c>
      <c r="B1722" s="3">
        <v>45246</v>
      </c>
      <c r="C1722" t="s">
        <v>29</v>
      </c>
      <c r="D1722">
        <v>6.6713429987430573E-3</v>
      </c>
    </row>
    <row r="1723" spans="1:4" x14ac:dyDescent="0.25">
      <c r="A1723">
        <v>76721</v>
      </c>
      <c r="B1723" s="3">
        <v>45247</v>
      </c>
      <c r="C1723" t="s">
        <v>29</v>
      </c>
      <c r="D1723">
        <v>5.8751646429300308E-3</v>
      </c>
    </row>
    <row r="1724" spans="1:4" x14ac:dyDescent="0.25">
      <c r="A1724">
        <v>76721</v>
      </c>
      <c r="B1724" s="3">
        <v>45250</v>
      </c>
      <c r="C1724" t="s">
        <v>29</v>
      </c>
      <c r="D1724">
        <v>-2.3357690952252597E-4</v>
      </c>
    </row>
    <row r="1725" spans="1:4" x14ac:dyDescent="0.25">
      <c r="A1725">
        <v>76721</v>
      </c>
      <c r="B1725" s="3">
        <v>45251</v>
      </c>
      <c r="C1725" t="s">
        <v>29</v>
      </c>
      <c r="D1725">
        <v>-5.6552938185632229E-3</v>
      </c>
    </row>
    <row r="1726" spans="1:4" x14ac:dyDescent="0.25">
      <c r="A1726">
        <v>76721</v>
      </c>
      <c r="B1726" s="3">
        <v>45252</v>
      </c>
      <c r="C1726" t="s">
        <v>29</v>
      </c>
      <c r="D1726">
        <v>-4.3243155814707279E-3</v>
      </c>
    </row>
    <row r="1727" spans="1:4" x14ac:dyDescent="0.25">
      <c r="A1727">
        <v>76721</v>
      </c>
      <c r="B1727" s="3">
        <v>45254</v>
      </c>
      <c r="C1727" t="s">
        <v>29</v>
      </c>
      <c r="D1727">
        <v>9.2999162152409554E-3</v>
      </c>
    </row>
    <row r="1728" spans="1:4" x14ac:dyDescent="0.25">
      <c r="A1728">
        <v>76721</v>
      </c>
      <c r="B1728" s="3">
        <v>45257</v>
      </c>
      <c r="C1728" t="s">
        <v>29</v>
      </c>
      <c r="D1728">
        <v>-4.6818360715406016E-5</v>
      </c>
    </row>
    <row r="1729" spans="1:4" x14ac:dyDescent="0.25">
      <c r="A1729">
        <v>76721</v>
      </c>
      <c r="B1729" s="3">
        <v>45258</v>
      </c>
      <c r="C1729" t="s">
        <v>29</v>
      </c>
      <c r="D1729">
        <v>-3.2414954155683517E-2</v>
      </c>
    </row>
    <row r="1730" spans="1:4" x14ac:dyDescent="0.25">
      <c r="A1730">
        <v>76721</v>
      </c>
      <c r="B1730" s="3">
        <v>45259</v>
      </c>
      <c r="C1730" t="s">
        <v>29</v>
      </c>
      <c r="D1730">
        <v>0</v>
      </c>
    </row>
    <row r="1731" spans="1:4" x14ac:dyDescent="0.25">
      <c r="A1731">
        <v>76721</v>
      </c>
      <c r="B1731" s="3">
        <v>45260</v>
      </c>
      <c r="C1731" t="s">
        <v>29</v>
      </c>
      <c r="D1731">
        <v>9.6683744341135025E-3</v>
      </c>
    </row>
    <row r="1732" spans="1:4" x14ac:dyDescent="0.25">
      <c r="A1732">
        <v>76721</v>
      </c>
      <c r="B1732" s="3">
        <v>45261</v>
      </c>
      <c r="C1732" t="s">
        <v>29</v>
      </c>
      <c r="D1732">
        <v>3.4424986690282822E-2</v>
      </c>
    </row>
    <row r="1733" spans="1:4" x14ac:dyDescent="0.25">
      <c r="A1733">
        <v>76721</v>
      </c>
      <c r="B1733" s="3">
        <v>45264</v>
      </c>
      <c r="C1733" t="s">
        <v>29</v>
      </c>
      <c r="D1733">
        <v>1.1663986369967461E-2</v>
      </c>
    </row>
    <row r="1734" spans="1:4" x14ac:dyDescent="0.25">
      <c r="A1734">
        <v>76721</v>
      </c>
      <c r="B1734" s="3">
        <v>45265</v>
      </c>
      <c r="C1734" t="s">
        <v>29</v>
      </c>
      <c r="D1734">
        <v>1.0660138912498951E-2</v>
      </c>
    </row>
    <row r="1735" spans="1:4" x14ac:dyDescent="0.25">
      <c r="A1735">
        <v>76721</v>
      </c>
      <c r="B1735" s="3">
        <v>45266</v>
      </c>
      <c r="C1735" t="s">
        <v>29</v>
      </c>
      <c r="D1735">
        <v>9.0544234262779355E-4</v>
      </c>
    </row>
    <row r="1736" spans="1:4" x14ac:dyDescent="0.25">
      <c r="A1736">
        <v>76721</v>
      </c>
      <c r="B1736" s="3">
        <v>45267</v>
      </c>
      <c r="C1736" t="s">
        <v>29</v>
      </c>
      <c r="D1736">
        <v>-8.0506503582000732E-3</v>
      </c>
    </row>
    <row r="1737" spans="1:4" x14ac:dyDescent="0.25">
      <c r="A1737">
        <v>76721</v>
      </c>
      <c r="B1737" s="3">
        <v>45268</v>
      </c>
      <c r="C1737" t="s">
        <v>29</v>
      </c>
      <c r="D1737">
        <v>2.3253651335835457E-2</v>
      </c>
    </row>
    <row r="1738" spans="1:4" x14ac:dyDescent="0.25">
      <c r="A1738">
        <v>76721</v>
      </c>
      <c r="B1738" s="3">
        <v>45271</v>
      </c>
      <c r="C1738" t="s">
        <v>29</v>
      </c>
      <c r="D1738">
        <v>1.2521155178546906E-2</v>
      </c>
    </row>
    <row r="1739" spans="1:4" x14ac:dyDescent="0.25">
      <c r="A1739">
        <v>76721</v>
      </c>
      <c r="B1739" s="3">
        <v>45272</v>
      </c>
      <c r="C1739" t="s">
        <v>29</v>
      </c>
      <c r="D1739">
        <v>2.8869416564702988E-2</v>
      </c>
    </row>
    <row r="1740" spans="1:4" x14ac:dyDescent="0.25">
      <c r="A1740">
        <v>76721</v>
      </c>
      <c r="B1740" s="3">
        <v>45273</v>
      </c>
      <c r="C1740" t="s">
        <v>29</v>
      </c>
      <c r="D1740">
        <v>8.3408709615468979E-3</v>
      </c>
    </row>
    <row r="1741" spans="1:4" x14ac:dyDescent="0.25">
      <c r="A1741">
        <v>76721</v>
      </c>
      <c r="B1741" s="3">
        <v>45274</v>
      </c>
      <c r="C1741" t="s">
        <v>29</v>
      </c>
      <c r="D1741">
        <v>2.5875989813357592E-3</v>
      </c>
    </row>
    <row r="1742" spans="1:4" x14ac:dyDescent="0.25">
      <c r="A1742">
        <v>76721</v>
      </c>
      <c r="B1742" s="3">
        <v>45275</v>
      </c>
      <c r="C1742" t="s">
        <v>29</v>
      </c>
      <c r="D1742">
        <v>-1.1466073803603649E-2</v>
      </c>
    </row>
    <row r="1743" spans="1:4" x14ac:dyDescent="0.25">
      <c r="A1743">
        <v>76721</v>
      </c>
      <c r="B1743" s="3">
        <v>45278</v>
      </c>
      <c r="C1743" t="s">
        <v>29</v>
      </c>
      <c r="D1743">
        <v>7.5757759623229504E-3</v>
      </c>
    </row>
    <row r="1744" spans="1:4" x14ac:dyDescent="0.25">
      <c r="A1744">
        <v>76721</v>
      </c>
      <c r="B1744" s="3">
        <v>45279</v>
      </c>
      <c r="C1744" t="s">
        <v>29</v>
      </c>
      <c r="D1744">
        <v>3.7254106253385544E-2</v>
      </c>
    </row>
    <row r="1745" spans="1:4" x14ac:dyDescent="0.25">
      <c r="A1745">
        <v>76721</v>
      </c>
      <c r="B1745" s="3">
        <v>45280</v>
      </c>
      <c r="C1745" t="s">
        <v>29</v>
      </c>
      <c r="D1745">
        <v>-1.6299434006214142E-2</v>
      </c>
    </row>
    <row r="1746" spans="1:4" x14ac:dyDescent="0.25">
      <c r="A1746">
        <v>76721</v>
      </c>
      <c r="B1746" s="3">
        <v>45281</v>
      </c>
      <c r="C1746" t="s">
        <v>29</v>
      </c>
      <c r="D1746">
        <v>2.2689413279294968E-2</v>
      </c>
    </row>
    <row r="1747" spans="1:4" x14ac:dyDescent="0.25">
      <c r="A1747">
        <v>76721</v>
      </c>
      <c r="B1747" s="3">
        <v>45282</v>
      </c>
      <c r="C1747" t="s">
        <v>29</v>
      </c>
      <c r="D1747">
        <v>1.502138189971447E-2</v>
      </c>
    </row>
    <row r="1748" spans="1:4" x14ac:dyDescent="0.25">
      <c r="A1748">
        <v>76721</v>
      </c>
      <c r="B1748" s="3">
        <v>45286</v>
      </c>
      <c r="C1748" t="s">
        <v>29</v>
      </c>
      <c r="D1748">
        <v>1.2192221358418465E-2</v>
      </c>
    </row>
    <row r="1749" spans="1:4" x14ac:dyDescent="0.25">
      <c r="A1749">
        <v>76721</v>
      </c>
      <c r="B1749" s="3">
        <v>45287</v>
      </c>
      <c r="C1749" t="s">
        <v>29</v>
      </c>
      <c r="D1749">
        <v>7.8056943602859974E-3</v>
      </c>
    </row>
    <row r="1750" spans="1:4" x14ac:dyDescent="0.25">
      <c r="A1750">
        <v>76721</v>
      </c>
      <c r="B1750" s="3">
        <v>45288</v>
      </c>
      <c r="C1750" t="s">
        <v>29</v>
      </c>
      <c r="D1750">
        <v>-1.2266602367162704E-2</v>
      </c>
    </row>
    <row r="1751" spans="1:4" x14ac:dyDescent="0.25">
      <c r="A1751">
        <v>76721</v>
      </c>
      <c r="B1751" s="3">
        <v>45289</v>
      </c>
      <c r="C1751" t="s">
        <v>29</v>
      </c>
      <c r="D1751">
        <v>-1.6001230105757713E-2</v>
      </c>
    </row>
    <row r="1752" spans="1:4" x14ac:dyDescent="0.25">
      <c r="A1752">
        <v>76868</v>
      </c>
      <c r="B1752" s="3">
        <v>44929</v>
      </c>
      <c r="C1752" t="s">
        <v>30</v>
      </c>
      <c r="D1752">
        <v>-6.5055480226874352E-3</v>
      </c>
    </row>
    <row r="1753" spans="1:4" x14ac:dyDescent="0.25">
      <c r="A1753">
        <v>76868</v>
      </c>
      <c r="B1753" s="3">
        <v>44930</v>
      </c>
      <c r="C1753" t="s">
        <v>30</v>
      </c>
      <c r="D1753">
        <v>-4.2229101061820984E-2</v>
      </c>
    </row>
    <row r="1754" spans="1:4" x14ac:dyDescent="0.25">
      <c r="A1754">
        <v>76868</v>
      </c>
      <c r="B1754" s="3">
        <v>44931</v>
      </c>
      <c r="C1754" t="s">
        <v>30</v>
      </c>
      <c r="D1754">
        <v>-1.632479764521122E-2</v>
      </c>
    </row>
    <row r="1755" spans="1:4" x14ac:dyDescent="0.25">
      <c r="A1755">
        <v>76868</v>
      </c>
      <c r="B1755" s="3">
        <v>44932</v>
      </c>
      <c r="C1755" t="s">
        <v>30</v>
      </c>
      <c r="D1755">
        <v>5.2340459078550339E-2</v>
      </c>
    </row>
    <row r="1756" spans="1:4" x14ac:dyDescent="0.25">
      <c r="A1756">
        <v>76868</v>
      </c>
      <c r="B1756" s="3">
        <v>44935</v>
      </c>
      <c r="C1756" t="s">
        <v>30</v>
      </c>
      <c r="D1756">
        <v>2.9653755482286215E-3</v>
      </c>
    </row>
    <row r="1757" spans="1:4" x14ac:dyDescent="0.25">
      <c r="A1757">
        <v>76868</v>
      </c>
      <c r="B1757" s="3">
        <v>44936</v>
      </c>
      <c r="C1757" t="s">
        <v>30</v>
      </c>
      <c r="D1757">
        <v>1.6126822680234909E-2</v>
      </c>
    </row>
    <row r="1758" spans="1:4" x14ac:dyDescent="0.25">
      <c r="A1758">
        <v>76868</v>
      </c>
      <c r="B1758" s="3">
        <v>44937</v>
      </c>
      <c r="C1758" t="s">
        <v>30</v>
      </c>
      <c r="D1758">
        <v>4.7612828202545643E-3</v>
      </c>
    </row>
    <row r="1759" spans="1:4" x14ac:dyDescent="0.25">
      <c r="A1759">
        <v>76868</v>
      </c>
      <c r="B1759" s="3">
        <v>44938</v>
      </c>
      <c r="C1759" t="s">
        <v>30</v>
      </c>
      <c r="D1759">
        <v>1.0135535150766373E-2</v>
      </c>
    </row>
    <row r="1760" spans="1:4" x14ac:dyDescent="0.25">
      <c r="A1760">
        <v>76868</v>
      </c>
      <c r="B1760" s="3">
        <v>44939</v>
      </c>
      <c r="C1760" t="s">
        <v>30</v>
      </c>
      <c r="D1760">
        <v>1.4725109562277794E-2</v>
      </c>
    </row>
    <row r="1761" spans="1:4" x14ac:dyDescent="0.25">
      <c r="A1761">
        <v>76868</v>
      </c>
      <c r="B1761" s="3">
        <v>44943</v>
      </c>
      <c r="C1761" t="s">
        <v>30</v>
      </c>
      <c r="D1761">
        <v>-9.8883295431733131E-3</v>
      </c>
    </row>
    <row r="1762" spans="1:4" x14ac:dyDescent="0.25">
      <c r="A1762">
        <v>76868</v>
      </c>
      <c r="B1762" s="3">
        <v>44944</v>
      </c>
      <c r="C1762" t="s">
        <v>30</v>
      </c>
      <c r="D1762">
        <v>-2.3086884990334511E-2</v>
      </c>
    </row>
    <row r="1763" spans="1:4" x14ac:dyDescent="0.25">
      <c r="A1763">
        <v>76868</v>
      </c>
      <c r="B1763" s="3">
        <v>44945</v>
      </c>
      <c r="C1763" t="s">
        <v>30</v>
      </c>
      <c r="D1763">
        <v>-2.934146486222744E-2</v>
      </c>
    </row>
    <row r="1764" spans="1:4" x14ac:dyDescent="0.25">
      <c r="A1764">
        <v>76868</v>
      </c>
      <c r="B1764" s="3">
        <v>44946</v>
      </c>
      <c r="C1764" t="s">
        <v>30</v>
      </c>
      <c r="D1764">
        <v>2.188428770750761E-3</v>
      </c>
    </row>
    <row r="1765" spans="1:4" x14ac:dyDescent="0.25">
      <c r="A1765">
        <v>76868</v>
      </c>
      <c r="B1765" s="3">
        <v>44949</v>
      </c>
      <c r="C1765" t="s">
        <v>30</v>
      </c>
      <c r="D1765">
        <v>1.0509135201573372E-2</v>
      </c>
    </row>
    <row r="1766" spans="1:4" x14ac:dyDescent="0.25">
      <c r="A1766">
        <v>76868</v>
      </c>
      <c r="B1766" s="3">
        <v>44950</v>
      </c>
      <c r="C1766" t="s">
        <v>30</v>
      </c>
      <c r="D1766">
        <v>1.0264750570058823E-2</v>
      </c>
    </row>
    <row r="1767" spans="1:4" x14ac:dyDescent="0.25">
      <c r="A1767">
        <v>76868</v>
      </c>
      <c r="B1767" s="3">
        <v>44951</v>
      </c>
      <c r="C1767" t="s">
        <v>30</v>
      </c>
      <c r="D1767">
        <v>-7.2192633524537086E-3</v>
      </c>
    </row>
    <row r="1768" spans="1:4" x14ac:dyDescent="0.25">
      <c r="A1768">
        <v>76868</v>
      </c>
      <c r="B1768" s="3">
        <v>44952</v>
      </c>
      <c r="C1768" t="s">
        <v>30</v>
      </c>
      <c r="D1768">
        <v>-4.8478399403393269E-3</v>
      </c>
    </row>
    <row r="1769" spans="1:4" x14ac:dyDescent="0.25">
      <c r="A1769">
        <v>76868</v>
      </c>
      <c r="B1769" s="3">
        <v>44953</v>
      </c>
      <c r="C1769" t="s">
        <v>30</v>
      </c>
      <c r="D1769">
        <v>8.119058795273304E-3</v>
      </c>
    </row>
    <row r="1770" spans="1:4" x14ac:dyDescent="0.25">
      <c r="A1770">
        <v>76868</v>
      </c>
      <c r="B1770" s="3">
        <v>44956</v>
      </c>
      <c r="C1770" t="s">
        <v>30</v>
      </c>
      <c r="D1770">
        <v>-1.3825487345457077E-2</v>
      </c>
    </row>
    <row r="1771" spans="1:4" x14ac:dyDescent="0.25">
      <c r="A1771">
        <v>76868</v>
      </c>
      <c r="B1771" s="3">
        <v>44957</v>
      </c>
      <c r="C1771" t="s">
        <v>30</v>
      </c>
      <c r="D1771">
        <v>3.8791321218013763E-2</v>
      </c>
    </row>
    <row r="1772" spans="1:4" x14ac:dyDescent="0.25">
      <c r="A1772">
        <v>76868</v>
      </c>
      <c r="B1772" s="3">
        <v>44958</v>
      </c>
      <c r="C1772" t="s">
        <v>30</v>
      </c>
      <c r="D1772">
        <v>1.8867956474423409E-2</v>
      </c>
    </row>
    <row r="1773" spans="1:4" x14ac:dyDescent="0.25">
      <c r="A1773">
        <v>76868</v>
      </c>
      <c r="B1773" s="3">
        <v>44959</v>
      </c>
      <c r="C1773" t="s">
        <v>30</v>
      </c>
      <c r="D1773">
        <v>2.7906354516744614E-2</v>
      </c>
    </row>
    <row r="1774" spans="1:4" x14ac:dyDescent="0.25">
      <c r="A1774">
        <v>76868</v>
      </c>
      <c r="B1774" s="3">
        <v>44960</v>
      </c>
      <c r="C1774" t="s">
        <v>30</v>
      </c>
      <c r="D1774">
        <v>1.06342863291502E-2</v>
      </c>
    </row>
    <row r="1775" spans="1:4" x14ac:dyDescent="0.25">
      <c r="A1775">
        <v>76868</v>
      </c>
      <c r="B1775" s="3">
        <v>44963</v>
      </c>
      <c r="C1775" t="s">
        <v>30</v>
      </c>
      <c r="D1775">
        <v>-1.5102763660252094E-2</v>
      </c>
    </row>
    <row r="1776" spans="1:4" x14ac:dyDescent="0.25">
      <c r="A1776">
        <v>76868</v>
      </c>
      <c r="B1776" s="3">
        <v>44964</v>
      </c>
      <c r="C1776" t="s">
        <v>30</v>
      </c>
      <c r="D1776">
        <v>-2.5389602407813072E-2</v>
      </c>
    </row>
    <row r="1777" spans="1:4" x14ac:dyDescent="0.25">
      <c r="A1777">
        <v>76868</v>
      </c>
      <c r="B1777" s="3">
        <v>44965</v>
      </c>
      <c r="C1777" t="s">
        <v>30</v>
      </c>
      <c r="D1777">
        <v>-6.1903963796794415E-3</v>
      </c>
    </row>
    <row r="1778" spans="1:4" x14ac:dyDescent="0.25">
      <c r="A1778">
        <v>76868</v>
      </c>
      <c r="B1778" s="3">
        <v>44966</v>
      </c>
      <c r="C1778" t="s">
        <v>30</v>
      </c>
      <c r="D1778">
        <v>-1.3495989143848419E-2</v>
      </c>
    </row>
    <row r="1779" spans="1:4" x14ac:dyDescent="0.25">
      <c r="A1779">
        <v>76868</v>
      </c>
      <c r="B1779" s="3">
        <v>44967</v>
      </c>
      <c r="C1779" t="s">
        <v>30</v>
      </c>
      <c r="D1779">
        <v>-1.0523486882448196E-2</v>
      </c>
    </row>
    <row r="1780" spans="1:4" x14ac:dyDescent="0.25">
      <c r="A1780">
        <v>76868</v>
      </c>
      <c r="B1780" s="3">
        <v>44970</v>
      </c>
      <c r="C1780" t="s">
        <v>30</v>
      </c>
      <c r="D1780">
        <v>3.4299410879611969E-2</v>
      </c>
    </row>
    <row r="1781" spans="1:4" x14ac:dyDescent="0.25">
      <c r="A1781">
        <v>76868</v>
      </c>
      <c r="B1781" s="3">
        <v>44971</v>
      </c>
      <c r="C1781" t="s">
        <v>30</v>
      </c>
      <c r="D1781">
        <v>5.7840221561491489E-3</v>
      </c>
    </row>
    <row r="1782" spans="1:4" x14ac:dyDescent="0.25">
      <c r="A1782">
        <v>76868</v>
      </c>
      <c r="B1782" s="3">
        <v>44972</v>
      </c>
      <c r="C1782" t="s">
        <v>30</v>
      </c>
      <c r="D1782">
        <v>9.0734707191586494E-3</v>
      </c>
    </row>
    <row r="1783" spans="1:4" x14ac:dyDescent="0.25">
      <c r="A1783">
        <v>76868</v>
      </c>
      <c r="B1783" s="3">
        <v>44973</v>
      </c>
      <c r="C1783" t="s">
        <v>30</v>
      </c>
      <c r="D1783">
        <v>-3.5460838116705418E-3</v>
      </c>
    </row>
    <row r="1784" spans="1:4" x14ac:dyDescent="0.25">
      <c r="A1784">
        <v>76868</v>
      </c>
      <c r="B1784" s="3">
        <v>44974</v>
      </c>
      <c r="C1784" t="s">
        <v>30</v>
      </c>
      <c r="D1784">
        <v>1.6776813194155693E-2</v>
      </c>
    </row>
    <row r="1785" spans="1:4" x14ac:dyDescent="0.25">
      <c r="A1785">
        <v>76868</v>
      </c>
      <c r="B1785" s="3">
        <v>44978</v>
      </c>
      <c r="C1785" t="s">
        <v>30</v>
      </c>
      <c r="D1785">
        <v>-3.0375003814697266E-2</v>
      </c>
    </row>
    <row r="1786" spans="1:4" x14ac:dyDescent="0.25">
      <c r="A1786">
        <v>76868</v>
      </c>
      <c r="B1786" s="3">
        <v>44979</v>
      </c>
      <c r="C1786" t="s">
        <v>30</v>
      </c>
      <c r="D1786">
        <v>5.9301159344613552E-3</v>
      </c>
    </row>
    <row r="1787" spans="1:4" x14ac:dyDescent="0.25">
      <c r="A1787">
        <v>76868</v>
      </c>
      <c r="B1787" s="3">
        <v>44980</v>
      </c>
      <c r="C1787" t="s">
        <v>30</v>
      </c>
      <c r="D1787">
        <v>2.9988517984747887E-2</v>
      </c>
    </row>
    <row r="1788" spans="1:4" x14ac:dyDescent="0.25">
      <c r="A1788">
        <v>76868</v>
      </c>
      <c r="B1788" s="3">
        <v>44981</v>
      </c>
      <c r="C1788" t="s">
        <v>30</v>
      </c>
      <c r="D1788">
        <v>1.3686679303646088E-2</v>
      </c>
    </row>
    <row r="1789" spans="1:4" x14ac:dyDescent="0.25">
      <c r="A1789">
        <v>76868</v>
      </c>
      <c r="B1789" s="3">
        <v>44984</v>
      </c>
      <c r="C1789" t="s">
        <v>30</v>
      </c>
      <c r="D1789">
        <v>2.4544793996028602E-4</v>
      </c>
    </row>
    <row r="1790" spans="1:4" x14ac:dyDescent="0.25">
      <c r="A1790">
        <v>76868</v>
      </c>
      <c r="B1790" s="3">
        <v>44985</v>
      </c>
      <c r="C1790" t="s">
        <v>30</v>
      </c>
      <c r="D1790">
        <v>0.11621059477329254</v>
      </c>
    </row>
    <row r="1791" spans="1:4" x14ac:dyDescent="0.25">
      <c r="A1791">
        <v>76868</v>
      </c>
      <c r="B1791" s="3">
        <v>44986</v>
      </c>
      <c r="C1791" t="s">
        <v>30</v>
      </c>
      <c r="D1791">
        <v>-4.2875921353697777E-3</v>
      </c>
    </row>
    <row r="1792" spans="1:4" x14ac:dyDescent="0.25">
      <c r="A1792">
        <v>76868</v>
      </c>
      <c r="B1792" s="3">
        <v>44987</v>
      </c>
      <c r="C1792" t="s">
        <v>30</v>
      </c>
      <c r="D1792">
        <v>8.7225455790758133E-3</v>
      </c>
    </row>
    <row r="1793" spans="1:4" x14ac:dyDescent="0.25">
      <c r="A1793">
        <v>76868</v>
      </c>
      <c r="B1793" s="3">
        <v>44988</v>
      </c>
      <c r="C1793" t="s">
        <v>30</v>
      </c>
      <c r="D1793">
        <v>2.8020989149808884E-2</v>
      </c>
    </row>
    <row r="1794" spans="1:4" x14ac:dyDescent="0.25">
      <c r="A1794">
        <v>76868</v>
      </c>
      <c r="B1794" s="3">
        <v>44991</v>
      </c>
      <c r="C1794" t="s">
        <v>30</v>
      </c>
      <c r="D1794">
        <v>-9.2631513252854347E-3</v>
      </c>
    </row>
    <row r="1795" spans="1:4" x14ac:dyDescent="0.25">
      <c r="A1795">
        <v>76868</v>
      </c>
      <c r="B1795" s="3">
        <v>44992</v>
      </c>
      <c r="C1795" t="s">
        <v>30</v>
      </c>
      <c r="D1795">
        <v>-7.7377883717417717E-3</v>
      </c>
    </row>
    <row r="1796" spans="1:4" x14ac:dyDescent="0.25">
      <c r="A1796">
        <v>76868</v>
      </c>
      <c r="B1796" s="3">
        <v>44993</v>
      </c>
      <c r="C1796" t="s">
        <v>30</v>
      </c>
      <c r="D1796">
        <v>-2.491100924089551E-3</v>
      </c>
    </row>
    <row r="1797" spans="1:4" x14ac:dyDescent="0.25">
      <c r="A1797">
        <v>76868</v>
      </c>
      <c r="B1797" s="3">
        <v>44994</v>
      </c>
      <c r="C1797" t="s">
        <v>30</v>
      </c>
      <c r="D1797">
        <v>7.6004012953490019E-4</v>
      </c>
    </row>
    <row r="1798" spans="1:4" x14ac:dyDescent="0.25">
      <c r="A1798">
        <v>76868</v>
      </c>
      <c r="B1798" s="3">
        <v>44995</v>
      </c>
      <c r="C1798" t="s">
        <v>30</v>
      </c>
      <c r="D1798">
        <v>-1.7033686861395836E-2</v>
      </c>
    </row>
    <row r="1799" spans="1:4" x14ac:dyDescent="0.25">
      <c r="A1799">
        <v>76868</v>
      </c>
      <c r="B1799" s="3">
        <v>44998</v>
      </c>
      <c r="C1799" t="s">
        <v>30</v>
      </c>
      <c r="D1799">
        <v>-2.818305604159832E-2</v>
      </c>
    </row>
    <row r="1800" spans="1:4" x14ac:dyDescent="0.25">
      <c r="A1800">
        <v>76868</v>
      </c>
      <c r="B1800" s="3">
        <v>44999</v>
      </c>
      <c r="C1800" t="s">
        <v>30</v>
      </c>
      <c r="D1800">
        <v>3.0592544004321098E-2</v>
      </c>
    </row>
    <row r="1801" spans="1:4" x14ac:dyDescent="0.25">
      <c r="A1801">
        <v>76868</v>
      </c>
      <c r="B1801" s="3">
        <v>45000</v>
      </c>
      <c r="C1801" t="s">
        <v>30</v>
      </c>
      <c r="D1801">
        <v>-2.5491118431091309E-2</v>
      </c>
    </row>
    <row r="1802" spans="1:4" x14ac:dyDescent="0.25">
      <c r="A1802">
        <v>76868</v>
      </c>
      <c r="B1802" s="3">
        <v>45001</v>
      </c>
      <c r="C1802" t="s">
        <v>30</v>
      </c>
      <c r="D1802">
        <v>3.9180152118206024E-2</v>
      </c>
    </row>
    <row r="1803" spans="1:4" x14ac:dyDescent="0.25">
      <c r="A1803">
        <v>76868</v>
      </c>
      <c r="B1803" s="3">
        <v>45002</v>
      </c>
      <c r="C1803" t="s">
        <v>30</v>
      </c>
      <c r="D1803">
        <v>-2.6588154956698418E-2</v>
      </c>
    </row>
    <row r="1804" spans="1:4" x14ac:dyDescent="0.25">
      <c r="A1804">
        <v>76868</v>
      </c>
      <c r="B1804" s="3">
        <v>45005</v>
      </c>
      <c r="C1804" t="s">
        <v>30</v>
      </c>
      <c r="D1804">
        <v>5.149435717612505E-3</v>
      </c>
    </row>
    <row r="1805" spans="1:4" x14ac:dyDescent="0.25">
      <c r="A1805">
        <v>76868</v>
      </c>
      <c r="B1805" s="3">
        <v>45006</v>
      </c>
      <c r="C1805" t="s">
        <v>30</v>
      </c>
      <c r="D1805">
        <v>2.0937712863087654E-2</v>
      </c>
    </row>
    <row r="1806" spans="1:4" x14ac:dyDescent="0.25">
      <c r="A1806">
        <v>76868</v>
      </c>
      <c r="B1806" s="3">
        <v>45007</v>
      </c>
      <c r="C1806" t="s">
        <v>30</v>
      </c>
      <c r="D1806">
        <v>-2.945310901850462E-3</v>
      </c>
    </row>
    <row r="1807" spans="1:4" x14ac:dyDescent="0.25">
      <c r="A1807">
        <v>76868</v>
      </c>
      <c r="B1807" s="3">
        <v>45008</v>
      </c>
      <c r="C1807" t="s">
        <v>30</v>
      </c>
      <c r="D1807">
        <v>1.0393839329481125E-2</v>
      </c>
    </row>
    <row r="1808" spans="1:4" x14ac:dyDescent="0.25">
      <c r="A1808">
        <v>76868</v>
      </c>
      <c r="B1808" s="3">
        <v>45009</v>
      </c>
      <c r="C1808" t="s">
        <v>30</v>
      </c>
      <c r="D1808">
        <v>-1.1911191046237946E-2</v>
      </c>
    </row>
    <row r="1809" spans="1:4" x14ac:dyDescent="0.25">
      <c r="A1809">
        <v>76868</v>
      </c>
      <c r="B1809" s="3">
        <v>45012</v>
      </c>
      <c r="C1809" t="s">
        <v>30</v>
      </c>
      <c r="D1809">
        <v>1.7095863819122314E-2</v>
      </c>
    </row>
    <row r="1810" spans="1:4" x14ac:dyDescent="0.25">
      <c r="A1810">
        <v>76868</v>
      </c>
      <c r="B1810" s="3">
        <v>45013</v>
      </c>
      <c r="C1810" t="s">
        <v>30</v>
      </c>
      <c r="D1810">
        <v>2.338116429746151E-2</v>
      </c>
    </row>
    <row r="1811" spans="1:4" x14ac:dyDescent="0.25">
      <c r="A1811">
        <v>76868</v>
      </c>
      <c r="B1811" s="3">
        <v>45014</v>
      </c>
      <c r="C1811" t="s">
        <v>30</v>
      </c>
      <c r="D1811">
        <v>-2.105754567310214E-3</v>
      </c>
    </row>
    <row r="1812" spans="1:4" x14ac:dyDescent="0.25">
      <c r="A1812">
        <v>76868</v>
      </c>
      <c r="B1812" s="3">
        <v>45015</v>
      </c>
      <c r="C1812" t="s">
        <v>30</v>
      </c>
      <c r="D1812">
        <v>1.2661188375204802E-3</v>
      </c>
    </row>
    <row r="1813" spans="1:4" x14ac:dyDescent="0.25">
      <c r="A1813">
        <v>76868</v>
      </c>
      <c r="B1813" s="3">
        <v>45016</v>
      </c>
      <c r="C1813" t="s">
        <v>30</v>
      </c>
      <c r="D1813">
        <v>1.886196993291378E-2</v>
      </c>
    </row>
    <row r="1814" spans="1:4" x14ac:dyDescent="0.25">
      <c r="A1814">
        <v>76868</v>
      </c>
      <c r="B1814" s="3">
        <v>45019</v>
      </c>
      <c r="C1814" t="s">
        <v>30</v>
      </c>
      <c r="D1814">
        <v>3.3095427788794041E-3</v>
      </c>
    </row>
    <row r="1815" spans="1:4" x14ac:dyDescent="0.25">
      <c r="A1815">
        <v>76868</v>
      </c>
      <c r="B1815" s="3">
        <v>45020</v>
      </c>
      <c r="C1815" t="s">
        <v>30</v>
      </c>
      <c r="D1815">
        <v>-3.1955450773239136E-2</v>
      </c>
    </row>
    <row r="1816" spans="1:4" x14ac:dyDescent="0.25">
      <c r="A1816">
        <v>76868</v>
      </c>
      <c r="B1816" s="3">
        <v>45021</v>
      </c>
      <c r="C1816" t="s">
        <v>30</v>
      </c>
      <c r="D1816">
        <v>-1.1819833889603615E-2</v>
      </c>
    </row>
    <row r="1817" spans="1:4" x14ac:dyDescent="0.25">
      <c r="A1817">
        <v>76868</v>
      </c>
      <c r="B1817" s="3">
        <v>45022</v>
      </c>
      <c r="C1817" t="s">
        <v>30</v>
      </c>
      <c r="D1817">
        <v>-5.3882598876953125E-4</v>
      </c>
    </row>
    <row r="1818" spans="1:4" x14ac:dyDescent="0.25">
      <c r="A1818">
        <v>76868</v>
      </c>
      <c r="B1818" s="3">
        <v>45026</v>
      </c>
      <c r="C1818" t="s">
        <v>30</v>
      </c>
      <c r="D1818">
        <v>1.6280345618724823E-2</v>
      </c>
    </row>
    <row r="1819" spans="1:4" x14ac:dyDescent="0.25">
      <c r="A1819">
        <v>76868</v>
      </c>
      <c r="B1819" s="3">
        <v>45027</v>
      </c>
      <c r="C1819" t="s">
        <v>30</v>
      </c>
      <c r="D1819">
        <v>4.4557410292327404E-3</v>
      </c>
    </row>
    <row r="1820" spans="1:4" x14ac:dyDescent="0.25">
      <c r="A1820">
        <v>76868</v>
      </c>
      <c r="B1820" s="3">
        <v>45028</v>
      </c>
      <c r="C1820" t="s">
        <v>30</v>
      </c>
      <c r="D1820">
        <v>1.9116999581456184E-2</v>
      </c>
    </row>
    <row r="1821" spans="1:4" x14ac:dyDescent="0.25">
      <c r="A1821">
        <v>76868</v>
      </c>
      <c r="B1821" s="3">
        <v>45029</v>
      </c>
      <c r="C1821" t="s">
        <v>30</v>
      </c>
      <c r="D1821">
        <v>6.5292245708405972E-3</v>
      </c>
    </row>
    <row r="1822" spans="1:4" x14ac:dyDescent="0.25">
      <c r="A1822">
        <v>76868</v>
      </c>
      <c r="B1822" s="3">
        <v>45030</v>
      </c>
      <c r="C1822" t="s">
        <v>30</v>
      </c>
      <c r="D1822">
        <v>-1.7092294991016388E-2</v>
      </c>
    </row>
    <row r="1823" spans="1:4" x14ac:dyDescent="0.25">
      <c r="A1823">
        <v>76868</v>
      </c>
      <c r="B1823" s="3">
        <v>45033</v>
      </c>
      <c r="C1823" t="s">
        <v>30</v>
      </c>
      <c r="D1823">
        <v>5.4473527707159519E-3</v>
      </c>
    </row>
    <row r="1824" spans="1:4" x14ac:dyDescent="0.25">
      <c r="A1824">
        <v>76868</v>
      </c>
      <c r="B1824" s="3">
        <v>45034</v>
      </c>
      <c r="C1824" t="s">
        <v>30</v>
      </c>
      <c r="D1824">
        <v>1.3231887482106686E-2</v>
      </c>
    </row>
    <row r="1825" spans="1:4" x14ac:dyDescent="0.25">
      <c r="A1825">
        <v>76868</v>
      </c>
      <c r="B1825" s="3">
        <v>45035</v>
      </c>
      <c r="C1825" t="s">
        <v>30</v>
      </c>
      <c r="D1825">
        <v>9.2545142397284508E-3</v>
      </c>
    </row>
    <row r="1826" spans="1:4" x14ac:dyDescent="0.25">
      <c r="A1826">
        <v>76868</v>
      </c>
      <c r="B1826" s="3">
        <v>45036</v>
      </c>
      <c r="C1826" t="s">
        <v>30</v>
      </c>
      <c r="D1826">
        <v>1.1309226974844933E-2</v>
      </c>
    </row>
    <row r="1827" spans="1:4" x14ac:dyDescent="0.25">
      <c r="A1827">
        <v>76868</v>
      </c>
      <c r="B1827" s="3">
        <v>45037</v>
      </c>
      <c r="C1827" t="s">
        <v>30</v>
      </c>
      <c r="D1827">
        <v>2.0148796029388905E-3</v>
      </c>
    </row>
    <row r="1828" spans="1:4" x14ac:dyDescent="0.25">
      <c r="A1828">
        <v>76868</v>
      </c>
      <c r="B1828" s="3">
        <v>45040</v>
      </c>
      <c r="C1828" t="s">
        <v>30</v>
      </c>
      <c r="D1828">
        <v>-8.4455693140625954E-3</v>
      </c>
    </row>
    <row r="1829" spans="1:4" x14ac:dyDescent="0.25">
      <c r="A1829">
        <v>76868</v>
      </c>
      <c r="B1829" s="3">
        <v>45041</v>
      </c>
      <c r="C1829" t="s">
        <v>30</v>
      </c>
      <c r="D1829">
        <v>-1.0038587264716625E-2</v>
      </c>
    </row>
    <row r="1830" spans="1:4" x14ac:dyDescent="0.25">
      <c r="A1830">
        <v>76868</v>
      </c>
      <c r="B1830" s="3">
        <v>45042</v>
      </c>
      <c r="C1830" t="s">
        <v>30</v>
      </c>
      <c r="D1830">
        <v>-3.8000606000423431E-2</v>
      </c>
    </row>
    <row r="1831" spans="1:4" x14ac:dyDescent="0.25">
      <c r="A1831">
        <v>76868</v>
      </c>
      <c r="B1831" s="3">
        <v>45043</v>
      </c>
      <c r="C1831" t="s">
        <v>30</v>
      </c>
      <c r="D1831">
        <v>5.6431040167808533E-2</v>
      </c>
    </row>
    <row r="1832" spans="1:4" x14ac:dyDescent="0.25">
      <c r="A1832">
        <v>76868</v>
      </c>
      <c r="B1832" s="3">
        <v>45044</v>
      </c>
      <c r="C1832" t="s">
        <v>30</v>
      </c>
      <c r="D1832">
        <v>-1.22959204018116E-2</v>
      </c>
    </row>
    <row r="1833" spans="1:4" x14ac:dyDescent="0.25">
      <c r="A1833">
        <v>76868</v>
      </c>
      <c r="B1833" s="3">
        <v>45047</v>
      </c>
      <c r="C1833" t="s">
        <v>30</v>
      </c>
      <c r="D1833">
        <v>-1.1224552290514112E-3</v>
      </c>
    </row>
    <row r="1834" spans="1:4" x14ac:dyDescent="0.25">
      <c r="A1834">
        <v>76868</v>
      </c>
      <c r="B1834" s="3">
        <v>45048</v>
      </c>
      <c r="C1834" t="s">
        <v>30</v>
      </c>
      <c r="D1834">
        <v>2.5538869667798281E-3</v>
      </c>
    </row>
    <row r="1835" spans="1:4" x14ac:dyDescent="0.25">
      <c r="A1835">
        <v>76868</v>
      </c>
      <c r="B1835" s="3">
        <v>45049</v>
      </c>
      <c r="C1835" t="s">
        <v>30</v>
      </c>
      <c r="D1835">
        <v>-6.0117826797068119E-3</v>
      </c>
    </row>
    <row r="1836" spans="1:4" x14ac:dyDescent="0.25">
      <c r="A1836">
        <v>76868</v>
      </c>
      <c r="B1836" s="3">
        <v>45050</v>
      </c>
      <c r="C1836" t="s">
        <v>30</v>
      </c>
      <c r="D1836">
        <v>-1.3019007630646229E-2</v>
      </c>
    </row>
    <row r="1837" spans="1:4" x14ac:dyDescent="0.25">
      <c r="A1837">
        <v>76868</v>
      </c>
      <c r="B1837" s="3">
        <v>45051</v>
      </c>
      <c r="C1837" t="s">
        <v>30</v>
      </c>
      <c r="D1837">
        <v>7.2496920824050903E-2</v>
      </c>
    </row>
    <row r="1838" spans="1:4" x14ac:dyDescent="0.25">
      <c r="A1838">
        <v>76868</v>
      </c>
      <c r="B1838" s="3">
        <v>45054</v>
      </c>
      <c r="C1838" t="s">
        <v>30</v>
      </c>
      <c r="D1838">
        <v>-6.1107933521270752E-2</v>
      </c>
    </row>
    <row r="1839" spans="1:4" x14ac:dyDescent="0.25">
      <c r="A1839">
        <v>76868</v>
      </c>
      <c r="B1839" s="3">
        <v>45055</v>
      </c>
      <c r="C1839" t="s">
        <v>30</v>
      </c>
      <c r="D1839">
        <v>-2.7849061880260706E-3</v>
      </c>
    </row>
    <row r="1840" spans="1:4" x14ac:dyDescent="0.25">
      <c r="A1840">
        <v>76868</v>
      </c>
      <c r="B1840" s="3">
        <v>45056</v>
      </c>
      <c r="C1840" t="s">
        <v>30</v>
      </c>
      <c r="D1840">
        <v>4.7579547390341759E-3</v>
      </c>
    </row>
    <row r="1841" spans="1:4" x14ac:dyDescent="0.25">
      <c r="A1841">
        <v>76868</v>
      </c>
      <c r="B1841" s="3">
        <v>45057</v>
      </c>
      <c r="C1841" t="s">
        <v>30</v>
      </c>
      <c r="D1841">
        <v>-1.389745157212019E-2</v>
      </c>
    </row>
    <row r="1842" spans="1:4" x14ac:dyDescent="0.25">
      <c r="A1842">
        <v>76868</v>
      </c>
      <c r="B1842" s="3">
        <v>45058</v>
      </c>
      <c r="C1842" t="s">
        <v>30</v>
      </c>
      <c r="D1842">
        <v>-1.148343738168478E-2</v>
      </c>
    </row>
    <row r="1843" spans="1:4" x14ac:dyDescent="0.25">
      <c r="A1843">
        <v>76868</v>
      </c>
      <c r="B1843" s="3">
        <v>45061</v>
      </c>
      <c r="C1843" t="s">
        <v>30</v>
      </c>
      <c r="D1843">
        <v>-2.2706089075654745E-3</v>
      </c>
    </row>
    <row r="1844" spans="1:4" x14ac:dyDescent="0.25">
      <c r="A1844">
        <v>76868</v>
      </c>
      <c r="B1844" s="3">
        <v>45062</v>
      </c>
      <c r="C1844" t="s">
        <v>30</v>
      </c>
      <c r="D1844">
        <v>-3.2548259943723679E-2</v>
      </c>
    </row>
    <row r="1845" spans="1:4" x14ac:dyDescent="0.25">
      <c r="A1845">
        <v>76868</v>
      </c>
      <c r="B1845" s="3">
        <v>45063</v>
      </c>
      <c r="C1845" t="s">
        <v>30</v>
      </c>
      <c r="D1845">
        <v>8.7529356824234128E-4</v>
      </c>
    </row>
    <row r="1846" spans="1:4" x14ac:dyDescent="0.25">
      <c r="A1846">
        <v>76868</v>
      </c>
      <c r="B1846" s="3">
        <v>45064</v>
      </c>
      <c r="C1846" t="s">
        <v>30</v>
      </c>
      <c r="D1846">
        <v>2.1859031403437257E-4</v>
      </c>
    </row>
    <row r="1847" spans="1:4" x14ac:dyDescent="0.25">
      <c r="A1847">
        <v>76868</v>
      </c>
      <c r="B1847" s="3">
        <v>45065</v>
      </c>
      <c r="C1847" t="s">
        <v>30</v>
      </c>
      <c r="D1847">
        <v>-8.7433692533522844E-4</v>
      </c>
    </row>
    <row r="1848" spans="1:4" x14ac:dyDescent="0.25">
      <c r="A1848">
        <v>76868</v>
      </c>
      <c r="B1848" s="3">
        <v>45068</v>
      </c>
      <c r="C1848" t="s">
        <v>30</v>
      </c>
      <c r="D1848">
        <v>-9.2977304011583328E-3</v>
      </c>
    </row>
    <row r="1849" spans="1:4" x14ac:dyDescent="0.25">
      <c r="A1849">
        <v>76868</v>
      </c>
      <c r="B1849" s="3">
        <v>45069</v>
      </c>
      <c r="C1849" t="s">
        <v>30</v>
      </c>
      <c r="D1849">
        <v>-7.2871372103691101E-3</v>
      </c>
    </row>
    <row r="1850" spans="1:4" x14ac:dyDescent="0.25">
      <c r="A1850">
        <v>76868</v>
      </c>
      <c r="B1850" s="3">
        <v>45070</v>
      </c>
      <c r="C1850" t="s">
        <v>30</v>
      </c>
      <c r="D1850">
        <v>-2.0464953035116196E-2</v>
      </c>
    </row>
    <row r="1851" spans="1:4" x14ac:dyDescent="0.25">
      <c r="A1851">
        <v>76868</v>
      </c>
      <c r="B1851" s="3">
        <v>45071</v>
      </c>
      <c r="C1851" t="s">
        <v>30</v>
      </c>
      <c r="D1851">
        <v>2.0892517641186714E-2</v>
      </c>
    </row>
    <row r="1852" spans="1:4" x14ac:dyDescent="0.25">
      <c r="A1852">
        <v>76868</v>
      </c>
      <c r="B1852" s="3">
        <v>45072</v>
      </c>
      <c r="C1852" t="s">
        <v>30</v>
      </c>
      <c r="D1852">
        <v>3.114211605861783E-3</v>
      </c>
    </row>
    <row r="1853" spans="1:4" x14ac:dyDescent="0.25">
      <c r="A1853">
        <v>76868</v>
      </c>
      <c r="B1853" s="3">
        <v>45076</v>
      </c>
      <c r="C1853" t="s">
        <v>30</v>
      </c>
      <c r="D1853">
        <v>-2.0290518179535866E-2</v>
      </c>
    </row>
    <row r="1854" spans="1:4" x14ac:dyDescent="0.25">
      <c r="A1854">
        <v>76868</v>
      </c>
      <c r="B1854" s="3">
        <v>45077</v>
      </c>
      <c r="C1854" t="s">
        <v>30</v>
      </c>
      <c r="D1854">
        <v>-1.9805341958999634E-2</v>
      </c>
    </row>
    <row r="1855" spans="1:4" x14ac:dyDescent="0.25">
      <c r="A1855">
        <v>76868</v>
      </c>
      <c r="B1855" s="3">
        <v>45078</v>
      </c>
      <c r="C1855" t="s">
        <v>30</v>
      </c>
      <c r="D1855">
        <v>1.2238742783665657E-2</v>
      </c>
    </row>
    <row r="1856" spans="1:4" x14ac:dyDescent="0.25">
      <c r="A1856">
        <v>76868</v>
      </c>
      <c r="B1856" s="3">
        <v>45079</v>
      </c>
      <c r="C1856" t="s">
        <v>30</v>
      </c>
      <c r="D1856">
        <v>4.4599108397960663E-2</v>
      </c>
    </row>
    <row r="1857" spans="1:4" x14ac:dyDescent="0.25">
      <c r="A1857">
        <v>76868</v>
      </c>
      <c r="B1857" s="3">
        <v>45082</v>
      </c>
      <c r="C1857" t="s">
        <v>30</v>
      </c>
      <c r="D1857">
        <v>-4.5861341059207916E-3</v>
      </c>
    </row>
    <row r="1858" spans="1:4" x14ac:dyDescent="0.25">
      <c r="A1858">
        <v>76868</v>
      </c>
      <c r="B1858" s="3">
        <v>45083</v>
      </c>
      <c r="C1858" t="s">
        <v>30</v>
      </c>
      <c r="D1858">
        <v>2.073276974260807E-2</v>
      </c>
    </row>
    <row r="1859" spans="1:4" x14ac:dyDescent="0.25">
      <c r="A1859">
        <v>76868</v>
      </c>
      <c r="B1859" s="3">
        <v>45084</v>
      </c>
      <c r="C1859" t="s">
        <v>30</v>
      </c>
      <c r="D1859">
        <v>2.7189668267965317E-2</v>
      </c>
    </row>
    <row r="1860" spans="1:4" x14ac:dyDescent="0.25">
      <c r="A1860">
        <v>76868</v>
      </c>
      <c r="B1860" s="3">
        <v>45085</v>
      </c>
      <c r="C1860" t="s">
        <v>30</v>
      </c>
      <c r="D1860">
        <v>-3.4526530653238297E-3</v>
      </c>
    </row>
    <row r="1861" spans="1:4" x14ac:dyDescent="0.25">
      <c r="A1861">
        <v>76868</v>
      </c>
      <c r="B1861" s="3">
        <v>45086</v>
      </c>
      <c r="C1861" t="s">
        <v>30</v>
      </c>
      <c r="D1861">
        <v>4.099646583199501E-3</v>
      </c>
    </row>
    <row r="1862" spans="1:4" x14ac:dyDescent="0.25">
      <c r="A1862">
        <v>76868</v>
      </c>
      <c r="B1862" s="3">
        <v>45089</v>
      </c>
      <c r="C1862" t="s">
        <v>30</v>
      </c>
      <c r="D1862">
        <v>-3.6641382612287998E-3</v>
      </c>
    </row>
    <row r="1863" spans="1:4" x14ac:dyDescent="0.25">
      <c r="A1863">
        <v>76868</v>
      </c>
      <c r="B1863" s="3">
        <v>45090</v>
      </c>
      <c r="C1863" t="s">
        <v>30</v>
      </c>
      <c r="D1863">
        <v>1.5656251460313797E-2</v>
      </c>
    </row>
    <row r="1864" spans="1:4" x14ac:dyDescent="0.25">
      <c r="A1864">
        <v>76868</v>
      </c>
      <c r="B1864" s="3">
        <v>45091</v>
      </c>
      <c r="C1864" t="s">
        <v>30</v>
      </c>
      <c r="D1864">
        <v>-2.1311867982149124E-2</v>
      </c>
    </row>
    <row r="1865" spans="1:4" x14ac:dyDescent="0.25">
      <c r="A1865">
        <v>76868</v>
      </c>
      <c r="B1865" s="3">
        <v>45092</v>
      </c>
      <c r="C1865" t="s">
        <v>30</v>
      </c>
      <c r="D1865">
        <v>-7.928118109703064E-3</v>
      </c>
    </row>
    <row r="1866" spans="1:4" x14ac:dyDescent="0.25">
      <c r="A1866">
        <v>76868</v>
      </c>
      <c r="B1866" s="3">
        <v>45093</v>
      </c>
      <c r="C1866" t="s">
        <v>30</v>
      </c>
      <c r="D1866">
        <v>2.0777886733412743E-2</v>
      </c>
    </row>
    <row r="1867" spans="1:4" x14ac:dyDescent="0.25">
      <c r="A1867">
        <v>76868</v>
      </c>
      <c r="B1867" s="3">
        <v>45097</v>
      </c>
      <c r="C1867" t="s">
        <v>30</v>
      </c>
      <c r="D1867">
        <v>1.2943609617650509E-2</v>
      </c>
    </row>
    <row r="1868" spans="1:4" x14ac:dyDescent="0.25">
      <c r="A1868">
        <v>76868</v>
      </c>
      <c r="B1868" s="3">
        <v>45098</v>
      </c>
      <c r="C1868" t="s">
        <v>30</v>
      </c>
      <c r="D1868">
        <v>3.1018158420920372E-2</v>
      </c>
    </row>
    <row r="1869" spans="1:4" x14ac:dyDescent="0.25">
      <c r="A1869">
        <v>76868</v>
      </c>
      <c r="B1869" s="3">
        <v>45099</v>
      </c>
      <c r="C1869" t="s">
        <v>30</v>
      </c>
      <c r="D1869">
        <v>-2.8285874053835869E-2</v>
      </c>
    </row>
    <row r="1870" spans="1:4" x14ac:dyDescent="0.25">
      <c r="A1870">
        <v>76868</v>
      </c>
      <c r="B1870" s="3">
        <v>45100</v>
      </c>
      <c r="C1870" t="s">
        <v>30</v>
      </c>
      <c r="D1870">
        <v>-1.9337635487318039E-2</v>
      </c>
    </row>
    <row r="1871" spans="1:4" x14ac:dyDescent="0.25">
      <c r="A1871">
        <v>76868</v>
      </c>
      <c r="B1871" s="3">
        <v>45103</v>
      </c>
      <c r="C1871" t="s">
        <v>30</v>
      </c>
      <c r="D1871">
        <v>2.622194355353713E-3</v>
      </c>
    </row>
    <row r="1872" spans="1:4" x14ac:dyDescent="0.25">
      <c r="A1872">
        <v>76868</v>
      </c>
      <c r="B1872" s="3">
        <v>45104</v>
      </c>
      <c r="C1872" t="s">
        <v>30</v>
      </c>
      <c r="D1872">
        <v>8.3691086620092392E-3</v>
      </c>
    </row>
    <row r="1873" spans="1:4" x14ac:dyDescent="0.25">
      <c r="A1873">
        <v>76868</v>
      </c>
      <c r="B1873" s="3">
        <v>45105</v>
      </c>
      <c r="C1873" t="s">
        <v>30</v>
      </c>
      <c r="D1873">
        <v>-1.193071436136961E-2</v>
      </c>
    </row>
    <row r="1874" spans="1:4" x14ac:dyDescent="0.25">
      <c r="A1874">
        <v>76868</v>
      </c>
      <c r="B1874" s="3">
        <v>45106</v>
      </c>
      <c r="C1874" t="s">
        <v>30</v>
      </c>
      <c r="D1874">
        <v>3.1499690376222134E-3</v>
      </c>
    </row>
    <row r="1875" spans="1:4" x14ac:dyDescent="0.25">
      <c r="A1875">
        <v>76868</v>
      </c>
      <c r="B1875" s="3">
        <v>45107</v>
      </c>
      <c r="C1875" t="s">
        <v>30</v>
      </c>
      <c r="D1875">
        <v>-7.6408139429986477E-3</v>
      </c>
    </row>
    <row r="1876" spans="1:4" x14ac:dyDescent="0.25">
      <c r="A1876">
        <v>76868</v>
      </c>
      <c r="B1876" s="3">
        <v>45110</v>
      </c>
      <c r="C1876" t="s">
        <v>30</v>
      </c>
      <c r="D1876">
        <v>1.0652907192707062E-2</v>
      </c>
    </row>
    <row r="1877" spans="1:4" x14ac:dyDescent="0.25">
      <c r="A1877">
        <v>76868</v>
      </c>
      <c r="B1877" s="3">
        <v>45112</v>
      </c>
      <c r="C1877" t="s">
        <v>30</v>
      </c>
      <c r="D1877">
        <v>-2.5881897658109665E-2</v>
      </c>
    </row>
    <row r="1878" spans="1:4" x14ac:dyDescent="0.25">
      <c r="A1878">
        <v>76868</v>
      </c>
      <c r="B1878" s="3">
        <v>45113</v>
      </c>
      <c r="C1878" t="s">
        <v>30</v>
      </c>
      <c r="D1878">
        <v>-1.1249148286879063E-2</v>
      </c>
    </row>
    <row r="1879" spans="1:4" x14ac:dyDescent="0.25">
      <c r="A1879">
        <v>76868</v>
      </c>
      <c r="B1879" s="3">
        <v>45114</v>
      </c>
      <c r="C1879" t="s">
        <v>30</v>
      </c>
      <c r="D1879">
        <v>2.3296147584915161E-2</v>
      </c>
    </row>
    <row r="1880" spans="1:4" x14ac:dyDescent="0.25">
      <c r="A1880">
        <v>76868</v>
      </c>
      <c r="B1880" s="3">
        <v>45117</v>
      </c>
      <c r="C1880" t="s">
        <v>30</v>
      </c>
      <c r="D1880">
        <v>7.8356396406888962E-3</v>
      </c>
    </row>
    <row r="1881" spans="1:4" x14ac:dyDescent="0.25">
      <c r="A1881">
        <v>76868</v>
      </c>
      <c r="B1881" s="3">
        <v>45118</v>
      </c>
      <c r="C1881" t="s">
        <v>30</v>
      </c>
      <c r="D1881">
        <v>-6.3035887433215976E-4</v>
      </c>
    </row>
    <row r="1882" spans="1:4" x14ac:dyDescent="0.25">
      <c r="A1882">
        <v>76868</v>
      </c>
      <c r="B1882" s="3">
        <v>45119</v>
      </c>
      <c r="C1882" t="s">
        <v>30</v>
      </c>
      <c r="D1882">
        <v>1.9659325480461121E-2</v>
      </c>
    </row>
    <row r="1883" spans="1:4" x14ac:dyDescent="0.25">
      <c r="A1883">
        <v>76868</v>
      </c>
      <c r="B1883" s="3">
        <v>45120</v>
      </c>
      <c r="C1883" t="s">
        <v>30</v>
      </c>
      <c r="D1883">
        <v>4.2272778227925301E-3</v>
      </c>
    </row>
    <row r="1884" spans="1:4" x14ac:dyDescent="0.25">
      <c r="A1884">
        <v>76868</v>
      </c>
      <c r="B1884" s="3">
        <v>45121</v>
      </c>
      <c r="C1884" t="s">
        <v>30</v>
      </c>
      <c r="D1884">
        <v>2.1047180518507957E-2</v>
      </c>
    </row>
    <row r="1885" spans="1:4" x14ac:dyDescent="0.25">
      <c r="A1885">
        <v>76868</v>
      </c>
      <c r="B1885" s="3">
        <v>45124</v>
      </c>
      <c r="C1885" t="s">
        <v>30</v>
      </c>
      <c r="D1885">
        <v>4.3941706418991089E-2</v>
      </c>
    </row>
    <row r="1886" spans="1:4" x14ac:dyDescent="0.25">
      <c r="A1886">
        <v>76868</v>
      </c>
      <c r="B1886" s="3">
        <v>45125</v>
      </c>
      <c r="C1886" t="s">
        <v>30</v>
      </c>
      <c r="D1886">
        <v>1.0402637533843517E-2</v>
      </c>
    </row>
    <row r="1887" spans="1:4" x14ac:dyDescent="0.25">
      <c r="A1887">
        <v>76868</v>
      </c>
      <c r="B1887" s="3">
        <v>45126</v>
      </c>
      <c r="C1887" t="s">
        <v>30</v>
      </c>
      <c r="D1887">
        <v>-1.3155432417988777E-2</v>
      </c>
    </row>
    <row r="1888" spans="1:4" x14ac:dyDescent="0.25">
      <c r="A1888">
        <v>76868</v>
      </c>
      <c r="B1888" s="3">
        <v>45127</v>
      </c>
      <c r="C1888" t="s">
        <v>30</v>
      </c>
      <c r="D1888">
        <v>-1.1108906008303165E-2</v>
      </c>
    </row>
    <row r="1889" spans="1:4" x14ac:dyDescent="0.25">
      <c r="A1889">
        <v>76868</v>
      </c>
      <c r="B1889" s="3">
        <v>45128</v>
      </c>
      <c r="C1889" t="s">
        <v>30</v>
      </c>
      <c r="D1889">
        <v>-1.2992105446755886E-2</v>
      </c>
    </row>
    <row r="1890" spans="1:4" x14ac:dyDescent="0.25">
      <c r="A1890">
        <v>76868</v>
      </c>
      <c r="B1890" s="3">
        <v>45131</v>
      </c>
      <c r="C1890" t="s">
        <v>30</v>
      </c>
      <c r="D1890">
        <v>8.4124943241477013E-3</v>
      </c>
    </row>
    <row r="1891" spans="1:4" x14ac:dyDescent="0.25">
      <c r="A1891">
        <v>76868</v>
      </c>
      <c r="B1891" s="3">
        <v>45132</v>
      </c>
      <c r="C1891" t="s">
        <v>30</v>
      </c>
      <c r="D1891">
        <v>-7.0664561353623867E-3</v>
      </c>
    </row>
    <row r="1892" spans="1:4" x14ac:dyDescent="0.25">
      <c r="A1892">
        <v>76868</v>
      </c>
      <c r="B1892" s="3">
        <v>45133</v>
      </c>
      <c r="C1892" t="s">
        <v>30</v>
      </c>
      <c r="D1892">
        <v>-7.9076638212427497E-4</v>
      </c>
    </row>
    <row r="1893" spans="1:4" x14ac:dyDescent="0.25">
      <c r="A1893">
        <v>76868</v>
      </c>
      <c r="B1893" s="3">
        <v>45134</v>
      </c>
      <c r="C1893" t="s">
        <v>30</v>
      </c>
      <c r="D1893">
        <v>-1.0584624484181404E-2</v>
      </c>
    </row>
    <row r="1894" spans="1:4" x14ac:dyDescent="0.25">
      <c r="A1894">
        <v>76868</v>
      </c>
      <c r="B1894" s="3">
        <v>45135</v>
      </c>
      <c r="C1894" t="s">
        <v>30</v>
      </c>
      <c r="D1894">
        <v>2.9994001612067223E-2</v>
      </c>
    </row>
    <row r="1895" spans="1:4" x14ac:dyDescent="0.25">
      <c r="A1895">
        <v>76868</v>
      </c>
      <c r="B1895" s="3">
        <v>45138</v>
      </c>
      <c r="C1895" t="s">
        <v>30</v>
      </c>
      <c r="D1895">
        <v>2.1743405610322952E-2</v>
      </c>
    </row>
    <row r="1896" spans="1:4" x14ac:dyDescent="0.25">
      <c r="A1896">
        <v>76868</v>
      </c>
      <c r="B1896" s="3">
        <v>45139</v>
      </c>
      <c r="C1896" t="s">
        <v>30</v>
      </c>
      <c r="D1896">
        <v>1.1590358801186085E-2</v>
      </c>
    </row>
    <row r="1897" spans="1:4" x14ac:dyDescent="0.25">
      <c r="A1897">
        <v>76868</v>
      </c>
      <c r="B1897" s="3">
        <v>45140</v>
      </c>
      <c r="C1897" t="s">
        <v>30</v>
      </c>
      <c r="D1897">
        <v>5.6346313795074821E-4</v>
      </c>
    </row>
    <row r="1898" spans="1:4" x14ac:dyDescent="0.25">
      <c r="A1898">
        <v>76868</v>
      </c>
      <c r="B1898" s="3">
        <v>45141</v>
      </c>
      <c r="C1898" t="s">
        <v>30</v>
      </c>
      <c r="D1898">
        <v>-2.2667551413178444E-2</v>
      </c>
    </row>
    <row r="1899" spans="1:4" x14ac:dyDescent="0.25">
      <c r="A1899">
        <v>76868</v>
      </c>
      <c r="B1899" s="3">
        <v>45142</v>
      </c>
      <c r="C1899" t="s">
        <v>30</v>
      </c>
      <c r="D1899">
        <v>-5.8823529630899429E-2</v>
      </c>
    </row>
    <row r="1900" spans="1:4" x14ac:dyDescent="0.25">
      <c r="A1900">
        <v>76868</v>
      </c>
      <c r="B1900" s="3">
        <v>45145</v>
      </c>
      <c r="C1900" t="s">
        <v>30</v>
      </c>
      <c r="D1900">
        <v>-3.6224521696567535E-2</v>
      </c>
    </row>
    <row r="1901" spans="1:4" x14ac:dyDescent="0.25">
      <c r="A1901">
        <v>76868</v>
      </c>
      <c r="B1901" s="3">
        <v>45146</v>
      </c>
      <c r="C1901" t="s">
        <v>30</v>
      </c>
      <c r="D1901">
        <v>2.0539995282888412E-2</v>
      </c>
    </row>
    <row r="1902" spans="1:4" x14ac:dyDescent="0.25">
      <c r="A1902">
        <v>76868</v>
      </c>
      <c r="B1902" s="3">
        <v>45147</v>
      </c>
      <c r="C1902" t="s">
        <v>30</v>
      </c>
      <c r="D1902">
        <v>-1.6184225678443909E-2</v>
      </c>
    </row>
    <row r="1903" spans="1:4" x14ac:dyDescent="0.25">
      <c r="A1903">
        <v>76868</v>
      </c>
      <c r="B1903" s="3">
        <v>45148</v>
      </c>
      <c r="C1903" t="s">
        <v>30</v>
      </c>
      <c r="D1903">
        <v>-5.0617246888577938E-3</v>
      </c>
    </row>
    <row r="1904" spans="1:4" x14ac:dyDescent="0.25">
      <c r="A1904">
        <v>76868</v>
      </c>
      <c r="B1904" s="3">
        <v>45149</v>
      </c>
      <c r="C1904" t="s">
        <v>30</v>
      </c>
      <c r="D1904">
        <v>2.8617305215448141E-3</v>
      </c>
    </row>
    <row r="1905" spans="1:4" x14ac:dyDescent="0.25">
      <c r="A1905">
        <v>76868</v>
      </c>
      <c r="B1905" s="3">
        <v>45152</v>
      </c>
      <c r="C1905" t="s">
        <v>30</v>
      </c>
      <c r="D1905">
        <v>1.712106354534626E-2</v>
      </c>
    </row>
    <row r="1906" spans="1:4" x14ac:dyDescent="0.25">
      <c r="A1906">
        <v>76868</v>
      </c>
      <c r="B1906" s="3">
        <v>45153</v>
      </c>
      <c r="C1906" t="s">
        <v>30</v>
      </c>
      <c r="D1906">
        <v>-1.8079778179526329E-2</v>
      </c>
    </row>
    <row r="1907" spans="1:4" x14ac:dyDescent="0.25">
      <c r="A1907">
        <v>76868</v>
      </c>
      <c r="B1907" s="3">
        <v>45154</v>
      </c>
      <c r="C1907" t="s">
        <v>30</v>
      </c>
      <c r="D1907">
        <v>7.4073753785341978E-4</v>
      </c>
    </row>
    <row r="1908" spans="1:4" x14ac:dyDescent="0.25">
      <c r="A1908">
        <v>76868</v>
      </c>
      <c r="B1908" s="3">
        <v>45155</v>
      </c>
      <c r="C1908" t="s">
        <v>30</v>
      </c>
      <c r="D1908">
        <v>-3.5317756235599518E-2</v>
      </c>
    </row>
    <row r="1909" spans="1:4" x14ac:dyDescent="0.25">
      <c r="A1909">
        <v>76868</v>
      </c>
      <c r="B1909" s="3">
        <v>45156</v>
      </c>
      <c r="C1909" t="s">
        <v>30</v>
      </c>
      <c r="D1909">
        <v>1.5291027724742889E-2</v>
      </c>
    </row>
    <row r="1910" spans="1:4" x14ac:dyDescent="0.25">
      <c r="A1910">
        <v>76868</v>
      </c>
      <c r="B1910" s="3">
        <v>45159</v>
      </c>
      <c r="C1910" t="s">
        <v>30</v>
      </c>
      <c r="D1910">
        <v>3.5627728793770075E-3</v>
      </c>
    </row>
    <row r="1911" spans="1:4" x14ac:dyDescent="0.25">
      <c r="A1911">
        <v>76868</v>
      </c>
      <c r="B1911" s="3">
        <v>45160</v>
      </c>
      <c r="C1911" t="s">
        <v>30</v>
      </c>
      <c r="D1911">
        <v>-3.517831489443779E-2</v>
      </c>
    </row>
    <row r="1912" spans="1:4" x14ac:dyDescent="0.25">
      <c r="A1912">
        <v>76868</v>
      </c>
      <c r="B1912" s="3">
        <v>45161</v>
      </c>
      <c r="C1912" t="s">
        <v>30</v>
      </c>
      <c r="D1912">
        <v>3.0105356127023697E-2</v>
      </c>
    </row>
    <row r="1913" spans="1:4" x14ac:dyDescent="0.25">
      <c r="A1913">
        <v>76868</v>
      </c>
      <c r="B1913" s="3">
        <v>45162</v>
      </c>
      <c r="C1913" t="s">
        <v>30</v>
      </c>
      <c r="D1913">
        <v>-2.5815881788730621E-2</v>
      </c>
    </row>
    <row r="1914" spans="1:4" x14ac:dyDescent="0.25">
      <c r="A1914">
        <v>76868</v>
      </c>
      <c r="B1914" s="3">
        <v>45163</v>
      </c>
      <c r="C1914" t="s">
        <v>30</v>
      </c>
      <c r="D1914">
        <v>1.1666679754853249E-2</v>
      </c>
    </row>
    <row r="1915" spans="1:4" x14ac:dyDescent="0.25">
      <c r="A1915">
        <v>76868</v>
      </c>
      <c r="B1915" s="3">
        <v>45166</v>
      </c>
      <c r="C1915" t="s">
        <v>30</v>
      </c>
      <c r="D1915">
        <v>1.3179244706407189E-3</v>
      </c>
    </row>
    <row r="1916" spans="1:4" x14ac:dyDescent="0.25">
      <c r="A1916">
        <v>76868</v>
      </c>
      <c r="B1916" s="3">
        <v>45167</v>
      </c>
      <c r="C1916" t="s">
        <v>30</v>
      </c>
      <c r="D1916">
        <v>3.257649764418602E-2</v>
      </c>
    </row>
    <row r="1917" spans="1:4" x14ac:dyDescent="0.25">
      <c r="A1917">
        <v>76868</v>
      </c>
      <c r="B1917" s="3">
        <v>45168</v>
      </c>
      <c r="C1917" t="s">
        <v>30</v>
      </c>
      <c r="D1917">
        <v>3.1868161750026047E-4</v>
      </c>
    </row>
    <row r="1918" spans="1:4" x14ac:dyDescent="0.25">
      <c r="A1918">
        <v>76868</v>
      </c>
      <c r="B1918" s="3">
        <v>45169</v>
      </c>
      <c r="C1918" t="s">
        <v>30</v>
      </c>
      <c r="D1918">
        <v>4.460060503333807E-3</v>
      </c>
    </row>
    <row r="1919" spans="1:4" x14ac:dyDescent="0.25">
      <c r="A1919">
        <v>76868</v>
      </c>
      <c r="B1919" s="3">
        <v>45170</v>
      </c>
      <c r="C1919" t="s">
        <v>30</v>
      </c>
      <c r="D1919">
        <v>4.1230607777833939E-2</v>
      </c>
    </row>
    <row r="1920" spans="1:4" x14ac:dyDescent="0.25">
      <c r="A1920">
        <v>76868</v>
      </c>
      <c r="B1920" s="3">
        <v>45174</v>
      </c>
      <c r="C1920" t="s">
        <v>30</v>
      </c>
      <c r="D1920">
        <v>-2.0103674381971359E-2</v>
      </c>
    </row>
    <row r="1921" spans="1:4" x14ac:dyDescent="0.25">
      <c r="A1921">
        <v>76868</v>
      </c>
      <c r="B1921" s="3">
        <v>45175</v>
      </c>
      <c r="C1921" t="s">
        <v>30</v>
      </c>
      <c r="D1921">
        <v>1.4299127273261547E-2</v>
      </c>
    </row>
    <row r="1922" spans="1:4" x14ac:dyDescent="0.25">
      <c r="A1922">
        <v>76868</v>
      </c>
      <c r="B1922" s="3">
        <v>45176</v>
      </c>
      <c r="C1922" t="s">
        <v>30</v>
      </c>
      <c r="D1922">
        <v>7.968047633767128E-3</v>
      </c>
    </row>
    <row r="1923" spans="1:4" x14ac:dyDescent="0.25">
      <c r="A1923">
        <v>76868</v>
      </c>
      <c r="B1923" s="3">
        <v>45177</v>
      </c>
      <c r="C1923" t="s">
        <v>30</v>
      </c>
      <c r="D1923">
        <v>-1.9786492921411991E-3</v>
      </c>
    </row>
    <row r="1924" spans="1:4" x14ac:dyDescent="0.25">
      <c r="A1924">
        <v>76868</v>
      </c>
      <c r="B1924" s="3">
        <v>45180</v>
      </c>
      <c r="C1924" t="s">
        <v>30</v>
      </c>
      <c r="D1924">
        <v>-1.2810681015253067E-2</v>
      </c>
    </row>
    <row r="1925" spans="1:4" x14ac:dyDescent="0.25">
      <c r="A1925">
        <v>76868</v>
      </c>
      <c r="B1925" s="3">
        <v>45181</v>
      </c>
      <c r="C1925" t="s">
        <v>30</v>
      </c>
      <c r="D1925">
        <v>-2.7653401717543602E-2</v>
      </c>
    </row>
    <row r="1926" spans="1:4" x14ac:dyDescent="0.25">
      <c r="A1926">
        <v>76868</v>
      </c>
      <c r="B1926" s="3">
        <v>45182</v>
      </c>
      <c r="C1926" t="s">
        <v>30</v>
      </c>
      <c r="D1926">
        <v>-2.7168719097971916E-2</v>
      </c>
    </row>
    <row r="1927" spans="1:4" x14ac:dyDescent="0.25">
      <c r="A1927">
        <v>76868</v>
      </c>
      <c r="B1927" s="3">
        <v>45183</v>
      </c>
      <c r="C1927" t="s">
        <v>30</v>
      </c>
      <c r="D1927">
        <v>-4.7362553887069225E-3</v>
      </c>
    </row>
    <row r="1928" spans="1:4" x14ac:dyDescent="0.25">
      <c r="A1928">
        <v>76868</v>
      </c>
      <c r="B1928" s="3">
        <v>45184</v>
      </c>
      <c r="C1928" t="s">
        <v>30</v>
      </c>
      <c r="D1928">
        <v>-9.8453497048467398E-4</v>
      </c>
    </row>
    <row r="1929" spans="1:4" x14ac:dyDescent="0.25">
      <c r="A1929">
        <v>76868</v>
      </c>
      <c r="B1929" s="3">
        <v>45187</v>
      </c>
      <c r="C1929" t="s">
        <v>30</v>
      </c>
      <c r="D1929">
        <v>-1.6429263632744551E-4</v>
      </c>
    </row>
    <row r="1930" spans="1:4" x14ac:dyDescent="0.25">
      <c r="A1930">
        <v>76868</v>
      </c>
      <c r="B1930" s="3">
        <v>45188</v>
      </c>
      <c r="C1930" t="s">
        <v>30</v>
      </c>
      <c r="D1930">
        <v>1.4785634353756905E-2</v>
      </c>
    </row>
    <row r="1931" spans="1:4" x14ac:dyDescent="0.25">
      <c r="A1931">
        <v>76868</v>
      </c>
      <c r="B1931" s="3">
        <v>45189</v>
      </c>
      <c r="C1931" t="s">
        <v>30</v>
      </c>
      <c r="D1931">
        <v>-8.9039858430624008E-3</v>
      </c>
    </row>
    <row r="1932" spans="1:4" x14ac:dyDescent="0.25">
      <c r="A1932">
        <v>76868</v>
      </c>
      <c r="B1932" s="3">
        <v>45190</v>
      </c>
      <c r="C1932" t="s">
        <v>30</v>
      </c>
      <c r="D1932">
        <v>-7.4158787727355957E-2</v>
      </c>
    </row>
    <row r="1933" spans="1:4" x14ac:dyDescent="0.25">
      <c r="A1933">
        <v>76868</v>
      </c>
      <c r="B1933" s="3">
        <v>45191</v>
      </c>
      <c r="C1933" t="s">
        <v>30</v>
      </c>
      <c r="D1933">
        <v>4.763592965900898E-3</v>
      </c>
    </row>
    <row r="1934" spans="1:4" x14ac:dyDescent="0.25">
      <c r="A1934">
        <v>76868</v>
      </c>
      <c r="B1934" s="3">
        <v>45194</v>
      </c>
      <c r="C1934" t="s">
        <v>30</v>
      </c>
      <c r="D1934">
        <v>2.4582860060036182E-3</v>
      </c>
    </row>
    <row r="1935" spans="1:4" x14ac:dyDescent="0.25">
      <c r="A1935">
        <v>76868</v>
      </c>
      <c r="B1935" s="3">
        <v>45195</v>
      </c>
      <c r="C1935" t="s">
        <v>30</v>
      </c>
      <c r="D1935">
        <v>-2.7325300499796867E-2</v>
      </c>
    </row>
    <row r="1936" spans="1:4" x14ac:dyDescent="0.25">
      <c r="A1936">
        <v>76868</v>
      </c>
      <c r="B1936" s="3">
        <v>45196</v>
      </c>
      <c r="C1936" t="s">
        <v>30</v>
      </c>
      <c r="D1936">
        <v>2.4131104350090027E-2</v>
      </c>
    </row>
    <row r="1937" spans="1:4" x14ac:dyDescent="0.25">
      <c r="A1937">
        <v>76868</v>
      </c>
      <c r="B1937" s="3">
        <v>45197</v>
      </c>
      <c r="C1937" t="s">
        <v>30</v>
      </c>
      <c r="D1937">
        <v>1.1077916249632835E-2</v>
      </c>
    </row>
    <row r="1938" spans="1:4" x14ac:dyDescent="0.25">
      <c r="A1938">
        <v>76868</v>
      </c>
      <c r="B1938" s="3">
        <v>45198</v>
      </c>
      <c r="C1938" t="s">
        <v>30</v>
      </c>
      <c r="D1938">
        <v>-1.0956540703773499E-2</v>
      </c>
    </row>
    <row r="1939" spans="1:4" x14ac:dyDescent="0.25">
      <c r="A1939">
        <v>76868</v>
      </c>
      <c r="B1939" s="3">
        <v>45201</v>
      </c>
      <c r="C1939" t="s">
        <v>30</v>
      </c>
      <c r="D1939">
        <v>2.8134314343333244E-3</v>
      </c>
    </row>
    <row r="1940" spans="1:4" x14ac:dyDescent="0.25">
      <c r="A1940">
        <v>76868</v>
      </c>
      <c r="B1940" s="3">
        <v>45202</v>
      </c>
      <c r="C1940" t="s">
        <v>30</v>
      </c>
      <c r="D1940">
        <v>-2.7704682201147079E-2</v>
      </c>
    </row>
    <row r="1941" spans="1:4" x14ac:dyDescent="0.25">
      <c r="A1941">
        <v>76868</v>
      </c>
      <c r="B1941" s="3">
        <v>45203</v>
      </c>
      <c r="C1941" t="s">
        <v>30</v>
      </c>
      <c r="D1941">
        <v>1.4247085899114609E-2</v>
      </c>
    </row>
    <row r="1942" spans="1:4" x14ac:dyDescent="0.25">
      <c r="A1942">
        <v>76868</v>
      </c>
      <c r="B1942" s="3">
        <v>45204</v>
      </c>
      <c r="C1942" t="s">
        <v>30</v>
      </c>
      <c r="D1942">
        <v>-4.0896753780543804E-3</v>
      </c>
    </row>
    <row r="1943" spans="1:4" x14ac:dyDescent="0.25">
      <c r="A1943">
        <v>76868</v>
      </c>
      <c r="B1943" s="3">
        <v>45205</v>
      </c>
      <c r="C1943" t="s">
        <v>30</v>
      </c>
      <c r="D1943">
        <v>2.2674530744552612E-2</v>
      </c>
    </row>
    <row r="1944" spans="1:4" x14ac:dyDescent="0.25">
      <c r="A1944">
        <v>76868</v>
      </c>
      <c r="B1944" s="3">
        <v>45208</v>
      </c>
      <c r="C1944" t="s">
        <v>30</v>
      </c>
      <c r="D1944">
        <v>7.6816068030893803E-3</v>
      </c>
    </row>
    <row r="1945" spans="1:4" x14ac:dyDescent="0.25">
      <c r="A1945">
        <v>76868</v>
      </c>
      <c r="B1945" s="3">
        <v>45209</v>
      </c>
      <c r="C1945" t="s">
        <v>30</v>
      </c>
      <c r="D1945">
        <v>1.3686712831258774E-2</v>
      </c>
    </row>
    <row r="1946" spans="1:4" x14ac:dyDescent="0.25">
      <c r="A1946">
        <v>76868</v>
      </c>
      <c r="B1946" s="3">
        <v>45210</v>
      </c>
      <c r="C1946" t="s">
        <v>30</v>
      </c>
      <c r="D1946">
        <v>9.4001553952693939E-3</v>
      </c>
    </row>
    <row r="1947" spans="1:4" x14ac:dyDescent="0.25">
      <c r="A1947">
        <v>76868</v>
      </c>
      <c r="B1947" s="3">
        <v>45211</v>
      </c>
      <c r="C1947" t="s">
        <v>30</v>
      </c>
      <c r="D1947">
        <v>-2.7768425643444061E-2</v>
      </c>
    </row>
    <row r="1948" spans="1:4" x14ac:dyDescent="0.25">
      <c r="A1948">
        <v>76868</v>
      </c>
      <c r="B1948" s="3">
        <v>45212</v>
      </c>
      <c r="C1948" t="s">
        <v>30</v>
      </c>
      <c r="D1948">
        <v>-2.1943544968962669E-2</v>
      </c>
    </row>
    <row r="1949" spans="1:4" x14ac:dyDescent="0.25">
      <c r="A1949">
        <v>76868</v>
      </c>
      <c r="B1949" s="3">
        <v>45215</v>
      </c>
      <c r="C1949" t="s">
        <v>30</v>
      </c>
      <c r="D1949">
        <v>2.6175236329436302E-2</v>
      </c>
    </row>
    <row r="1950" spans="1:4" x14ac:dyDescent="0.25">
      <c r="A1950">
        <v>76868</v>
      </c>
      <c r="B1950" s="3">
        <v>45216</v>
      </c>
      <c r="C1950" t="s">
        <v>30</v>
      </c>
      <c r="D1950">
        <v>-5.379166454076767E-3</v>
      </c>
    </row>
    <row r="1951" spans="1:4" x14ac:dyDescent="0.25">
      <c r="A1951">
        <v>76868</v>
      </c>
      <c r="B1951" s="3">
        <v>45217</v>
      </c>
      <c r="C1951" t="s">
        <v>30</v>
      </c>
      <c r="D1951">
        <v>-6.2805280089378357E-2</v>
      </c>
    </row>
    <row r="1952" spans="1:4" x14ac:dyDescent="0.25">
      <c r="A1952">
        <v>76868</v>
      </c>
      <c r="B1952" s="3">
        <v>45218</v>
      </c>
      <c r="C1952" t="s">
        <v>30</v>
      </c>
      <c r="D1952">
        <v>-1.6195137053728104E-2</v>
      </c>
    </row>
    <row r="1953" spans="1:4" x14ac:dyDescent="0.25">
      <c r="A1953">
        <v>76868</v>
      </c>
      <c r="B1953" s="3">
        <v>45219</v>
      </c>
      <c r="C1953" t="s">
        <v>30</v>
      </c>
      <c r="D1953">
        <v>6.0548665933310986E-3</v>
      </c>
    </row>
    <row r="1954" spans="1:4" x14ac:dyDescent="0.25">
      <c r="A1954">
        <v>76868</v>
      </c>
      <c r="B1954" s="3">
        <v>45222</v>
      </c>
      <c r="C1954" t="s">
        <v>30</v>
      </c>
      <c r="D1954">
        <v>6.9588632322847843E-3</v>
      </c>
    </row>
    <row r="1955" spans="1:4" x14ac:dyDescent="0.25">
      <c r="A1955">
        <v>76868</v>
      </c>
      <c r="B1955" s="3">
        <v>45223</v>
      </c>
      <c r="C1955" t="s">
        <v>30</v>
      </c>
      <c r="D1955">
        <v>-6.1636501923203468E-3</v>
      </c>
    </row>
    <row r="1956" spans="1:4" x14ac:dyDescent="0.25">
      <c r="A1956">
        <v>76868</v>
      </c>
      <c r="B1956" s="3">
        <v>45224</v>
      </c>
      <c r="C1956" t="s">
        <v>30</v>
      </c>
      <c r="D1956">
        <v>2.4431699421256781E-3</v>
      </c>
    </row>
    <row r="1957" spans="1:4" x14ac:dyDescent="0.25">
      <c r="A1957">
        <v>76868</v>
      </c>
      <c r="B1957" s="3">
        <v>45225</v>
      </c>
      <c r="C1957" t="s">
        <v>30</v>
      </c>
      <c r="D1957">
        <v>8.9988661929965019E-3</v>
      </c>
    </row>
    <row r="1958" spans="1:4" x14ac:dyDescent="0.25">
      <c r="A1958">
        <v>76868</v>
      </c>
      <c r="B1958" s="3">
        <v>45226</v>
      </c>
      <c r="C1958" t="s">
        <v>30</v>
      </c>
      <c r="D1958">
        <v>-1.4863994438201189E-3</v>
      </c>
    </row>
    <row r="1959" spans="1:4" x14ac:dyDescent="0.25">
      <c r="A1959">
        <v>76868</v>
      </c>
      <c r="B1959" s="3">
        <v>45229</v>
      </c>
      <c r="C1959" t="s">
        <v>30</v>
      </c>
      <c r="D1959">
        <v>1.3397792354226112E-2</v>
      </c>
    </row>
    <row r="1960" spans="1:4" x14ac:dyDescent="0.25">
      <c r="A1960">
        <v>76868</v>
      </c>
      <c r="B1960" s="3">
        <v>45230</v>
      </c>
      <c r="C1960" t="s">
        <v>30</v>
      </c>
      <c r="D1960">
        <v>3.672504099085927E-4</v>
      </c>
    </row>
    <row r="1961" spans="1:4" x14ac:dyDescent="0.25">
      <c r="A1961">
        <v>76868</v>
      </c>
      <c r="B1961" s="3">
        <v>45231</v>
      </c>
      <c r="C1961" t="s">
        <v>30</v>
      </c>
      <c r="D1961">
        <v>3.7444952875375748E-2</v>
      </c>
    </row>
    <row r="1962" spans="1:4" x14ac:dyDescent="0.25">
      <c r="A1962">
        <v>76868</v>
      </c>
      <c r="B1962" s="3">
        <v>45232</v>
      </c>
      <c r="C1962" t="s">
        <v>30</v>
      </c>
      <c r="D1962">
        <v>5.3078420460224152E-3</v>
      </c>
    </row>
    <row r="1963" spans="1:4" x14ac:dyDescent="0.25">
      <c r="A1963">
        <v>76868</v>
      </c>
      <c r="B1963" s="3">
        <v>45233</v>
      </c>
      <c r="C1963" t="s">
        <v>30</v>
      </c>
      <c r="D1963">
        <v>1.8479395657777786E-2</v>
      </c>
    </row>
    <row r="1964" spans="1:4" x14ac:dyDescent="0.25">
      <c r="A1964">
        <v>76868</v>
      </c>
      <c r="B1964" s="3">
        <v>45236</v>
      </c>
      <c r="C1964" t="s">
        <v>30</v>
      </c>
      <c r="D1964">
        <v>-3.1104253139346838E-3</v>
      </c>
    </row>
    <row r="1965" spans="1:4" x14ac:dyDescent="0.25">
      <c r="A1965">
        <v>76868</v>
      </c>
      <c r="B1965" s="3">
        <v>45237</v>
      </c>
      <c r="C1965" t="s">
        <v>30</v>
      </c>
      <c r="D1965">
        <v>1.9587468355894089E-2</v>
      </c>
    </row>
    <row r="1966" spans="1:4" x14ac:dyDescent="0.25">
      <c r="A1966">
        <v>76868</v>
      </c>
      <c r="B1966" s="3">
        <v>45238</v>
      </c>
      <c r="C1966" t="s">
        <v>30</v>
      </c>
      <c r="D1966">
        <v>-4.0802084840834141E-3</v>
      </c>
    </row>
    <row r="1967" spans="1:4" x14ac:dyDescent="0.25">
      <c r="A1967">
        <v>76868</v>
      </c>
      <c r="B1967" s="3">
        <v>45239</v>
      </c>
      <c r="C1967" t="s">
        <v>30</v>
      </c>
      <c r="D1967">
        <v>-1.9289877265691757E-2</v>
      </c>
    </row>
    <row r="1968" spans="1:4" x14ac:dyDescent="0.25">
      <c r="A1968">
        <v>76868</v>
      </c>
      <c r="B1968" s="3">
        <v>45240</v>
      </c>
      <c r="C1968" t="s">
        <v>30</v>
      </c>
      <c r="D1968">
        <v>2.1932085976004601E-2</v>
      </c>
    </row>
    <row r="1969" spans="1:4" x14ac:dyDescent="0.25">
      <c r="A1969">
        <v>76868</v>
      </c>
      <c r="B1969" s="3">
        <v>45243</v>
      </c>
      <c r="C1969" t="s">
        <v>30</v>
      </c>
      <c r="D1969">
        <v>4.9395491369068623E-3</v>
      </c>
    </row>
    <row r="1970" spans="1:4" x14ac:dyDescent="0.25">
      <c r="A1970">
        <v>76868</v>
      </c>
      <c r="B1970" s="3">
        <v>45244</v>
      </c>
      <c r="C1970" t="s">
        <v>30</v>
      </c>
      <c r="D1970">
        <v>8.5762672126293182E-2</v>
      </c>
    </row>
    <row r="1971" spans="1:4" x14ac:dyDescent="0.25">
      <c r="A1971">
        <v>76868</v>
      </c>
      <c r="B1971" s="3">
        <v>45245</v>
      </c>
      <c r="C1971" t="s">
        <v>30</v>
      </c>
      <c r="D1971">
        <v>-4.6830978244543076E-3</v>
      </c>
    </row>
    <row r="1972" spans="1:4" x14ac:dyDescent="0.25">
      <c r="A1972">
        <v>76868</v>
      </c>
      <c r="B1972" s="3">
        <v>45246</v>
      </c>
      <c r="C1972" t="s">
        <v>30</v>
      </c>
      <c r="D1972">
        <v>-1.9918391481041908E-2</v>
      </c>
    </row>
    <row r="1973" spans="1:4" x14ac:dyDescent="0.25">
      <c r="A1973">
        <v>76868</v>
      </c>
      <c r="B1973" s="3">
        <v>45247</v>
      </c>
      <c r="C1973" t="s">
        <v>30</v>
      </c>
      <c r="D1973">
        <v>4.6406961046159267E-3</v>
      </c>
    </row>
    <row r="1974" spans="1:4" x14ac:dyDescent="0.25">
      <c r="A1974">
        <v>76868</v>
      </c>
      <c r="B1974" s="3">
        <v>45250</v>
      </c>
      <c r="C1974" t="s">
        <v>30</v>
      </c>
      <c r="D1974">
        <v>7.0086405612528324E-3</v>
      </c>
    </row>
    <row r="1975" spans="1:4" x14ac:dyDescent="0.25">
      <c r="A1975">
        <v>76868</v>
      </c>
      <c r="B1975" s="3">
        <v>45251</v>
      </c>
      <c r="C1975" t="s">
        <v>30</v>
      </c>
      <c r="D1975">
        <v>4.4289589859545231E-3</v>
      </c>
    </row>
    <row r="1976" spans="1:4" x14ac:dyDescent="0.25">
      <c r="A1976">
        <v>76868</v>
      </c>
      <c r="B1976" s="3">
        <v>45252</v>
      </c>
      <c r="C1976" t="s">
        <v>30</v>
      </c>
      <c r="D1976">
        <v>6.2993570463731885E-4</v>
      </c>
    </row>
    <row r="1977" spans="1:4" x14ac:dyDescent="0.25">
      <c r="A1977">
        <v>76868</v>
      </c>
      <c r="B1977" s="3">
        <v>45254</v>
      </c>
      <c r="C1977" t="s">
        <v>30</v>
      </c>
      <c r="D1977">
        <v>4.5640682801604271E-3</v>
      </c>
    </row>
    <row r="1978" spans="1:4" x14ac:dyDescent="0.25">
      <c r="A1978">
        <v>76868</v>
      </c>
      <c r="B1978" s="3">
        <v>45257</v>
      </c>
      <c r="C1978" t="s">
        <v>30</v>
      </c>
      <c r="D1978">
        <v>-3.2900343649089336E-3</v>
      </c>
    </row>
    <row r="1979" spans="1:4" x14ac:dyDescent="0.25">
      <c r="A1979">
        <v>76868</v>
      </c>
      <c r="B1979" s="3">
        <v>45258</v>
      </c>
      <c r="C1979" t="s">
        <v>30</v>
      </c>
      <c r="D1979">
        <v>-2.5620859116315842E-2</v>
      </c>
    </row>
    <row r="1980" spans="1:4" x14ac:dyDescent="0.25">
      <c r="A1980">
        <v>76868</v>
      </c>
      <c r="B1980" s="3">
        <v>45259</v>
      </c>
      <c r="C1980" t="s">
        <v>30</v>
      </c>
      <c r="D1980">
        <v>2.0998395048081875E-3</v>
      </c>
    </row>
    <row r="1981" spans="1:4" x14ac:dyDescent="0.25">
      <c r="A1981">
        <v>76868</v>
      </c>
      <c r="B1981" s="3">
        <v>45260</v>
      </c>
      <c r="C1981" t="s">
        <v>30</v>
      </c>
      <c r="D1981">
        <v>9.0263951569795609E-3</v>
      </c>
    </row>
    <row r="1982" spans="1:4" x14ac:dyDescent="0.25">
      <c r="A1982">
        <v>76868</v>
      </c>
      <c r="B1982" s="3">
        <v>45261</v>
      </c>
      <c r="C1982" t="s">
        <v>30</v>
      </c>
      <c r="D1982">
        <v>-1.118206069804728E-3</v>
      </c>
    </row>
    <row r="1983" spans="1:4" x14ac:dyDescent="0.25">
      <c r="A1983">
        <v>76868</v>
      </c>
      <c r="B1983" s="3">
        <v>45264</v>
      </c>
      <c r="C1983" t="s">
        <v>30</v>
      </c>
      <c r="D1983">
        <v>3.0865190550684929E-2</v>
      </c>
    </row>
    <row r="1984" spans="1:4" x14ac:dyDescent="0.25">
      <c r="A1984">
        <v>76868</v>
      </c>
      <c r="B1984" s="3">
        <v>45265</v>
      </c>
      <c r="C1984" t="s">
        <v>30</v>
      </c>
      <c r="D1984">
        <v>-1.6289159655570984E-2</v>
      </c>
    </row>
    <row r="1985" spans="1:4" x14ac:dyDescent="0.25">
      <c r="A1985">
        <v>76868</v>
      </c>
      <c r="B1985" s="3">
        <v>45266</v>
      </c>
      <c r="C1985" t="s">
        <v>30</v>
      </c>
      <c r="D1985">
        <v>8.3582838997244835E-3</v>
      </c>
    </row>
    <row r="1986" spans="1:4" x14ac:dyDescent="0.25">
      <c r="A1986">
        <v>76868</v>
      </c>
      <c r="B1986" s="3">
        <v>45267</v>
      </c>
      <c r="C1986" t="s">
        <v>30</v>
      </c>
      <c r="D1986">
        <v>2.0175239071249962E-2</v>
      </c>
    </row>
    <row r="1987" spans="1:4" x14ac:dyDescent="0.25">
      <c r="A1987">
        <v>76868</v>
      </c>
      <c r="B1987" s="3">
        <v>45268</v>
      </c>
      <c r="C1987" t="s">
        <v>30</v>
      </c>
      <c r="D1987">
        <v>1.6862329794093966E-3</v>
      </c>
    </row>
    <row r="1988" spans="1:4" x14ac:dyDescent="0.25">
      <c r="A1988">
        <v>76868</v>
      </c>
      <c r="B1988" s="3">
        <v>45271</v>
      </c>
      <c r="C1988" t="s">
        <v>30</v>
      </c>
      <c r="D1988">
        <v>1.3774128630757332E-2</v>
      </c>
    </row>
    <row r="1989" spans="1:4" x14ac:dyDescent="0.25">
      <c r="A1989">
        <v>76868</v>
      </c>
      <c r="B1989" s="3">
        <v>45272</v>
      </c>
      <c r="C1989" t="s">
        <v>30</v>
      </c>
      <c r="D1989">
        <v>1.0265705175697803E-2</v>
      </c>
    </row>
    <row r="1990" spans="1:4" x14ac:dyDescent="0.25">
      <c r="A1990">
        <v>76868</v>
      </c>
      <c r="B1990" s="3">
        <v>45273</v>
      </c>
      <c r="C1990" t="s">
        <v>30</v>
      </c>
      <c r="D1990">
        <v>6.7245154641568661E-3</v>
      </c>
    </row>
    <row r="1991" spans="1:4" x14ac:dyDescent="0.25">
      <c r="A1991">
        <v>76868</v>
      </c>
      <c r="B1991" s="3">
        <v>45274</v>
      </c>
      <c r="C1991" t="s">
        <v>30</v>
      </c>
      <c r="D1991">
        <v>5.7295538485050201E-2</v>
      </c>
    </row>
    <row r="1992" spans="1:4" x14ac:dyDescent="0.25">
      <c r="A1992">
        <v>76868</v>
      </c>
      <c r="B1992" s="3">
        <v>45275</v>
      </c>
      <c r="C1992" t="s">
        <v>30</v>
      </c>
      <c r="D1992">
        <v>-1.684721908532083E-3</v>
      </c>
    </row>
    <row r="1993" spans="1:4" x14ac:dyDescent="0.25">
      <c r="A1993">
        <v>76868</v>
      </c>
      <c r="B1993" s="3">
        <v>45278</v>
      </c>
      <c r="C1993" t="s">
        <v>30</v>
      </c>
      <c r="D1993">
        <v>-5.2032447420060635E-3</v>
      </c>
    </row>
    <row r="1994" spans="1:4" x14ac:dyDescent="0.25">
      <c r="A1994">
        <v>76868</v>
      </c>
      <c r="B1994" s="3">
        <v>45279</v>
      </c>
      <c r="C1994" t="s">
        <v>30</v>
      </c>
      <c r="D1994">
        <v>2.290080301463604E-2</v>
      </c>
    </row>
    <row r="1995" spans="1:4" x14ac:dyDescent="0.25">
      <c r="A1995">
        <v>76868</v>
      </c>
      <c r="B1995" s="3">
        <v>45280</v>
      </c>
      <c r="C1995" t="s">
        <v>30</v>
      </c>
      <c r="D1995">
        <v>-8.0155031755566597E-3</v>
      </c>
    </row>
    <row r="1996" spans="1:4" x14ac:dyDescent="0.25">
      <c r="A1996">
        <v>76868</v>
      </c>
      <c r="B1996" s="3">
        <v>45281</v>
      </c>
      <c r="C1996" t="s">
        <v>30</v>
      </c>
      <c r="D1996">
        <v>8.4981974214315414E-3</v>
      </c>
    </row>
    <row r="1997" spans="1:4" x14ac:dyDescent="0.25">
      <c r="A1997">
        <v>76868</v>
      </c>
      <c r="B1997" s="3">
        <v>45282</v>
      </c>
      <c r="C1997" t="s">
        <v>30</v>
      </c>
      <c r="D1997">
        <v>1.4090402983129025E-2</v>
      </c>
    </row>
    <row r="1998" spans="1:4" x14ac:dyDescent="0.25">
      <c r="A1998">
        <v>76868</v>
      </c>
      <c r="B1998" s="3">
        <v>45286</v>
      </c>
      <c r="C1998" t="s">
        <v>30</v>
      </c>
      <c r="D1998">
        <v>1.0080341249704361E-2</v>
      </c>
    </row>
    <row r="1999" spans="1:4" x14ac:dyDescent="0.25">
      <c r="A1999">
        <v>76868</v>
      </c>
      <c r="B1999" s="3">
        <v>45287</v>
      </c>
      <c r="C1999" t="s">
        <v>30</v>
      </c>
      <c r="D1999">
        <v>8.091376512311399E-4</v>
      </c>
    </row>
    <row r="2000" spans="1:4" x14ac:dyDescent="0.25">
      <c r="A2000">
        <v>76868</v>
      </c>
      <c r="B2000" s="3">
        <v>45288</v>
      </c>
      <c r="C2000" t="s">
        <v>30</v>
      </c>
      <c r="D2000">
        <v>2.6956302463077009E-4</v>
      </c>
    </row>
    <row r="2001" spans="1:4" x14ac:dyDescent="0.25">
      <c r="A2001">
        <v>76868</v>
      </c>
      <c r="B2001" s="3">
        <v>45289</v>
      </c>
      <c r="C2001" t="s">
        <v>30</v>
      </c>
      <c r="D2001">
        <v>-4.8497989773750305E-3</v>
      </c>
    </row>
    <row r="2002" spans="1:4" x14ac:dyDescent="0.25">
      <c r="A2002">
        <v>87476</v>
      </c>
      <c r="B2002" s="3">
        <v>44929</v>
      </c>
      <c r="C2002" t="s">
        <v>31</v>
      </c>
      <c r="D2002">
        <v>-1.0492737405002117E-2</v>
      </c>
    </row>
    <row r="2003" spans="1:4" x14ac:dyDescent="0.25">
      <c r="A2003">
        <v>87476</v>
      </c>
      <c r="B2003" s="3">
        <v>44930</v>
      </c>
      <c r="C2003" t="s">
        <v>31</v>
      </c>
      <c r="D2003">
        <v>5.9935362078249454E-3</v>
      </c>
    </row>
    <row r="2004" spans="1:4" x14ac:dyDescent="0.25">
      <c r="A2004">
        <v>87476</v>
      </c>
      <c r="B2004" s="3">
        <v>44931</v>
      </c>
      <c r="C2004" t="s">
        <v>31</v>
      </c>
      <c r="D2004">
        <v>-1.4665430411696434E-2</v>
      </c>
    </row>
    <row r="2005" spans="1:4" x14ac:dyDescent="0.25">
      <c r="A2005">
        <v>87476</v>
      </c>
      <c r="B2005" s="3">
        <v>44932</v>
      </c>
      <c r="C2005" t="s">
        <v>31</v>
      </c>
      <c r="D2005">
        <v>1.457368116825819E-2</v>
      </c>
    </row>
    <row r="2006" spans="1:4" x14ac:dyDescent="0.25">
      <c r="A2006">
        <v>87476</v>
      </c>
      <c r="B2006" s="3">
        <v>44935</v>
      </c>
      <c r="C2006" t="s">
        <v>31</v>
      </c>
      <c r="D2006">
        <v>-9.4743696972727776E-3</v>
      </c>
    </row>
    <row r="2007" spans="1:4" x14ac:dyDescent="0.25">
      <c r="A2007">
        <v>87476</v>
      </c>
      <c r="B2007" s="3">
        <v>44936</v>
      </c>
      <c r="C2007" t="s">
        <v>31</v>
      </c>
      <c r="D2007">
        <v>5.8623459190130234E-3</v>
      </c>
    </row>
    <row r="2008" spans="1:4" x14ac:dyDescent="0.25">
      <c r="A2008">
        <v>87476</v>
      </c>
      <c r="B2008" s="3">
        <v>44937</v>
      </c>
      <c r="C2008" t="s">
        <v>31</v>
      </c>
      <c r="D2008">
        <v>-1.104284729808569E-2</v>
      </c>
    </row>
    <row r="2009" spans="1:4" x14ac:dyDescent="0.25">
      <c r="A2009">
        <v>87476</v>
      </c>
      <c r="B2009" s="3">
        <v>44938</v>
      </c>
      <c r="C2009" t="s">
        <v>31</v>
      </c>
      <c r="D2009">
        <v>1.8300252035260201E-2</v>
      </c>
    </row>
    <row r="2010" spans="1:4" x14ac:dyDescent="0.25">
      <c r="A2010">
        <v>87476</v>
      </c>
      <c r="B2010" s="3">
        <v>44939</v>
      </c>
      <c r="C2010" t="s">
        <v>31</v>
      </c>
      <c r="D2010">
        <v>1.5229738783091307E-3</v>
      </c>
    </row>
    <row r="2011" spans="1:4" x14ac:dyDescent="0.25">
      <c r="A2011">
        <v>87476</v>
      </c>
      <c r="B2011" s="3">
        <v>44943</v>
      </c>
      <c r="C2011" t="s">
        <v>31</v>
      </c>
      <c r="D2011">
        <v>-5.4744617082178593E-3</v>
      </c>
    </row>
    <row r="2012" spans="1:4" x14ac:dyDescent="0.25">
      <c r="A2012">
        <v>87476</v>
      </c>
      <c r="B2012" s="3">
        <v>44944</v>
      </c>
      <c r="C2012" t="s">
        <v>31</v>
      </c>
      <c r="D2012">
        <v>-3.6391451954841614E-2</v>
      </c>
    </row>
    <row r="2013" spans="1:4" x14ac:dyDescent="0.25">
      <c r="A2013">
        <v>87476</v>
      </c>
      <c r="B2013" s="3">
        <v>44945</v>
      </c>
      <c r="C2013" t="s">
        <v>31</v>
      </c>
      <c r="D2013">
        <v>0</v>
      </c>
    </row>
    <row r="2014" spans="1:4" x14ac:dyDescent="0.25">
      <c r="A2014">
        <v>87476</v>
      </c>
      <c r="B2014" s="3">
        <v>44946</v>
      </c>
      <c r="C2014" t="s">
        <v>31</v>
      </c>
      <c r="D2014">
        <v>2.8562408406287432E-3</v>
      </c>
    </row>
    <row r="2015" spans="1:4" x14ac:dyDescent="0.25">
      <c r="A2015">
        <v>87476</v>
      </c>
      <c r="B2015" s="3">
        <v>44949</v>
      </c>
      <c r="C2015" t="s">
        <v>31</v>
      </c>
      <c r="D2015">
        <v>-1.9303817301988602E-2</v>
      </c>
    </row>
    <row r="2016" spans="1:4" x14ac:dyDescent="0.25">
      <c r="A2016">
        <v>87476</v>
      </c>
      <c r="B2016" s="3">
        <v>44950</v>
      </c>
      <c r="C2016" t="s">
        <v>31</v>
      </c>
      <c r="D2016">
        <v>-3.5172641277313232E-2</v>
      </c>
    </row>
    <row r="2017" spans="1:4" x14ac:dyDescent="0.25">
      <c r="A2017">
        <v>87476</v>
      </c>
      <c r="B2017" s="3">
        <v>44951</v>
      </c>
      <c r="C2017" t="s">
        <v>31</v>
      </c>
      <c r="D2017">
        <v>-1.0033419355750084E-2</v>
      </c>
    </row>
    <row r="2018" spans="1:4" x14ac:dyDescent="0.25">
      <c r="A2018">
        <v>87476</v>
      </c>
      <c r="B2018" s="3">
        <v>44952</v>
      </c>
      <c r="C2018" t="s">
        <v>31</v>
      </c>
      <c r="D2018">
        <v>9.797263890504837E-3</v>
      </c>
    </row>
    <row r="2019" spans="1:4" x14ac:dyDescent="0.25">
      <c r="A2019">
        <v>87476</v>
      </c>
      <c r="B2019" s="3">
        <v>44953</v>
      </c>
      <c r="C2019" t="s">
        <v>31</v>
      </c>
      <c r="D2019">
        <v>-7.6948660425841808E-3</v>
      </c>
    </row>
    <row r="2020" spans="1:4" x14ac:dyDescent="0.25">
      <c r="A2020">
        <v>87476</v>
      </c>
      <c r="B2020" s="3">
        <v>44956</v>
      </c>
      <c r="C2020" t="s">
        <v>31</v>
      </c>
      <c r="D2020">
        <v>1.0788931511342525E-2</v>
      </c>
    </row>
    <row r="2021" spans="1:4" x14ac:dyDescent="0.25">
      <c r="A2021">
        <v>87476</v>
      </c>
      <c r="B2021" s="3">
        <v>44957</v>
      </c>
      <c r="C2021" t="s">
        <v>31</v>
      </c>
      <c r="D2021">
        <v>1.63442213088274E-2</v>
      </c>
    </row>
    <row r="2022" spans="1:4" x14ac:dyDescent="0.25">
      <c r="A2022">
        <v>87476</v>
      </c>
      <c r="B2022" s="3">
        <v>44958</v>
      </c>
      <c r="C2022" t="s">
        <v>31</v>
      </c>
      <c r="D2022">
        <v>-9.8453497048467398E-4</v>
      </c>
    </row>
    <row r="2023" spans="1:4" x14ac:dyDescent="0.25">
      <c r="A2023">
        <v>87476</v>
      </c>
      <c r="B2023" s="3">
        <v>44959</v>
      </c>
      <c r="C2023" t="s">
        <v>31</v>
      </c>
      <c r="D2023">
        <v>2.2667497396469116E-2</v>
      </c>
    </row>
    <row r="2024" spans="1:4" x14ac:dyDescent="0.25">
      <c r="A2024">
        <v>87476</v>
      </c>
      <c r="B2024" s="3">
        <v>44960</v>
      </c>
      <c r="C2024" t="s">
        <v>31</v>
      </c>
      <c r="D2024">
        <v>6.1528673395514488E-3</v>
      </c>
    </row>
    <row r="2025" spans="1:4" x14ac:dyDescent="0.25">
      <c r="A2025">
        <v>87476</v>
      </c>
      <c r="B2025" s="3">
        <v>44963</v>
      </c>
      <c r="C2025" t="s">
        <v>31</v>
      </c>
      <c r="D2025">
        <v>-4.5059346593916416E-3</v>
      </c>
    </row>
    <row r="2026" spans="1:4" x14ac:dyDescent="0.25">
      <c r="A2026">
        <v>87476</v>
      </c>
      <c r="B2026" s="3">
        <v>44964</v>
      </c>
      <c r="C2026" t="s">
        <v>31</v>
      </c>
      <c r="D2026">
        <v>4.5263301581144333E-3</v>
      </c>
    </row>
    <row r="2027" spans="1:4" x14ac:dyDescent="0.25">
      <c r="A2027">
        <v>87476</v>
      </c>
      <c r="B2027" s="3">
        <v>44965</v>
      </c>
      <c r="C2027" t="s">
        <v>31</v>
      </c>
      <c r="D2027">
        <v>-1.9954906776547432E-2</v>
      </c>
    </row>
    <row r="2028" spans="1:4" x14ac:dyDescent="0.25">
      <c r="A2028">
        <v>87476</v>
      </c>
      <c r="B2028" s="3">
        <v>44966</v>
      </c>
      <c r="C2028" t="s">
        <v>31</v>
      </c>
      <c r="D2028">
        <v>-7.2249989025294781E-3</v>
      </c>
    </row>
    <row r="2029" spans="1:4" x14ac:dyDescent="0.25">
      <c r="A2029">
        <v>87476</v>
      </c>
      <c r="B2029" s="3">
        <v>44967</v>
      </c>
      <c r="C2029" t="s">
        <v>31</v>
      </c>
      <c r="D2029">
        <v>4.6312040649354458E-3</v>
      </c>
    </row>
    <row r="2030" spans="1:4" x14ac:dyDescent="0.25">
      <c r="A2030">
        <v>87476</v>
      </c>
      <c r="B2030" s="3">
        <v>44970</v>
      </c>
      <c r="C2030" t="s">
        <v>31</v>
      </c>
      <c r="D2030">
        <v>7.5732478871941566E-3</v>
      </c>
    </row>
    <row r="2031" spans="1:4" x14ac:dyDescent="0.25">
      <c r="A2031">
        <v>87476</v>
      </c>
      <c r="B2031" s="3">
        <v>44971</v>
      </c>
      <c r="C2031" t="s">
        <v>31</v>
      </c>
      <c r="D2031">
        <v>-1.5032712370157242E-2</v>
      </c>
    </row>
    <row r="2032" spans="1:4" x14ac:dyDescent="0.25">
      <c r="A2032">
        <v>87476</v>
      </c>
      <c r="B2032" s="3">
        <v>44972</v>
      </c>
      <c r="C2032" t="s">
        <v>31</v>
      </c>
      <c r="D2032">
        <v>1.9907555542886257E-3</v>
      </c>
    </row>
    <row r="2033" spans="1:4" x14ac:dyDescent="0.25">
      <c r="A2033">
        <v>87476</v>
      </c>
      <c r="B2033" s="3">
        <v>44973</v>
      </c>
      <c r="C2033" t="s">
        <v>31</v>
      </c>
      <c r="D2033">
        <v>-9.271545335650444E-3</v>
      </c>
    </row>
    <row r="2034" spans="1:4" x14ac:dyDescent="0.25">
      <c r="A2034">
        <v>87476</v>
      </c>
      <c r="B2034" s="3">
        <v>44974</v>
      </c>
      <c r="C2034" t="s">
        <v>31</v>
      </c>
      <c r="D2034">
        <v>5.6818206794559956E-3</v>
      </c>
    </row>
    <row r="2035" spans="1:4" x14ac:dyDescent="0.25">
      <c r="A2035">
        <v>87476</v>
      </c>
      <c r="B2035" s="3">
        <v>44978</v>
      </c>
      <c r="C2035" t="s">
        <v>31</v>
      </c>
      <c r="D2035">
        <v>-4.652688279747963E-3</v>
      </c>
    </row>
    <row r="2036" spans="1:4" x14ac:dyDescent="0.25">
      <c r="A2036">
        <v>87476</v>
      </c>
      <c r="B2036" s="3">
        <v>44979</v>
      </c>
      <c r="C2036" t="s">
        <v>31</v>
      </c>
      <c r="D2036">
        <v>-1.3021745719015598E-2</v>
      </c>
    </row>
    <row r="2037" spans="1:4" x14ac:dyDescent="0.25">
      <c r="A2037">
        <v>87476</v>
      </c>
      <c r="B2037" s="3">
        <v>44980</v>
      </c>
      <c r="C2037" t="s">
        <v>31</v>
      </c>
      <c r="D2037">
        <v>7.4425311759114265E-3</v>
      </c>
    </row>
    <row r="2038" spans="1:4" x14ac:dyDescent="0.25">
      <c r="A2038">
        <v>87476</v>
      </c>
      <c r="B2038" s="3">
        <v>44981</v>
      </c>
      <c r="C2038" t="s">
        <v>31</v>
      </c>
      <c r="D2038">
        <v>-1.3431884348392487E-2</v>
      </c>
    </row>
    <row r="2039" spans="1:4" x14ac:dyDescent="0.25">
      <c r="A2039">
        <v>87476</v>
      </c>
      <c r="B2039" s="3">
        <v>44984</v>
      </c>
      <c r="C2039" t="s">
        <v>31</v>
      </c>
      <c r="D2039">
        <v>-3.0632487032562494E-3</v>
      </c>
    </row>
    <row r="2040" spans="1:4" x14ac:dyDescent="0.25">
      <c r="A2040">
        <v>87476</v>
      </c>
      <c r="B2040" s="3">
        <v>44985</v>
      </c>
      <c r="C2040" t="s">
        <v>31</v>
      </c>
      <c r="D2040">
        <v>-9.9010206758975983E-3</v>
      </c>
    </row>
    <row r="2041" spans="1:4" x14ac:dyDescent="0.25">
      <c r="A2041">
        <v>87476</v>
      </c>
      <c r="B2041" s="3">
        <v>44986</v>
      </c>
      <c r="C2041" t="s">
        <v>31</v>
      </c>
      <c r="D2041">
        <v>1.0000031441450119E-2</v>
      </c>
    </row>
    <row r="2042" spans="1:4" x14ac:dyDescent="0.25">
      <c r="A2042">
        <v>87476</v>
      </c>
      <c r="B2042" s="3">
        <v>44987</v>
      </c>
      <c r="C2042" t="s">
        <v>31</v>
      </c>
      <c r="D2042">
        <v>4.8480644822120667E-2</v>
      </c>
    </row>
    <row r="2043" spans="1:4" x14ac:dyDescent="0.25">
      <c r="A2043">
        <v>87476</v>
      </c>
      <c r="B2043" s="3">
        <v>44988</v>
      </c>
      <c r="C2043" t="s">
        <v>31</v>
      </c>
      <c r="D2043">
        <v>-8.4662428125739098E-3</v>
      </c>
    </row>
    <row r="2044" spans="1:4" x14ac:dyDescent="0.25">
      <c r="A2044">
        <v>87476</v>
      </c>
      <c r="B2044" s="3">
        <v>44991</v>
      </c>
      <c r="C2044" t="s">
        <v>31</v>
      </c>
      <c r="D2044">
        <v>-8.5385954007506371E-3</v>
      </c>
    </row>
    <row r="2045" spans="1:4" x14ac:dyDescent="0.25">
      <c r="A2045">
        <v>87476</v>
      </c>
      <c r="B2045" s="3">
        <v>44992</v>
      </c>
      <c r="C2045" t="s">
        <v>31</v>
      </c>
      <c r="D2045">
        <v>-1.5899352729320526E-2</v>
      </c>
    </row>
    <row r="2046" spans="1:4" x14ac:dyDescent="0.25">
      <c r="A2046">
        <v>87476</v>
      </c>
      <c r="B2046" s="3">
        <v>44993</v>
      </c>
      <c r="C2046" t="s">
        <v>31</v>
      </c>
      <c r="D2046">
        <v>-4.2409908026456833E-2</v>
      </c>
    </row>
    <row r="2047" spans="1:4" x14ac:dyDescent="0.25">
      <c r="A2047">
        <v>87476</v>
      </c>
      <c r="B2047" s="3">
        <v>44994</v>
      </c>
      <c r="C2047" t="s">
        <v>31</v>
      </c>
      <c r="D2047">
        <v>-4.4288232922554016E-2</v>
      </c>
    </row>
    <row r="2048" spans="1:4" x14ac:dyDescent="0.25">
      <c r="A2048">
        <v>87476</v>
      </c>
      <c r="B2048" s="3">
        <v>44995</v>
      </c>
      <c r="C2048" t="s">
        <v>31</v>
      </c>
      <c r="D2048">
        <v>-3.2364878803491592E-2</v>
      </c>
    </row>
    <row r="2049" spans="1:4" x14ac:dyDescent="0.25">
      <c r="A2049">
        <v>87476</v>
      </c>
      <c r="B2049" s="3">
        <v>44998</v>
      </c>
      <c r="C2049" t="s">
        <v>31</v>
      </c>
      <c r="D2049">
        <v>-9.9201776087284088E-2</v>
      </c>
    </row>
    <row r="2050" spans="1:4" x14ac:dyDescent="0.25">
      <c r="A2050">
        <v>87476</v>
      </c>
      <c r="B2050" s="3">
        <v>44999</v>
      </c>
      <c r="C2050" t="s">
        <v>31</v>
      </c>
      <c r="D2050">
        <v>1.1392343789339066E-2</v>
      </c>
    </row>
    <row r="2051" spans="1:4" x14ac:dyDescent="0.25">
      <c r="A2051">
        <v>87476</v>
      </c>
      <c r="B2051" s="3">
        <v>45000</v>
      </c>
      <c r="C2051" t="s">
        <v>31</v>
      </c>
      <c r="D2051">
        <v>2.1693803369998932E-2</v>
      </c>
    </row>
    <row r="2052" spans="1:4" x14ac:dyDescent="0.25">
      <c r="A2052">
        <v>87476</v>
      </c>
      <c r="B2052" s="3">
        <v>45001</v>
      </c>
      <c r="C2052" t="s">
        <v>31</v>
      </c>
      <c r="D2052">
        <v>5.3082939237356186E-2</v>
      </c>
    </row>
    <row r="2053" spans="1:4" x14ac:dyDescent="0.25">
      <c r="A2053">
        <v>87476</v>
      </c>
      <c r="B2053" s="3">
        <v>45002</v>
      </c>
      <c r="C2053" t="s">
        <v>31</v>
      </c>
      <c r="D2053">
        <v>-5.5835612118244171E-2</v>
      </c>
    </row>
    <row r="2054" spans="1:4" x14ac:dyDescent="0.25">
      <c r="A2054">
        <v>87476</v>
      </c>
      <c r="B2054" s="3">
        <v>45005</v>
      </c>
      <c r="C2054" t="s">
        <v>31</v>
      </c>
      <c r="D2054">
        <v>-1.7659150063991547E-2</v>
      </c>
    </row>
    <row r="2055" spans="1:4" x14ac:dyDescent="0.25">
      <c r="A2055">
        <v>87476</v>
      </c>
      <c r="B2055" s="3">
        <v>45006</v>
      </c>
      <c r="C2055" t="s">
        <v>31</v>
      </c>
      <c r="D2055">
        <v>5.3511735051870346E-2</v>
      </c>
    </row>
    <row r="2056" spans="1:4" x14ac:dyDescent="0.25">
      <c r="A2056">
        <v>87476</v>
      </c>
      <c r="B2056" s="3">
        <v>45007</v>
      </c>
      <c r="C2056" t="s">
        <v>31</v>
      </c>
      <c r="D2056">
        <v>-6.6666677594184875E-2</v>
      </c>
    </row>
    <row r="2057" spans="1:4" x14ac:dyDescent="0.25">
      <c r="A2057">
        <v>87476</v>
      </c>
      <c r="B2057" s="3">
        <v>45008</v>
      </c>
      <c r="C2057" t="s">
        <v>31</v>
      </c>
      <c r="D2057">
        <v>-3.954082727432251E-2</v>
      </c>
    </row>
    <row r="2058" spans="1:4" x14ac:dyDescent="0.25">
      <c r="A2058">
        <v>87476</v>
      </c>
      <c r="B2058" s="3">
        <v>45009</v>
      </c>
      <c r="C2058" t="s">
        <v>31</v>
      </c>
      <c r="D2058">
        <v>7.9681407660245895E-3</v>
      </c>
    </row>
    <row r="2059" spans="1:4" x14ac:dyDescent="0.25">
      <c r="A2059">
        <v>87476</v>
      </c>
      <c r="B2059" s="3">
        <v>45012</v>
      </c>
      <c r="C2059" t="s">
        <v>31</v>
      </c>
      <c r="D2059">
        <v>3.7329837679862976E-2</v>
      </c>
    </row>
    <row r="2060" spans="1:4" x14ac:dyDescent="0.25">
      <c r="A2060">
        <v>87476</v>
      </c>
      <c r="B2060" s="3">
        <v>45013</v>
      </c>
      <c r="C2060" t="s">
        <v>31</v>
      </c>
      <c r="D2060">
        <v>-2.6248976588249207E-2</v>
      </c>
    </row>
    <row r="2061" spans="1:4" x14ac:dyDescent="0.25">
      <c r="A2061">
        <v>87476</v>
      </c>
      <c r="B2061" s="3">
        <v>45014</v>
      </c>
      <c r="C2061" t="s">
        <v>31</v>
      </c>
      <c r="D2061">
        <v>-2.6086724828928709E-3</v>
      </c>
    </row>
    <row r="2062" spans="1:4" x14ac:dyDescent="0.25">
      <c r="A2062">
        <v>87476</v>
      </c>
      <c r="B2062" s="3">
        <v>45015</v>
      </c>
      <c r="C2062" t="s">
        <v>31</v>
      </c>
      <c r="D2062">
        <v>-3.1822208315134048E-2</v>
      </c>
    </row>
    <row r="2063" spans="1:4" x14ac:dyDescent="0.25">
      <c r="A2063">
        <v>87476</v>
      </c>
      <c r="B2063" s="3">
        <v>45016</v>
      </c>
      <c r="C2063" t="s">
        <v>31</v>
      </c>
      <c r="D2063">
        <v>-1.4407911337912083E-2</v>
      </c>
    </row>
    <row r="2064" spans="1:4" x14ac:dyDescent="0.25">
      <c r="A2064">
        <v>87476</v>
      </c>
      <c r="B2064" s="3">
        <v>45019</v>
      </c>
      <c r="C2064" t="s">
        <v>31</v>
      </c>
      <c r="D2064">
        <v>-1.6445806249976158E-2</v>
      </c>
    </row>
    <row r="2065" spans="1:4" x14ac:dyDescent="0.25">
      <c r="A2065">
        <v>87476</v>
      </c>
      <c r="B2065" s="3">
        <v>45020</v>
      </c>
      <c r="C2065" t="s">
        <v>31</v>
      </c>
      <c r="D2065">
        <v>-3.8550853729248047E-2</v>
      </c>
    </row>
    <row r="2066" spans="1:4" x14ac:dyDescent="0.25">
      <c r="A2066">
        <v>87476</v>
      </c>
      <c r="B2066" s="3">
        <v>45021</v>
      </c>
      <c r="C2066" t="s">
        <v>31</v>
      </c>
      <c r="D2066">
        <v>1.739124022424221E-2</v>
      </c>
    </row>
    <row r="2067" spans="1:4" x14ac:dyDescent="0.25">
      <c r="A2067">
        <v>87476</v>
      </c>
      <c r="B2067" s="3">
        <v>45022</v>
      </c>
      <c r="C2067" t="s">
        <v>31</v>
      </c>
      <c r="D2067">
        <v>1.1396001093089581E-2</v>
      </c>
    </row>
    <row r="2068" spans="1:4" x14ac:dyDescent="0.25">
      <c r="A2068">
        <v>87476</v>
      </c>
      <c r="B2068" s="3">
        <v>45026</v>
      </c>
      <c r="C2068" t="s">
        <v>31</v>
      </c>
      <c r="D2068">
        <v>-6.57274154946208E-3</v>
      </c>
    </row>
    <row r="2069" spans="1:4" x14ac:dyDescent="0.25">
      <c r="A2069">
        <v>87476</v>
      </c>
      <c r="B2069" s="3">
        <v>45027</v>
      </c>
      <c r="C2069" t="s">
        <v>31</v>
      </c>
      <c r="D2069">
        <v>8.0340299755334854E-3</v>
      </c>
    </row>
    <row r="2070" spans="1:4" x14ac:dyDescent="0.25">
      <c r="A2070">
        <v>87476</v>
      </c>
      <c r="B2070" s="3">
        <v>45028</v>
      </c>
      <c r="C2070" t="s">
        <v>31</v>
      </c>
      <c r="D2070">
        <v>-1.5939997509121895E-2</v>
      </c>
    </row>
    <row r="2071" spans="1:4" x14ac:dyDescent="0.25">
      <c r="A2071">
        <v>87476</v>
      </c>
      <c r="B2071" s="3">
        <v>45029</v>
      </c>
      <c r="C2071" t="s">
        <v>31</v>
      </c>
      <c r="D2071">
        <v>-7.6226703822612762E-3</v>
      </c>
    </row>
    <row r="2072" spans="1:4" x14ac:dyDescent="0.25">
      <c r="A2072">
        <v>87476</v>
      </c>
      <c r="B2072" s="3">
        <v>45030</v>
      </c>
      <c r="C2072" t="s">
        <v>31</v>
      </c>
      <c r="D2072">
        <v>-1.9203053787350655E-2</v>
      </c>
    </row>
    <row r="2073" spans="1:4" x14ac:dyDescent="0.25">
      <c r="A2073">
        <v>87476</v>
      </c>
      <c r="B2073" s="3">
        <v>45033</v>
      </c>
      <c r="C2073" t="s">
        <v>31</v>
      </c>
      <c r="D2073">
        <v>1.6152713447809219E-2</v>
      </c>
    </row>
    <row r="2074" spans="1:4" x14ac:dyDescent="0.25">
      <c r="A2074">
        <v>87476</v>
      </c>
      <c r="B2074" s="3">
        <v>45034</v>
      </c>
      <c r="C2074" t="s">
        <v>31</v>
      </c>
      <c r="D2074">
        <v>-2.0712923258543015E-2</v>
      </c>
    </row>
    <row r="2075" spans="1:4" x14ac:dyDescent="0.25">
      <c r="A2075">
        <v>87476</v>
      </c>
      <c r="B2075" s="3">
        <v>45035</v>
      </c>
      <c r="C2075" t="s">
        <v>31</v>
      </c>
      <c r="D2075">
        <v>3.9842572063207626E-2</v>
      </c>
    </row>
    <row r="2076" spans="1:4" x14ac:dyDescent="0.25">
      <c r="A2076">
        <v>87476</v>
      </c>
      <c r="B2076" s="3">
        <v>45036</v>
      </c>
      <c r="C2076" t="s">
        <v>31</v>
      </c>
      <c r="D2076">
        <v>-4.7304772306233644E-4</v>
      </c>
    </row>
    <row r="2077" spans="1:4" x14ac:dyDescent="0.25">
      <c r="A2077">
        <v>87476</v>
      </c>
      <c r="B2077" s="3">
        <v>45037</v>
      </c>
      <c r="C2077" t="s">
        <v>31</v>
      </c>
      <c r="D2077">
        <v>-1.7983870580792427E-2</v>
      </c>
    </row>
    <row r="2078" spans="1:4" x14ac:dyDescent="0.25">
      <c r="A2078">
        <v>87476</v>
      </c>
      <c r="B2078" s="3">
        <v>45040</v>
      </c>
      <c r="C2078" t="s">
        <v>31</v>
      </c>
      <c r="D2078">
        <v>-4.1445814073085785E-2</v>
      </c>
    </row>
    <row r="2079" spans="1:4" x14ac:dyDescent="0.25">
      <c r="A2079">
        <v>87476</v>
      </c>
      <c r="B2079" s="3">
        <v>45041</v>
      </c>
      <c r="C2079" t="s">
        <v>31</v>
      </c>
      <c r="D2079">
        <v>-7.6420240104198456E-2</v>
      </c>
    </row>
    <row r="2080" spans="1:4" x14ac:dyDescent="0.25">
      <c r="A2080">
        <v>87476</v>
      </c>
      <c r="B2080" s="3">
        <v>45042</v>
      </c>
      <c r="C2080" t="s">
        <v>31</v>
      </c>
      <c r="D2080">
        <v>-1.5786657109856606E-2</v>
      </c>
    </row>
    <row r="2081" spans="1:4" x14ac:dyDescent="0.25">
      <c r="A2081">
        <v>87476</v>
      </c>
      <c r="B2081" s="3">
        <v>45043</v>
      </c>
      <c r="C2081" t="s">
        <v>31</v>
      </c>
      <c r="D2081">
        <v>-6.0841045342385769E-3</v>
      </c>
    </row>
    <row r="2082" spans="1:4" x14ac:dyDescent="0.25">
      <c r="A2082">
        <v>87476</v>
      </c>
      <c r="B2082" s="3">
        <v>45044</v>
      </c>
      <c r="C2082" t="s">
        <v>31</v>
      </c>
      <c r="D2082">
        <v>-1.8920432776212692E-2</v>
      </c>
    </row>
    <row r="2083" spans="1:4" x14ac:dyDescent="0.25">
      <c r="A2083">
        <v>87476</v>
      </c>
      <c r="B2083" s="3">
        <v>45047</v>
      </c>
      <c r="C2083" t="s">
        <v>31</v>
      </c>
      <c r="D2083">
        <v>-4.0272213518619537E-2</v>
      </c>
    </row>
    <row r="2084" spans="1:4" x14ac:dyDescent="0.25">
      <c r="A2084">
        <v>87476</v>
      </c>
      <c r="B2084" s="3">
        <v>45048</v>
      </c>
      <c r="C2084" t="s">
        <v>31</v>
      </c>
      <c r="D2084">
        <v>-0.10342789441347122</v>
      </c>
    </row>
    <row r="2085" spans="1:4" x14ac:dyDescent="0.25">
      <c r="A2085">
        <v>87476</v>
      </c>
      <c r="B2085" s="3">
        <v>45049</v>
      </c>
      <c r="C2085" t="s">
        <v>31</v>
      </c>
      <c r="D2085">
        <v>-3.3619001507759094E-2</v>
      </c>
    </row>
    <row r="2086" spans="1:4" x14ac:dyDescent="0.25">
      <c r="A2086">
        <v>87476</v>
      </c>
      <c r="B2086" s="3">
        <v>45050</v>
      </c>
      <c r="C2086" t="s">
        <v>31</v>
      </c>
      <c r="D2086">
        <v>-4.0245577692985535E-2</v>
      </c>
    </row>
    <row r="2087" spans="1:4" x14ac:dyDescent="0.25">
      <c r="A2087">
        <v>87476</v>
      </c>
      <c r="B2087" s="3">
        <v>45051</v>
      </c>
      <c r="C2087" t="s">
        <v>31</v>
      </c>
      <c r="D2087">
        <v>5.3545638918876648E-2</v>
      </c>
    </row>
    <row r="2088" spans="1:4" x14ac:dyDescent="0.25">
      <c r="A2088">
        <v>87476</v>
      </c>
      <c r="B2088" s="3">
        <v>45054</v>
      </c>
      <c r="C2088" t="s">
        <v>31</v>
      </c>
      <c r="D2088">
        <v>-5.4945657029747963E-3</v>
      </c>
    </row>
    <row r="2089" spans="1:4" x14ac:dyDescent="0.25">
      <c r="A2089">
        <v>87476</v>
      </c>
      <c r="B2089" s="3">
        <v>45055</v>
      </c>
      <c r="C2089" t="s">
        <v>31</v>
      </c>
      <c r="D2089">
        <v>5.5249226279556751E-3</v>
      </c>
    </row>
    <row r="2090" spans="1:4" x14ac:dyDescent="0.25">
      <c r="A2090">
        <v>87476</v>
      </c>
      <c r="B2090" s="3">
        <v>45056</v>
      </c>
      <c r="C2090" t="s">
        <v>31</v>
      </c>
      <c r="D2090">
        <v>-1.236265804618597E-2</v>
      </c>
    </row>
    <row r="2091" spans="1:4" x14ac:dyDescent="0.25">
      <c r="A2091">
        <v>87476</v>
      </c>
      <c r="B2091" s="3">
        <v>45057</v>
      </c>
      <c r="C2091" t="s">
        <v>31</v>
      </c>
      <c r="D2091">
        <v>4.1724247857928276E-3</v>
      </c>
    </row>
    <row r="2092" spans="1:4" x14ac:dyDescent="0.25">
      <c r="A2092">
        <v>87476</v>
      </c>
      <c r="B2092" s="3">
        <v>45058</v>
      </c>
      <c r="C2092" t="s">
        <v>31</v>
      </c>
      <c r="D2092">
        <v>2.6315798982977867E-2</v>
      </c>
    </row>
    <row r="2093" spans="1:4" x14ac:dyDescent="0.25">
      <c r="A2093">
        <v>87476</v>
      </c>
      <c r="B2093" s="3">
        <v>45061</v>
      </c>
      <c r="C2093" t="s">
        <v>31</v>
      </c>
      <c r="D2093">
        <v>3.7112023681402206E-2</v>
      </c>
    </row>
    <row r="2094" spans="1:4" x14ac:dyDescent="0.25">
      <c r="A2094">
        <v>87476</v>
      </c>
      <c r="B2094" s="3">
        <v>45062</v>
      </c>
      <c r="C2094" t="s">
        <v>31</v>
      </c>
      <c r="D2094">
        <v>6.5063301008194685E-4</v>
      </c>
    </row>
    <row r="2095" spans="1:4" x14ac:dyDescent="0.25">
      <c r="A2095">
        <v>87476</v>
      </c>
      <c r="B2095" s="3">
        <v>45063</v>
      </c>
      <c r="C2095" t="s">
        <v>31</v>
      </c>
      <c r="D2095">
        <v>0.1079324334859848</v>
      </c>
    </row>
    <row r="2096" spans="1:4" x14ac:dyDescent="0.25">
      <c r="A2096">
        <v>87476</v>
      </c>
      <c r="B2096" s="3">
        <v>45064</v>
      </c>
      <c r="C2096" t="s">
        <v>31</v>
      </c>
      <c r="D2096">
        <v>1.7604916356503963E-3</v>
      </c>
    </row>
    <row r="2097" spans="1:4" x14ac:dyDescent="0.25">
      <c r="A2097">
        <v>87476</v>
      </c>
      <c r="B2097" s="3">
        <v>45065</v>
      </c>
      <c r="C2097" t="s">
        <v>31</v>
      </c>
      <c r="D2097">
        <v>-3.6320969462394714E-2</v>
      </c>
    </row>
    <row r="2098" spans="1:4" x14ac:dyDescent="0.25">
      <c r="A2098">
        <v>87476</v>
      </c>
      <c r="B2098" s="3">
        <v>45068</v>
      </c>
      <c r="C2098" t="s">
        <v>31</v>
      </c>
      <c r="D2098">
        <v>4.1945204138755798E-2</v>
      </c>
    </row>
    <row r="2099" spans="1:4" x14ac:dyDescent="0.25">
      <c r="A2099">
        <v>87476</v>
      </c>
      <c r="B2099" s="3">
        <v>45069</v>
      </c>
      <c r="C2099" t="s">
        <v>31</v>
      </c>
      <c r="D2099">
        <v>5.3675618022680283E-2</v>
      </c>
    </row>
    <row r="2100" spans="1:4" x14ac:dyDescent="0.25">
      <c r="A2100">
        <v>87476</v>
      </c>
      <c r="B2100" s="3">
        <v>45070</v>
      </c>
      <c r="C2100" t="s">
        <v>31</v>
      </c>
      <c r="D2100">
        <v>-3.100772388279438E-2</v>
      </c>
    </row>
    <row r="2101" spans="1:4" x14ac:dyDescent="0.25">
      <c r="A2101">
        <v>87476</v>
      </c>
      <c r="B2101" s="3">
        <v>45071</v>
      </c>
      <c r="C2101" t="s">
        <v>31</v>
      </c>
      <c r="D2101">
        <v>-1.4285714365541935E-2</v>
      </c>
    </row>
    <row r="2102" spans="1:4" x14ac:dyDescent="0.25">
      <c r="A2102">
        <v>87476</v>
      </c>
      <c r="B2102" s="3">
        <v>45072</v>
      </c>
      <c r="C2102" t="s">
        <v>31</v>
      </c>
      <c r="D2102">
        <v>-1.7391702858731151E-3</v>
      </c>
    </row>
    <row r="2103" spans="1:4" x14ac:dyDescent="0.25">
      <c r="A2103">
        <v>87476</v>
      </c>
      <c r="B2103" s="3">
        <v>45076</v>
      </c>
      <c r="C2103" t="s">
        <v>31</v>
      </c>
      <c r="D2103">
        <v>-2.2648049518465996E-2</v>
      </c>
    </row>
    <row r="2104" spans="1:4" x14ac:dyDescent="0.25">
      <c r="A2104">
        <v>87476</v>
      </c>
      <c r="B2104" s="3">
        <v>45077</v>
      </c>
      <c r="C2104" t="s">
        <v>31</v>
      </c>
      <c r="D2104">
        <v>-3.9215676486492157E-2</v>
      </c>
    </row>
    <row r="2105" spans="1:4" x14ac:dyDescent="0.25">
      <c r="A2105">
        <v>87476</v>
      </c>
      <c r="B2105" s="3">
        <v>45078</v>
      </c>
      <c r="C2105" t="s">
        <v>31</v>
      </c>
      <c r="D2105">
        <v>3.0303016304969788E-2</v>
      </c>
    </row>
    <row r="2106" spans="1:4" x14ac:dyDescent="0.25">
      <c r="A2106">
        <v>87476</v>
      </c>
      <c r="B2106" s="3">
        <v>45079</v>
      </c>
      <c r="C2106" t="s">
        <v>31</v>
      </c>
      <c r="D2106">
        <v>8.4033593535423279E-2</v>
      </c>
    </row>
    <row r="2107" spans="1:4" x14ac:dyDescent="0.25">
      <c r="A2107">
        <v>87476</v>
      </c>
      <c r="B2107" s="3">
        <v>45082</v>
      </c>
      <c r="C2107" t="s">
        <v>31</v>
      </c>
      <c r="D2107">
        <v>-2.4363158270716667E-2</v>
      </c>
    </row>
    <row r="2108" spans="1:4" x14ac:dyDescent="0.25">
      <c r="A2108">
        <v>87476</v>
      </c>
      <c r="B2108" s="3">
        <v>45083</v>
      </c>
      <c r="C2108" t="s">
        <v>31</v>
      </c>
      <c r="D2108">
        <v>2.383655309677124E-2</v>
      </c>
    </row>
    <row r="2109" spans="1:4" x14ac:dyDescent="0.25">
      <c r="A2109">
        <v>87476</v>
      </c>
      <c r="B2109" s="3">
        <v>45084</v>
      </c>
      <c r="C2109" t="s">
        <v>31</v>
      </c>
      <c r="D2109">
        <v>5.1552016288042068E-2</v>
      </c>
    </row>
    <row r="2110" spans="1:4" x14ac:dyDescent="0.25">
      <c r="A2110">
        <v>87476</v>
      </c>
      <c r="B2110" s="3">
        <v>45085</v>
      </c>
      <c r="C2110" t="s">
        <v>31</v>
      </c>
      <c r="D2110">
        <v>2.1613065153360367E-2</v>
      </c>
    </row>
    <row r="2111" spans="1:4" x14ac:dyDescent="0.25">
      <c r="A2111">
        <v>87476</v>
      </c>
      <c r="B2111" s="3">
        <v>45086</v>
      </c>
      <c r="C2111" t="s">
        <v>31</v>
      </c>
      <c r="D2111">
        <v>-1.2899897061288357E-2</v>
      </c>
    </row>
    <row r="2112" spans="1:4" x14ac:dyDescent="0.25">
      <c r="A2112">
        <v>87476</v>
      </c>
      <c r="B2112" s="3">
        <v>45089</v>
      </c>
      <c r="C2112" t="s">
        <v>31</v>
      </c>
      <c r="D2112">
        <v>-7.3183164931833744E-3</v>
      </c>
    </row>
    <row r="2113" spans="1:4" x14ac:dyDescent="0.25">
      <c r="A2113">
        <v>87476</v>
      </c>
      <c r="B2113" s="3">
        <v>45090</v>
      </c>
      <c r="C2113" t="s">
        <v>31</v>
      </c>
      <c r="D2113">
        <v>2.2116908803582191E-2</v>
      </c>
    </row>
    <row r="2114" spans="1:4" x14ac:dyDescent="0.25">
      <c r="A2114">
        <v>87476</v>
      </c>
      <c r="B2114" s="3">
        <v>45091</v>
      </c>
      <c r="C2114" t="s">
        <v>31</v>
      </c>
      <c r="D2114">
        <v>-3.0396711081266403E-2</v>
      </c>
    </row>
    <row r="2115" spans="1:4" x14ac:dyDescent="0.25">
      <c r="A2115">
        <v>87476</v>
      </c>
      <c r="B2115" s="3">
        <v>45092</v>
      </c>
      <c r="C2115" t="s">
        <v>31</v>
      </c>
      <c r="D2115">
        <v>2.8692929074168205E-2</v>
      </c>
    </row>
    <row r="2116" spans="1:4" x14ac:dyDescent="0.25">
      <c r="A2116">
        <v>87476</v>
      </c>
      <c r="B2116" s="3">
        <v>45093</v>
      </c>
      <c r="C2116" t="s">
        <v>31</v>
      </c>
      <c r="D2116">
        <v>1.0329829528927803E-3</v>
      </c>
    </row>
    <row r="2117" spans="1:4" x14ac:dyDescent="0.25">
      <c r="A2117">
        <v>87476</v>
      </c>
      <c r="B2117" s="3">
        <v>45097</v>
      </c>
      <c r="C2117" t="s">
        <v>31</v>
      </c>
      <c r="D2117">
        <v>-9.2878434807062149E-3</v>
      </c>
    </row>
    <row r="2118" spans="1:4" x14ac:dyDescent="0.25">
      <c r="A2118">
        <v>87476</v>
      </c>
      <c r="B2118" s="3">
        <v>45098</v>
      </c>
      <c r="C2118" t="s">
        <v>31</v>
      </c>
      <c r="D2118">
        <v>-5.2084523485973477E-4</v>
      </c>
    </row>
    <row r="2119" spans="1:4" x14ac:dyDescent="0.25">
      <c r="A2119">
        <v>87476</v>
      </c>
      <c r="B2119" s="3">
        <v>45099</v>
      </c>
      <c r="C2119" t="s">
        <v>31</v>
      </c>
      <c r="D2119">
        <v>-1.9802035763859749E-2</v>
      </c>
    </row>
    <row r="2120" spans="1:4" x14ac:dyDescent="0.25">
      <c r="A2120">
        <v>87476</v>
      </c>
      <c r="B2120" s="3">
        <v>45100</v>
      </c>
      <c r="C2120" t="s">
        <v>31</v>
      </c>
      <c r="D2120">
        <v>1.2227616272866726E-2</v>
      </c>
    </row>
    <row r="2121" spans="1:4" x14ac:dyDescent="0.25">
      <c r="A2121">
        <v>87476</v>
      </c>
      <c r="B2121" s="3">
        <v>45103</v>
      </c>
      <c r="C2121" t="s">
        <v>31</v>
      </c>
      <c r="D2121">
        <v>-2.6260502636432648E-2</v>
      </c>
    </row>
    <row r="2122" spans="1:4" x14ac:dyDescent="0.25">
      <c r="A2122">
        <v>87476</v>
      </c>
      <c r="B2122" s="3">
        <v>45104</v>
      </c>
      <c r="C2122" t="s">
        <v>31</v>
      </c>
      <c r="D2122">
        <v>1.0786703787744045E-3</v>
      </c>
    </row>
    <row r="2123" spans="1:4" x14ac:dyDescent="0.25">
      <c r="A2123">
        <v>87476</v>
      </c>
      <c r="B2123" s="3">
        <v>45105</v>
      </c>
      <c r="C2123" t="s">
        <v>31</v>
      </c>
      <c r="D2123">
        <v>-2.9094774276018143E-2</v>
      </c>
    </row>
    <row r="2124" spans="1:4" x14ac:dyDescent="0.25">
      <c r="A2124">
        <v>87476</v>
      </c>
      <c r="B2124" s="3">
        <v>45106</v>
      </c>
      <c r="C2124" t="s">
        <v>31</v>
      </c>
      <c r="D2124">
        <v>1.7203077673912048E-2</v>
      </c>
    </row>
    <row r="2125" spans="1:4" x14ac:dyDescent="0.25">
      <c r="A2125">
        <v>87476</v>
      </c>
      <c r="B2125" s="3">
        <v>45107</v>
      </c>
      <c r="C2125" t="s">
        <v>31</v>
      </c>
      <c r="D2125">
        <v>-3.6006540060043335E-2</v>
      </c>
    </row>
    <row r="2126" spans="1:4" x14ac:dyDescent="0.25">
      <c r="A2126">
        <v>87476</v>
      </c>
      <c r="B2126" s="3">
        <v>45110</v>
      </c>
      <c r="C2126" t="s">
        <v>31</v>
      </c>
      <c r="D2126">
        <v>1.867571659386158E-2</v>
      </c>
    </row>
    <row r="2127" spans="1:4" x14ac:dyDescent="0.25">
      <c r="A2127">
        <v>87476</v>
      </c>
      <c r="B2127" s="3">
        <v>45112</v>
      </c>
      <c r="C2127" t="s">
        <v>31</v>
      </c>
      <c r="D2127">
        <v>-1.0555584914982319E-2</v>
      </c>
    </row>
    <row r="2128" spans="1:4" x14ac:dyDescent="0.25">
      <c r="A2128">
        <v>87476</v>
      </c>
      <c r="B2128" s="3">
        <v>45113</v>
      </c>
      <c r="C2128" t="s">
        <v>31</v>
      </c>
      <c r="D2128">
        <v>-2.302076667547226E-2</v>
      </c>
    </row>
    <row r="2129" spans="1:4" x14ac:dyDescent="0.25">
      <c r="A2129">
        <v>87476</v>
      </c>
      <c r="B2129" s="3">
        <v>45114</v>
      </c>
      <c r="C2129" t="s">
        <v>31</v>
      </c>
      <c r="D2129">
        <v>1.0919570922851563E-2</v>
      </c>
    </row>
    <row r="2130" spans="1:4" x14ac:dyDescent="0.25">
      <c r="A2130">
        <v>87476</v>
      </c>
      <c r="B2130" s="3">
        <v>45117</v>
      </c>
      <c r="C2130" t="s">
        <v>31</v>
      </c>
      <c r="D2130">
        <v>-1.7623620107769966E-2</v>
      </c>
    </row>
    <row r="2131" spans="1:4" x14ac:dyDescent="0.25">
      <c r="A2131">
        <v>87476</v>
      </c>
      <c r="B2131" s="3">
        <v>45118</v>
      </c>
      <c r="C2131" t="s">
        <v>31</v>
      </c>
      <c r="D2131">
        <v>1.793978363275528E-2</v>
      </c>
    </row>
    <row r="2132" spans="1:4" x14ac:dyDescent="0.25">
      <c r="A2132">
        <v>87476</v>
      </c>
      <c r="B2132" s="3">
        <v>45119</v>
      </c>
      <c r="C2132" t="s">
        <v>31</v>
      </c>
      <c r="D2132">
        <v>2.4445725604891777E-2</v>
      </c>
    </row>
    <row r="2133" spans="1:4" x14ac:dyDescent="0.25">
      <c r="A2133">
        <v>87476</v>
      </c>
      <c r="B2133" s="3">
        <v>45120</v>
      </c>
      <c r="C2133" t="s">
        <v>31</v>
      </c>
      <c r="D2133">
        <v>1.3318521901965141E-2</v>
      </c>
    </row>
    <row r="2134" spans="1:4" x14ac:dyDescent="0.25">
      <c r="A2134">
        <v>87476</v>
      </c>
      <c r="B2134" s="3">
        <v>45121</v>
      </c>
      <c r="C2134" t="s">
        <v>31</v>
      </c>
      <c r="D2134">
        <v>-1.3143470510840416E-2</v>
      </c>
    </row>
    <row r="2135" spans="1:4" x14ac:dyDescent="0.25">
      <c r="A2135">
        <v>87476</v>
      </c>
      <c r="B2135" s="3">
        <v>45124</v>
      </c>
      <c r="C2135" t="s">
        <v>31</v>
      </c>
      <c r="D2135">
        <v>1.4428425580263138E-2</v>
      </c>
    </row>
    <row r="2136" spans="1:4" x14ac:dyDescent="0.25">
      <c r="A2136">
        <v>87476</v>
      </c>
      <c r="B2136" s="3">
        <v>45125</v>
      </c>
      <c r="C2136" t="s">
        <v>31</v>
      </c>
      <c r="D2136">
        <v>5.0875183194875717E-2</v>
      </c>
    </row>
    <row r="2137" spans="1:4" x14ac:dyDescent="0.25">
      <c r="A2137">
        <v>87476</v>
      </c>
      <c r="B2137" s="3">
        <v>45126</v>
      </c>
      <c r="C2137" t="s">
        <v>31</v>
      </c>
      <c r="D2137">
        <v>5.1015175879001617E-2</v>
      </c>
    </row>
    <row r="2138" spans="1:4" x14ac:dyDescent="0.25">
      <c r="A2138">
        <v>87476</v>
      </c>
      <c r="B2138" s="3">
        <v>45127</v>
      </c>
      <c r="C2138" t="s">
        <v>31</v>
      </c>
      <c r="D2138">
        <v>-3.962353803217411E-3</v>
      </c>
    </row>
    <row r="2139" spans="1:4" x14ac:dyDescent="0.25">
      <c r="A2139">
        <v>87476</v>
      </c>
      <c r="B2139" s="3">
        <v>45128</v>
      </c>
      <c r="C2139" t="s">
        <v>31</v>
      </c>
      <c r="D2139">
        <v>-2.4863250553607941E-2</v>
      </c>
    </row>
    <row r="2140" spans="1:4" x14ac:dyDescent="0.25">
      <c r="A2140">
        <v>87476</v>
      </c>
      <c r="B2140" s="3">
        <v>45131</v>
      </c>
      <c r="C2140" t="s">
        <v>31</v>
      </c>
      <c r="D2140">
        <v>3.6715924739837646E-2</v>
      </c>
    </row>
    <row r="2141" spans="1:4" x14ac:dyDescent="0.25">
      <c r="A2141">
        <v>87476</v>
      </c>
      <c r="B2141" s="3">
        <v>45132</v>
      </c>
      <c r="C2141" t="s">
        <v>31</v>
      </c>
      <c r="D2141">
        <v>-4.0334466844797134E-2</v>
      </c>
    </row>
    <row r="2142" spans="1:4" x14ac:dyDescent="0.25">
      <c r="A2142">
        <v>87476</v>
      </c>
      <c r="B2142" s="3">
        <v>45133</v>
      </c>
      <c r="C2142" t="s">
        <v>31</v>
      </c>
      <c r="D2142">
        <v>5.79189732670784E-2</v>
      </c>
    </row>
    <row r="2143" spans="1:4" x14ac:dyDescent="0.25">
      <c r="A2143">
        <v>87476</v>
      </c>
      <c r="B2143" s="3">
        <v>45134</v>
      </c>
      <c r="C2143" t="s">
        <v>31</v>
      </c>
      <c r="D2143">
        <v>1.0174467228353024E-2</v>
      </c>
    </row>
    <row r="2144" spans="1:4" x14ac:dyDescent="0.25">
      <c r="A2144">
        <v>87476</v>
      </c>
      <c r="B2144" s="3">
        <v>45135</v>
      </c>
      <c r="C2144" t="s">
        <v>31</v>
      </c>
      <c r="D2144">
        <v>7.6738535426557064E-3</v>
      </c>
    </row>
    <row r="2145" spans="1:4" x14ac:dyDescent="0.25">
      <c r="A2145">
        <v>87476</v>
      </c>
      <c r="B2145" s="3">
        <v>45138</v>
      </c>
      <c r="C2145" t="s">
        <v>31</v>
      </c>
      <c r="D2145">
        <v>-1.4279241440817714E-3</v>
      </c>
    </row>
    <row r="2146" spans="1:4" x14ac:dyDescent="0.25">
      <c r="A2146">
        <v>87476</v>
      </c>
      <c r="B2146" s="3">
        <v>45139</v>
      </c>
      <c r="C2146" t="s">
        <v>31</v>
      </c>
      <c r="D2146">
        <v>-1.9065304659307003E-3</v>
      </c>
    </row>
    <row r="2147" spans="1:4" x14ac:dyDescent="0.25">
      <c r="A2147">
        <v>87476</v>
      </c>
      <c r="B2147" s="3">
        <v>45140</v>
      </c>
      <c r="C2147" t="s">
        <v>31</v>
      </c>
      <c r="D2147">
        <v>-9.5513166161254048E-4</v>
      </c>
    </row>
    <row r="2148" spans="1:4" x14ac:dyDescent="0.25">
      <c r="A2148">
        <v>87476</v>
      </c>
      <c r="B2148" s="3">
        <v>45141</v>
      </c>
      <c r="C2148" t="s">
        <v>31</v>
      </c>
      <c r="D2148">
        <v>2.8680706396698952E-2</v>
      </c>
    </row>
    <row r="2149" spans="1:4" x14ac:dyDescent="0.25">
      <c r="A2149">
        <v>87476</v>
      </c>
      <c r="B2149" s="3">
        <v>45142</v>
      </c>
      <c r="C2149" t="s">
        <v>31</v>
      </c>
      <c r="D2149">
        <v>1.0813330300152302E-2</v>
      </c>
    </row>
    <row r="2150" spans="1:4" x14ac:dyDescent="0.25">
      <c r="A2150">
        <v>87476</v>
      </c>
      <c r="B2150" s="3">
        <v>45145</v>
      </c>
      <c r="C2150" t="s">
        <v>31</v>
      </c>
      <c r="D2150">
        <v>2.325545996427536E-3</v>
      </c>
    </row>
    <row r="2151" spans="1:4" x14ac:dyDescent="0.25">
      <c r="A2151">
        <v>87476</v>
      </c>
      <c r="B2151" s="3">
        <v>45146</v>
      </c>
      <c r="C2151" t="s">
        <v>31</v>
      </c>
      <c r="D2151">
        <v>5.5684847757220268E-3</v>
      </c>
    </row>
    <row r="2152" spans="1:4" x14ac:dyDescent="0.25">
      <c r="A2152">
        <v>87476</v>
      </c>
      <c r="B2152" s="3">
        <v>45147</v>
      </c>
      <c r="C2152" t="s">
        <v>31</v>
      </c>
      <c r="D2152">
        <v>-1.615137979388237E-2</v>
      </c>
    </row>
    <row r="2153" spans="1:4" x14ac:dyDescent="0.25">
      <c r="A2153">
        <v>87476</v>
      </c>
      <c r="B2153" s="3">
        <v>45148</v>
      </c>
      <c r="C2153" t="s">
        <v>31</v>
      </c>
      <c r="D2153">
        <v>-2.063792385160923E-2</v>
      </c>
    </row>
    <row r="2154" spans="1:4" x14ac:dyDescent="0.25">
      <c r="A2154">
        <v>87476</v>
      </c>
      <c r="B2154" s="3">
        <v>45149</v>
      </c>
      <c r="C2154" t="s">
        <v>31</v>
      </c>
      <c r="D2154">
        <v>3.3046003431081772E-2</v>
      </c>
    </row>
    <row r="2155" spans="1:4" x14ac:dyDescent="0.25">
      <c r="A2155">
        <v>87476</v>
      </c>
      <c r="B2155" s="3">
        <v>45152</v>
      </c>
      <c r="C2155" t="s">
        <v>31</v>
      </c>
      <c r="D2155">
        <v>-1.8080638721585274E-2</v>
      </c>
    </row>
    <row r="2156" spans="1:4" x14ac:dyDescent="0.25">
      <c r="A2156">
        <v>87476</v>
      </c>
      <c r="B2156" s="3">
        <v>45153</v>
      </c>
      <c r="C2156" t="s">
        <v>31</v>
      </c>
      <c r="D2156">
        <v>-2.502363920211792E-2</v>
      </c>
    </row>
    <row r="2157" spans="1:4" x14ac:dyDescent="0.25">
      <c r="A2157">
        <v>87476</v>
      </c>
      <c r="B2157" s="3">
        <v>45154</v>
      </c>
      <c r="C2157" t="s">
        <v>31</v>
      </c>
      <c r="D2157">
        <v>-1.9854715093970299E-2</v>
      </c>
    </row>
    <row r="2158" spans="1:4" x14ac:dyDescent="0.25">
      <c r="A2158">
        <v>87476</v>
      </c>
      <c r="B2158" s="3">
        <v>45155</v>
      </c>
      <c r="C2158" t="s">
        <v>31</v>
      </c>
      <c r="D2158">
        <v>3.9525656029582024E-3</v>
      </c>
    </row>
    <row r="2159" spans="1:4" x14ac:dyDescent="0.25">
      <c r="A2159">
        <v>87476</v>
      </c>
      <c r="B2159" s="3">
        <v>45156</v>
      </c>
      <c r="C2159" t="s">
        <v>31</v>
      </c>
      <c r="D2159">
        <v>-3.1988169997930527E-2</v>
      </c>
    </row>
    <row r="2160" spans="1:4" x14ac:dyDescent="0.25">
      <c r="A2160">
        <v>87476</v>
      </c>
      <c r="B2160" s="3">
        <v>45159</v>
      </c>
      <c r="C2160" t="s">
        <v>31</v>
      </c>
      <c r="D2160">
        <v>-2.084391750395298E-2</v>
      </c>
    </row>
    <row r="2161" spans="1:4" x14ac:dyDescent="0.25">
      <c r="A2161">
        <v>87476</v>
      </c>
      <c r="B2161" s="3">
        <v>45160</v>
      </c>
      <c r="C2161" t="s">
        <v>31</v>
      </c>
      <c r="D2161">
        <v>-2.2845301777124405E-2</v>
      </c>
    </row>
    <row r="2162" spans="1:4" x14ac:dyDescent="0.25">
      <c r="A2162">
        <v>87476</v>
      </c>
      <c r="B2162" s="3">
        <v>45161</v>
      </c>
      <c r="C2162" t="s">
        <v>31</v>
      </c>
      <c r="D2162">
        <v>0</v>
      </c>
    </row>
    <row r="2163" spans="1:4" x14ac:dyDescent="0.25">
      <c r="A2163">
        <v>87476</v>
      </c>
      <c r="B2163" s="3">
        <v>45162</v>
      </c>
      <c r="C2163" t="s">
        <v>31</v>
      </c>
      <c r="D2163">
        <v>3.7194313481450081E-3</v>
      </c>
    </row>
    <row r="2164" spans="1:4" x14ac:dyDescent="0.25">
      <c r="A2164">
        <v>87476</v>
      </c>
      <c r="B2164" s="3">
        <v>45163</v>
      </c>
      <c r="C2164" t="s">
        <v>31</v>
      </c>
      <c r="D2164">
        <v>-1.2175730429589748E-2</v>
      </c>
    </row>
    <row r="2165" spans="1:4" x14ac:dyDescent="0.25">
      <c r="A2165">
        <v>87476</v>
      </c>
      <c r="B2165" s="3">
        <v>45166</v>
      </c>
      <c r="C2165" t="s">
        <v>31</v>
      </c>
      <c r="D2165">
        <v>1.3397642411291599E-2</v>
      </c>
    </row>
    <row r="2166" spans="1:4" x14ac:dyDescent="0.25">
      <c r="A2166">
        <v>87476</v>
      </c>
      <c r="B2166" s="3">
        <v>45167</v>
      </c>
      <c r="C2166" t="s">
        <v>31</v>
      </c>
      <c r="D2166">
        <v>4.2305616661906242E-3</v>
      </c>
    </row>
    <row r="2167" spans="1:4" x14ac:dyDescent="0.25">
      <c r="A2167">
        <v>87476</v>
      </c>
      <c r="B2167" s="3">
        <v>45168</v>
      </c>
      <c r="C2167" t="s">
        <v>31</v>
      </c>
      <c r="D2167">
        <v>-1.9483882933855057E-2</v>
      </c>
    </row>
    <row r="2168" spans="1:4" x14ac:dyDescent="0.25">
      <c r="A2168">
        <v>87476</v>
      </c>
      <c r="B2168" s="3">
        <v>45169</v>
      </c>
      <c r="C2168" t="s">
        <v>31</v>
      </c>
      <c r="D2168">
        <v>1.0741076432168484E-2</v>
      </c>
    </row>
    <row r="2169" spans="1:4" x14ac:dyDescent="0.25">
      <c r="A2169">
        <v>87476</v>
      </c>
      <c r="B2169" s="3">
        <v>45170</v>
      </c>
      <c r="C2169" t="s">
        <v>31</v>
      </c>
      <c r="D2169">
        <v>2.4973498657345772E-2</v>
      </c>
    </row>
    <row r="2170" spans="1:4" x14ac:dyDescent="0.25">
      <c r="A2170">
        <v>87476</v>
      </c>
      <c r="B2170" s="3">
        <v>45174</v>
      </c>
      <c r="C2170" t="s">
        <v>31</v>
      </c>
      <c r="D2170">
        <v>-4.6656373888254166E-3</v>
      </c>
    </row>
    <row r="2171" spans="1:4" x14ac:dyDescent="0.25">
      <c r="A2171">
        <v>87476</v>
      </c>
      <c r="B2171" s="3">
        <v>45175</v>
      </c>
      <c r="C2171" t="s">
        <v>31</v>
      </c>
      <c r="D2171">
        <v>-3.5416681319475174E-2</v>
      </c>
    </row>
    <row r="2172" spans="1:4" x14ac:dyDescent="0.25">
      <c r="A2172">
        <v>87476</v>
      </c>
      <c r="B2172" s="3">
        <v>45176</v>
      </c>
      <c r="C2172" t="s">
        <v>31</v>
      </c>
      <c r="D2172">
        <v>8.6393002420663834E-3</v>
      </c>
    </row>
    <row r="2173" spans="1:4" x14ac:dyDescent="0.25">
      <c r="A2173">
        <v>87476</v>
      </c>
      <c r="B2173" s="3">
        <v>45177</v>
      </c>
      <c r="C2173" t="s">
        <v>31</v>
      </c>
      <c r="D2173">
        <v>1.1777264997363091E-2</v>
      </c>
    </row>
    <row r="2174" spans="1:4" x14ac:dyDescent="0.25">
      <c r="A2174">
        <v>87476</v>
      </c>
      <c r="B2174" s="3">
        <v>45180</v>
      </c>
      <c r="C2174" t="s">
        <v>31</v>
      </c>
      <c r="D2174">
        <v>6.3492506742477417E-3</v>
      </c>
    </row>
    <row r="2175" spans="1:4" x14ac:dyDescent="0.25">
      <c r="A2175">
        <v>87476</v>
      </c>
      <c r="B2175" s="3">
        <v>45181</v>
      </c>
      <c r="C2175" t="s">
        <v>31</v>
      </c>
      <c r="D2175">
        <v>3.6803204566240311E-3</v>
      </c>
    </row>
    <row r="2176" spans="1:4" x14ac:dyDescent="0.25">
      <c r="A2176">
        <v>87476</v>
      </c>
      <c r="B2176" s="3">
        <v>45182</v>
      </c>
      <c r="C2176" t="s">
        <v>31</v>
      </c>
      <c r="D2176">
        <v>-1.466740109026432E-2</v>
      </c>
    </row>
    <row r="2177" spans="1:4" x14ac:dyDescent="0.25">
      <c r="A2177">
        <v>87476</v>
      </c>
      <c r="B2177" s="3">
        <v>45183</v>
      </c>
      <c r="C2177" t="s">
        <v>31</v>
      </c>
      <c r="D2177">
        <v>1.2227616272866726E-2</v>
      </c>
    </row>
    <row r="2178" spans="1:4" x14ac:dyDescent="0.25">
      <c r="A2178">
        <v>87476</v>
      </c>
      <c r="B2178" s="3">
        <v>45184</v>
      </c>
      <c r="C2178" t="s">
        <v>31</v>
      </c>
      <c r="D2178">
        <v>-2.4159714579582214E-2</v>
      </c>
    </row>
    <row r="2179" spans="1:4" x14ac:dyDescent="0.25">
      <c r="A2179">
        <v>87476</v>
      </c>
      <c r="B2179" s="3">
        <v>45187</v>
      </c>
      <c r="C2179" t="s">
        <v>31</v>
      </c>
      <c r="D2179">
        <v>0</v>
      </c>
    </row>
    <row r="2180" spans="1:4" x14ac:dyDescent="0.25">
      <c r="A2180">
        <v>87476</v>
      </c>
      <c r="B2180" s="3">
        <v>45188</v>
      </c>
      <c r="C2180" t="s">
        <v>31</v>
      </c>
      <c r="D2180">
        <v>1.076450920663774E-3</v>
      </c>
    </row>
    <row r="2181" spans="1:4" x14ac:dyDescent="0.25">
      <c r="A2181">
        <v>87476</v>
      </c>
      <c r="B2181" s="3">
        <v>45189</v>
      </c>
      <c r="C2181" t="s">
        <v>31</v>
      </c>
      <c r="D2181">
        <v>0</v>
      </c>
    </row>
    <row r="2182" spans="1:4" x14ac:dyDescent="0.25">
      <c r="A2182">
        <v>87476</v>
      </c>
      <c r="B2182" s="3">
        <v>45190</v>
      </c>
      <c r="C2182" t="s">
        <v>31</v>
      </c>
      <c r="D2182">
        <v>-5.3763645701110363E-3</v>
      </c>
    </row>
    <row r="2183" spans="1:4" x14ac:dyDescent="0.25">
      <c r="A2183">
        <v>87476</v>
      </c>
      <c r="B2183" s="3">
        <v>45191</v>
      </c>
      <c r="C2183" t="s">
        <v>31</v>
      </c>
      <c r="D2183">
        <v>-1.1351302266120911E-2</v>
      </c>
    </row>
    <row r="2184" spans="1:4" x14ac:dyDescent="0.25">
      <c r="A2184">
        <v>87476</v>
      </c>
      <c r="B2184" s="3">
        <v>45194</v>
      </c>
      <c r="C2184" t="s">
        <v>31</v>
      </c>
      <c r="D2184">
        <v>5.4673850536346436E-3</v>
      </c>
    </row>
    <row r="2185" spans="1:4" x14ac:dyDescent="0.25">
      <c r="A2185">
        <v>87476</v>
      </c>
      <c r="B2185" s="3">
        <v>45195</v>
      </c>
      <c r="C2185" t="s">
        <v>31</v>
      </c>
      <c r="D2185">
        <v>-1.3050558976829052E-2</v>
      </c>
    </row>
    <row r="2186" spans="1:4" x14ac:dyDescent="0.25">
      <c r="A2186">
        <v>87476</v>
      </c>
      <c r="B2186" s="3">
        <v>45196</v>
      </c>
      <c r="C2186" t="s">
        <v>31</v>
      </c>
      <c r="D2186">
        <v>0</v>
      </c>
    </row>
    <row r="2187" spans="1:4" x14ac:dyDescent="0.25">
      <c r="A2187">
        <v>87476</v>
      </c>
      <c r="B2187" s="3">
        <v>45197</v>
      </c>
      <c r="C2187" t="s">
        <v>31</v>
      </c>
      <c r="D2187">
        <v>0</v>
      </c>
    </row>
    <row r="2188" spans="1:4" x14ac:dyDescent="0.25">
      <c r="A2188">
        <v>87476</v>
      </c>
      <c r="B2188" s="3">
        <v>45198</v>
      </c>
      <c r="C2188" t="s">
        <v>31</v>
      </c>
      <c r="D2188">
        <v>7.1625933051109314E-3</v>
      </c>
    </row>
    <row r="2189" spans="1:4" x14ac:dyDescent="0.25">
      <c r="A2189">
        <v>87476</v>
      </c>
      <c r="B2189" s="3">
        <v>45201</v>
      </c>
      <c r="C2189" t="s">
        <v>31</v>
      </c>
      <c r="D2189">
        <v>-4.3763634748756886E-3</v>
      </c>
    </row>
    <row r="2190" spans="1:4" x14ac:dyDescent="0.25">
      <c r="A2190">
        <v>87476</v>
      </c>
      <c r="B2190" s="3">
        <v>45202</v>
      </c>
      <c r="C2190" t="s">
        <v>31</v>
      </c>
      <c r="D2190">
        <v>-1.6483578830957413E-2</v>
      </c>
    </row>
    <row r="2191" spans="1:4" x14ac:dyDescent="0.25">
      <c r="A2191">
        <v>87476</v>
      </c>
      <c r="B2191" s="3">
        <v>45203</v>
      </c>
      <c r="C2191" t="s">
        <v>31</v>
      </c>
      <c r="D2191">
        <v>7.8213019296526909E-3</v>
      </c>
    </row>
    <row r="2192" spans="1:4" x14ac:dyDescent="0.25">
      <c r="A2192">
        <v>87476</v>
      </c>
      <c r="B2192" s="3">
        <v>45204</v>
      </c>
      <c r="C2192" t="s">
        <v>31</v>
      </c>
      <c r="D2192">
        <v>1.6629034653306007E-3</v>
      </c>
    </row>
    <row r="2193" spans="1:4" x14ac:dyDescent="0.25">
      <c r="A2193">
        <v>87476</v>
      </c>
      <c r="B2193" s="3">
        <v>45205</v>
      </c>
      <c r="C2193" t="s">
        <v>31</v>
      </c>
      <c r="D2193">
        <v>-3.8738071452826262E-3</v>
      </c>
    </row>
    <row r="2194" spans="1:4" x14ac:dyDescent="0.25">
      <c r="A2194">
        <v>87476</v>
      </c>
      <c r="B2194" s="3">
        <v>45208</v>
      </c>
      <c r="C2194" t="s">
        <v>31</v>
      </c>
      <c r="D2194">
        <v>-3.8888719864189625E-3</v>
      </c>
    </row>
    <row r="2195" spans="1:4" x14ac:dyDescent="0.25">
      <c r="A2195">
        <v>87476</v>
      </c>
      <c r="B2195" s="3">
        <v>45209</v>
      </c>
      <c r="C2195" t="s">
        <v>31</v>
      </c>
      <c r="D2195">
        <v>1.5616217628121376E-2</v>
      </c>
    </row>
    <row r="2196" spans="1:4" x14ac:dyDescent="0.25">
      <c r="A2196">
        <v>87476</v>
      </c>
      <c r="B2196" s="3">
        <v>45210</v>
      </c>
      <c r="C2196" t="s">
        <v>31</v>
      </c>
      <c r="D2196">
        <v>2.7458071708679199E-3</v>
      </c>
    </row>
    <row r="2197" spans="1:4" x14ac:dyDescent="0.25">
      <c r="A2197">
        <v>87476</v>
      </c>
      <c r="B2197" s="3">
        <v>45211</v>
      </c>
      <c r="C2197" t="s">
        <v>31</v>
      </c>
      <c r="D2197">
        <v>-8.214656263589859E-3</v>
      </c>
    </row>
    <row r="2198" spans="1:4" x14ac:dyDescent="0.25">
      <c r="A2198">
        <v>87476</v>
      </c>
      <c r="B2198" s="3">
        <v>45212</v>
      </c>
      <c r="C2198" t="s">
        <v>31</v>
      </c>
      <c r="D2198">
        <v>-3.2026499509811401E-2</v>
      </c>
    </row>
    <row r="2199" spans="1:4" x14ac:dyDescent="0.25">
      <c r="A2199">
        <v>87476</v>
      </c>
      <c r="B2199" s="3">
        <v>45215</v>
      </c>
      <c r="C2199" t="s">
        <v>31</v>
      </c>
      <c r="D2199">
        <v>1.5402084216475487E-2</v>
      </c>
    </row>
    <row r="2200" spans="1:4" x14ac:dyDescent="0.25">
      <c r="A2200">
        <v>87476</v>
      </c>
      <c r="B2200" s="3">
        <v>45216</v>
      </c>
      <c r="C2200" t="s">
        <v>31</v>
      </c>
      <c r="D2200">
        <v>2.696637436747551E-2</v>
      </c>
    </row>
    <row r="2201" spans="1:4" x14ac:dyDescent="0.25">
      <c r="A2201">
        <v>87476</v>
      </c>
      <c r="B2201" s="3">
        <v>45217</v>
      </c>
      <c r="C2201" t="s">
        <v>31</v>
      </c>
      <c r="D2201">
        <v>-2.6805238798260689E-2</v>
      </c>
    </row>
    <row r="2202" spans="1:4" x14ac:dyDescent="0.25">
      <c r="A2202">
        <v>87476</v>
      </c>
      <c r="B2202" s="3">
        <v>45218</v>
      </c>
      <c r="C2202" t="s">
        <v>31</v>
      </c>
      <c r="D2202">
        <v>-9.5559339970350266E-3</v>
      </c>
    </row>
    <row r="2203" spans="1:4" x14ac:dyDescent="0.25">
      <c r="A2203">
        <v>87476</v>
      </c>
      <c r="B2203" s="3">
        <v>45219</v>
      </c>
      <c r="C2203" t="s">
        <v>31</v>
      </c>
      <c r="D2203">
        <v>-2.2701561450958252E-2</v>
      </c>
    </row>
    <row r="2204" spans="1:4" x14ac:dyDescent="0.25">
      <c r="A2204">
        <v>87476</v>
      </c>
      <c r="B2204" s="3">
        <v>45222</v>
      </c>
      <c r="C2204" t="s">
        <v>31</v>
      </c>
      <c r="D2204">
        <v>-1.1033602058887482E-2</v>
      </c>
    </row>
    <row r="2205" spans="1:4" x14ac:dyDescent="0.25">
      <c r="A2205">
        <v>87476</v>
      </c>
      <c r="B2205" s="3">
        <v>45223</v>
      </c>
      <c r="C2205" t="s">
        <v>31</v>
      </c>
      <c r="D2205">
        <v>-4.1691191494464874E-2</v>
      </c>
    </row>
    <row r="2206" spans="1:4" x14ac:dyDescent="0.25">
      <c r="A2206">
        <v>87476</v>
      </c>
      <c r="B2206" s="3">
        <v>45224</v>
      </c>
      <c r="C2206" t="s">
        <v>31</v>
      </c>
      <c r="D2206">
        <v>2.5735300034284592E-2</v>
      </c>
    </row>
    <row r="2207" spans="1:4" x14ac:dyDescent="0.25">
      <c r="A2207">
        <v>87476</v>
      </c>
      <c r="B2207" s="3">
        <v>45225</v>
      </c>
      <c r="C2207" t="s">
        <v>31</v>
      </c>
      <c r="D2207">
        <v>2.6881765574216843E-2</v>
      </c>
    </row>
    <row r="2208" spans="1:4" x14ac:dyDescent="0.25">
      <c r="A2208">
        <v>87476</v>
      </c>
      <c r="B2208" s="3">
        <v>45226</v>
      </c>
      <c r="C2208" t="s">
        <v>31</v>
      </c>
      <c r="D2208">
        <v>-2.3851066827774048E-2</v>
      </c>
    </row>
    <row r="2209" spans="1:4" x14ac:dyDescent="0.25">
      <c r="A2209">
        <v>87476</v>
      </c>
      <c r="B2209" s="3">
        <v>45229</v>
      </c>
      <c r="C2209" t="s">
        <v>31</v>
      </c>
      <c r="D2209">
        <v>1.191808725707233E-3</v>
      </c>
    </row>
    <row r="2210" spans="1:4" x14ac:dyDescent="0.25">
      <c r="A2210">
        <v>87476</v>
      </c>
      <c r="B2210" s="3">
        <v>45230</v>
      </c>
      <c r="C2210" t="s">
        <v>31</v>
      </c>
      <c r="D2210">
        <v>0</v>
      </c>
    </row>
    <row r="2211" spans="1:4" x14ac:dyDescent="0.25">
      <c r="A2211">
        <v>87476</v>
      </c>
      <c r="B2211" s="3">
        <v>45231</v>
      </c>
      <c r="C2211" t="s">
        <v>31</v>
      </c>
      <c r="D2211">
        <v>3.3928669989109039E-2</v>
      </c>
    </row>
    <row r="2212" spans="1:4" x14ac:dyDescent="0.25">
      <c r="A2212">
        <v>87476</v>
      </c>
      <c r="B2212" s="3">
        <v>45232</v>
      </c>
      <c r="C2212" t="s">
        <v>31</v>
      </c>
      <c r="D2212">
        <v>5.9297565370798111E-2</v>
      </c>
    </row>
    <row r="2213" spans="1:4" x14ac:dyDescent="0.25">
      <c r="A2213">
        <v>87476</v>
      </c>
      <c r="B2213" s="3">
        <v>45233</v>
      </c>
      <c r="C2213" t="s">
        <v>31</v>
      </c>
      <c r="D2213">
        <v>2.9201140627264977E-2</v>
      </c>
    </row>
    <row r="2214" spans="1:4" x14ac:dyDescent="0.25">
      <c r="A2214">
        <v>87476</v>
      </c>
      <c r="B2214" s="3">
        <v>45236</v>
      </c>
      <c r="C2214" t="s">
        <v>31</v>
      </c>
      <c r="D2214">
        <v>-5.3534412290900946E-4</v>
      </c>
    </row>
    <row r="2215" spans="1:4" x14ac:dyDescent="0.25">
      <c r="A2215">
        <v>87476</v>
      </c>
      <c r="B2215" s="3">
        <v>45237</v>
      </c>
      <c r="C2215" t="s">
        <v>31</v>
      </c>
      <c r="D2215">
        <v>-1.1783572845160961E-2</v>
      </c>
    </row>
    <row r="2216" spans="1:4" x14ac:dyDescent="0.25">
      <c r="A2216">
        <v>87476</v>
      </c>
      <c r="B2216" s="3">
        <v>45238</v>
      </c>
      <c r="C2216" t="s">
        <v>31</v>
      </c>
      <c r="D2216">
        <v>-1.9512226805090904E-2</v>
      </c>
    </row>
    <row r="2217" spans="1:4" x14ac:dyDescent="0.25">
      <c r="A2217">
        <v>87476</v>
      </c>
      <c r="B2217" s="3">
        <v>45239</v>
      </c>
      <c r="C2217" t="s">
        <v>31</v>
      </c>
      <c r="D2217">
        <v>-1.6583705320954323E-2</v>
      </c>
    </row>
    <row r="2218" spans="1:4" x14ac:dyDescent="0.25">
      <c r="A2218">
        <v>87476</v>
      </c>
      <c r="B2218" s="3">
        <v>45240</v>
      </c>
      <c r="C2218" t="s">
        <v>31</v>
      </c>
      <c r="D2218">
        <v>2.1360266953706741E-2</v>
      </c>
    </row>
    <row r="2219" spans="1:4" x14ac:dyDescent="0.25">
      <c r="A2219">
        <v>87476</v>
      </c>
      <c r="B2219" s="3">
        <v>45243</v>
      </c>
      <c r="C2219" t="s">
        <v>31</v>
      </c>
      <c r="D2219">
        <v>3.3021168783307076E-3</v>
      </c>
    </row>
    <row r="2220" spans="1:4" x14ac:dyDescent="0.25">
      <c r="A2220">
        <v>87476</v>
      </c>
      <c r="B2220" s="3">
        <v>45244</v>
      </c>
      <c r="C2220" t="s">
        <v>31</v>
      </c>
      <c r="D2220">
        <v>9.8738409578800201E-2</v>
      </c>
    </row>
    <row r="2221" spans="1:4" x14ac:dyDescent="0.25">
      <c r="A2221">
        <v>87476</v>
      </c>
      <c r="B2221" s="3">
        <v>45245</v>
      </c>
      <c r="C2221" t="s">
        <v>31</v>
      </c>
      <c r="D2221">
        <v>-5.4917926900088787E-3</v>
      </c>
    </row>
    <row r="2222" spans="1:4" x14ac:dyDescent="0.25">
      <c r="A2222">
        <v>87476</v>
      </c>
      <c r="B2222" s="3">
        <v>45246</v>
      </c>
      <c r="C2222" t="s">
        <v>31</v>
      </c>
      <c r="D2222">
        <v>-2.1084340289235115E-2</v>
      </c>
    </row>
    <row r="2223" spans="1:4" x14ac:dyDescent="0.25">
      <c r="A2223">
        <v>87476</v>
      </c>
      <c r="B2223" s="3">
        <v>45247</v>
      </c>
      <c r="C2223" t="s">
        <v>31</v>
      </c>
      <c r="D2223">
        <v>0</v>
      </c>
    </row>
    <row r="2224" spans="1:4" x14ac:dyDescent="0.25">
      <c r="A2224">
        <v>87476</v>
      </c>
      <c r="B2224" s="3">
        <v>45250</v>
      </c>
      <c r="C2224" t="s">
        <v>31</v>
      </c>
      <c r="D2224">
        <v>-7.1794558316469193E-3</v>
      </c>
    </row>
    <row r="2225" spans="1:4" x14ac:dyDescent="0.25">
      <c r="A2225">
        <v>87476</v>
      </c>
      <c r="B2225" s="3">
        <v>45251</v>
      </c>
      <c r="C2225" t="s">
        <v>31</v>
      </c>
      <c r="D2225">
        <v>-3.4349218010902405E-2</v>
      </c>
    </row>
    <row r="2226" spans="1:4" x14ac:dyDescent="0.25">
      <c r="A2226">
        <v>87476</v>
      </c>
      <c r="B2226" s="3">
        <v>45252</v>
      </c>
      <c r="C2226" t="s">
        <v>31</v>
      </c>
      <c r="D2226">
        <v>-4.0117069147527218E-3</v>
      </c>
    </row>
    <row r="2227" spans="1:4" x14ac:dyDescent="0.25">
      <c r="A2227">
        <v>87476</v>
      </c>
      <c r="B2227" s="3">
        <v>45254</v>
      </c>
      <c r="C2227" t="s">
        <v>31</v>
      </c>
      <c r="D2227">
        <v>1.9333979114890099E-2</v>
      </c>
    </row>
    <row r="2228" spans="1:4" x14ac:dyDescent="0.25">
      <c r="A2228">
        <v>87476</v>
      </c>
      <c r="B2228" s="3">
        <v>45257</v>
      </c>
      <c r="C2228" t="s">
        <v>31</v>
      </c>
      <c r="D2228">
        <v>-2.2655444219708443E-2</v>
      </c>
    </row>
    <row r="2229" spans="1:4" x14ac:dyDescent="0.25">
      <c r="A2229">
        <v>87476</v>
      </c>
      <c r="B2229" s="3">
        <v>45258</v>
      </c>
      <c r="C2229" t="s">
        <v>31</v>
      </c>
      <c r="D2229">
        <v>2.8571465983986855E-2</v>
      </c>
    </row>
    <row r="2230" spans="1:4" x14ac:dyDescent="0.25">
      <c r="A2230">
        <v>87476</v>
      </c>
      <c r="B2230" s="3">
        <v>45259</v>
      </c>
      <c r="C2230" t="s">
        <v>31</v>
      </c>
      <c r="D2230">
        <v>2.6205450296401978E-2</v>
      </c>
    </row>
    <row r="2231" spans="1:4" x14ac:dyDescent="0.25">
      <c r="A2231">
        <v>87476</v>
      </c>
      <c r="B2231" s="3">
        <v>45260</v>
      </c>
      <c r="C2231" t="s">
        <v>31</v>
      </c>
      <c r="D2231">
        <v>-1.7875403165817261E-2</v>
      </c>
    </row>
    <row r="2232" spans="1:4" x14ac:dyDescent="0.25">
      <c r="A2232">
        <v>87476</v>
      </c>
      <c r="B2232" s="3">
        <v>45261</v>
      </c>
      <c r="C2232" t="s">
        <v>31</v>
      </c>
      <c r="D2232">
        <v>6.2922567129135132E-2</v>
      </c>
    </row>
    <row r="2233" spans="1:4" x14ac:dyDescent="0.25">
      <c r="A2233">
        <v>87476</v>
      </c>
      <c r="B2233" s="3">
        <v>45264</v>
      </c>
      <c r="C2233" t="s">
        <v>31</v>
      </c>
      <c r="D2233">
        <v>-5.8708824217319489E-3</v>
      </c>
    </row>
    <row r="2234" spans="1:4" x14ac:dyDescent="0.25">
      <c r="A2234">
        <v>87476</v>
      </c>
      <c r="B2234" s="3">
        <v>45265</v>
      </c>
      <c r="C2234" t="s">
        <v>31</v>
      </c>
      <c r="D2234">
        <v>-1.2795287184417248E-2</v>
      </c>
    </row>
    <row r="2235" spans="1:4" x14ac:dyDescent="0.25">
      <c r="A2235">
        <v>87476</v>
      </c>
      <c r="B2235" s="3">
        <v>45266</v>
      </c>
      <c r="C2235" t="s">
        <v>31</v>
      </c>
      <c r="D2235">
        <v>-6.4805168658494949E-3</v>
      </c>
    </row>
    <row r="2236" spans="1:4" x14ac:dyDescent="0.25">
      <c r="A2236">
        <v>87476</v>
      </c>
      <c r="B2236" s="3">
        <v>45267</v>
      </c>
      <c r="C2236" t="s">
        <v>31</v>
      </c>
      <c r="D2236">
        <v>2.0571993663907051E-2</v>
      </c>
    </row>
    <row r="2237" spans="1:4" x14ac:dyDescent="0.25">
      <c r="A2237">
        <v>87476</v>
      </c>
      <c r="B2237" s="3">
        <v>45268</v>
      </c>
      <c r="C2237" t="s">
        <v>31</v>
      </c>
      <c r="D2237">
        <v>1.8682356923818588E-2</v>
      </c>
    </row>
    <row r="2238" spans="1:4" x14ac:dyDescent="0.25">
      <c r="A2238">
        <v>87476</v>
      </c>
      <c r="B2238" s="3">
        <v>45271</v>
      </c>
      <c r="C2238" t="s">
        <v>31</v>
      </c>
      <c r="D2238">
        <v>-1.3513455167412758E-2</v>
      </c>
    </row>
    <row r="2239" spans="1:4" x14ac:dyDescent="0.25">
      <c r="A2239">
        <v>87476</v>
      </c>
      <c r="B2239" s="3">
        <v>45272</v>
      </c>
      <c r="C2239" t="s">
        <v>31</v>
      </c>
      <c r="D2239">
        <v>-1.0274020954966545E-2</v>
      </c>
    </row>
    <row r="2240" spans="1:4" x14ac:dyDescent="0.25">
      <c r="A2240">
        <v>87476</v>
      </c>
      <c r="B2240" s="3">
        <v>45273</v>
      </c>
      <c r="C2240" t="s">
        <v>31</v>
      </c>
      <c r="D2240">
        <v>7.46416375041008E-2</v>
      </c>
    </row>
    <row r="2241" spans="1:4" x14ac:dyDescent="0.25">
      <c r="A2241">
        <v>87476</v>
      </c>
      <c r="B2241" s="3">
        <v>45274</v>
      </c>
      <c r="C2241" t="s">
        <v>31</v>
      </c>
      <c r="D2241">
        <v>2.5758944451808929E-2</v>
      </c>
    </row>
    <row r="2242" spans="1:4" x14ac:dyDescent="0.25">
      <c r="A2242">
        <v>87476</v>
      </c>
      <c r="B2242" s="3">
        <v>45275</v>
      </c>
      <c r="C2242" t="s">
        <v>31</v>
      </c>
      <c r="D2242">
        <v>-3.318384662270546E-2</v>
      </c>
    </row>
    <row r="2243" spans="1:4" x14ac:dyDescent="0.25">
      <c r="A2243">
        <v>87476</v>
      </c>
      <c r="B2243" s="3">
        <v>45278</v>
      </c>
      <c r="C2243" t="s">
        <v>31</v>
      </c>
      <c r="D2243">
        <v>3.710571676492691E-3</v>
      </c>
    </row>
    <row r="2244" spans="1:4" x14ac:dyDescent="0.25">
      <c r="A2244">
        <v>87476</v>
      </c>
      <c r="B2244" s="3">
        <v>45279</v>
      </c>
      <c r="C2244" t="s">
        <v>31</v>
      </c>
      <c r="D2244">
        <v>1.6173770651221275E-2</v>
      </c>
    </row>
    <row r="2245" spans="1:4" x14ac:dyDescent="0.25">
      <c r="A2245">
        <v>87476</v>
      </c>
      <c r="B2245" s="3">
        <v>45280</v>
      </c>
      <c r="C2245" t="s">
        <v>31</v>
      </c>
      <c r="D2245">
        <v>-8.1855524331331253E-3</v>
      </c>
    </row>
    <row r="2246" spans="1:4" x14ac:dyDescent="0.25">
      <c r="A2246">
        <v>87476</v>
      </c>
      <c r="B2246" s="3">
        <v>45281</v>
      </c>
      <c r="C2246" t="s">
        <v>31</v>
      </c>
      <c r="D2246">
        <v>1.2379663996398449E-2</v>
      </c>
    </row>
    <row r="2247" spans="1:4" x14ac:dyDescent="0.25">
      <c r="A2247">
        <v>87476</v>
      </c>
      <c r="B2247" s="3">
        <v>45282</v>
      </c>
      <c r="C2247" t="s">
        <v>31</v>
      </c>
      <c r="D2247">
        <v>6.7934608086943626E-3</v>
      </c>
    </row>
    <row r="2248" spans="1:4" x14ac:dyDescent="0.25">
      <c r="A2248">
        <v>87476</v>
      </c>
      <c r="B2248" s="3">
        <v>45286</v>
      </c>
      <c r="C2248" t="s">
        <v>31</v>
      </c>
      <c r="D2248">
        <v>9.8965913057327271E-3</v>
      </c>
    </row>
    <row r="2249" spans="1:4" x14ac:dyDescent="0.25">
      <c r="A2249">
        <v>87476</v>
      </c>
      <c r="B2249" s="3">
        <v>45287</v>
      </c>
      <c r="C2249" t="s">
        <v>31</v>
      </c>
      <c r="D2249">
        <v>-4.8998044803738594E-3</v>
      </c>
    </row>
    <row r="2250" spans="1:4" x14ac:dyDescent="0.25">
      <c r="A2250">
        <v>87476</v>
      </c>
      <c r="B2250" s="3">
        <v>45288</v>
      </c>
      <c r="C2250" t="s">
        <v>31</v>
      </c>
      <c r="D2250">
        <v>5.8191209100186825E-3</v>
      </c>
    </row>
    <row r="2251" spans="1:4" x14ac:dyDescent="0.25">
      <c r="A2251">
        <v>87476</v>
      </c>
      <c r="B2251" s="3">
        <v>45289</v>
      </c>
      <c r="C2251" t="s">
        <v>31</v>
      </c>
      <c r="D2251">
        <v>-2.002665214240551E-2</v>
      </c>
    </row>
    <row r="2252" spans="1:4" x14ac:dyDescent="0.25">
      <c r="A2252">
        <v>90961</v>
      </c>
      <c r="B2252" s="3">
        <v>44929</v>
      </c>
      <c r="C2252" t="s">
        <v>33</v>
      </c>
      <c r="D2252">
        <v>1.5661278739571571E-2</v>
      </c>
    </row>
    <row r="2253" spans="1:4" x14ac:dyDescent="0.25">
      <c r="A2253">
        <v>90961</v>
      </c>
      <c r="B2253" s="3">
        <v>44930</v>
      </c>
      <c r="C2253" t="s">
        <v>33</v>
      </c>
      <c r="D2253">
        <v>-1.1422088369727135E-2</v>
      </c>
    </row>
    <row r="2254" spans="1:4" x14ac:dyDescent="0.25">
      <c r="A2254">
        <v>90961</v>
      </c>
      <c r="B2254" s="3">
        <v>44931</v>
      </c>
      <c r="C2254" t="s">
        <v>33</v>
      </c>
      <c r="D2254">
        <v>-4.6216016635298729E-3</v>
      </c>
    </row>
    <row r="2255" spans="1:4" x14ac:dyDescent="0.25">
      <c r="A2255">
        <v>90961</v>
      </c>
      <c r="B2255" s="3">
        <v>44932</v>
      </c>
      <c r="C2255" t="s">
        <v>33</v>
      </c>
      <c r="D2255">
        <v>1.3929246924817562E-2</v>
      </c>
    </row>
    <row r="2256" spans="1:4" x14ac:dyDescent="0.25">
      <c r="A2256">
        <v>90961</v>
      </c>
      <c r="B2256" s="3">
        <v>44935</v>
      </c>
      <c r="C2256" t="s">
        <v>33</v>
      </c>
      <c r="D2256">
        <v>-5.7905202265828848E-4</v>
      </c>
    </row>
    <row r="2257" spans="1:4" x14ac:dyDescent="0.25">
      <c r="A2257">
        <v>90961</v>
      </c>
      <c r="B2257" s="3">
        <v>44936</v>
      </c>
      <c r="C2257" t="s">
        <v>33</v>
      </c>
      <c r="D2257">
        <v>5.7937647216022015E-3</v>
      </c>
    </row>
    <row r="2258" spans="1:4" x14ac:dyDescent="0.25">
      <c r="A2258">
        <v>90961</v>
      </c>
      <c r="B2258" s="3">
        <v>44937</v>
      </c>
      <c r="C2258" t="s">
        <v>33</v>
      </c>
      <c r="D2258">
        <v>-5.1843402907252312E-3</v>
      </c>
    </row>
    <row r="2259" spans="1:4" x14ac:dyDescent="0.25">
      <c r="A2259">
        <v>90961</v>
      </c>
      <c r="B2259" s="3">
        <v>44938</v>
      </c>
      <c r="C2259" t="s">
        <v>33</v>
      </c>
      <c r="D2259">
        <v>9.8436633124947548E-3</v>
      </c>
    </row>
    <row r="2260" spans="1:4" x14ac:dyDescent="0.25">
      <c r="A2260">
        <v>90961</v>
      </c>
      <c r="B2260" s="3">
        <v>44939</v>
      </c>
      <c r="C2260" t="s">
        <v>33</v>
      </c>
      <c r="D2260">
        <v>5.7339668273925781E-3</v>
      </c>
    </row>
    <row r="2261" spans="1:4" x14ac:dyDescent="0.25">
      <c r="A2261">
        <v>90961</v>
      </c>
      <c r="B2261" s="3">
        <v>44943</v>
      </c>
      <c r="C2261" t="s">
        <v>33</v>
      </c>
      <c r="D2261">
        <v>-7.9818293452262878E-3</v>
      </c>
    </row>
    <row r="2262" spans="1:4" x14ac:dyDescent="0.25">
      <c r="A2262">
        <v>90961</v>
      </c>
      <c r="B2262" s="3">
        <v>44944</v>
      </c>
      <c r="C2262" t="s">
        <v>33</v>
      </c>
      <c r="D2262">
        <v>-1.4367816038429737E-2</v>
      </c>
    </row>
    <row r="2263" spans="1:4" x14ac:dyDescent="0.25">
      <c r="A2263">
        <v>90961</v>
      </c>
      <c r="B2263" s="3">
        <v>44945</v>
      </c>
      <c r="C2263" t="s">
        <v>33</v>
      </c>
      <c r="D2263">
        <v>4.0816147811710835E-3</v>
      </c>
    </row>
    <row r="2264" spans="1:4" x14ac:dyDescent="0.25">
      <c r="A2264">
        <v>90961</v>
      </c>
      <c r="B2264" s="3">
        <v>44946</v>
      </c>
      <c r="C2264" t="s">
        <v>33</v>
      </c>
      <c r="D2264">
        <v>8.7108900770545006E-3</v>
      </c>
    </row>
    <row r="2265" spans="1:4" x14ac:dyDescent="0.25">
      <c r="A2265">
        <v>90961</v>
      </c>
      <c r="B2265" s="3">
        <v>44949</v>
      </c>
      <c r="C2265" t="s">
        <v>33</v>
      </c>
      <c r="D2265">
        <v>-1.0938430204987526E-2</v>
      </c>
    </row>
    <row r="2266" spans="1:4" x14ac:dyDescent="0.25">
      <c r="A2266">
        <v>90961</v>
      </c>
      <c r="B2266" s="3">
        <v>44950</v>
      </c>
      <c r="C2266" t="s">
        <v>33</v>
      </c>
      <c r="D2266">
        <v>2.3282309994101524E-3</v>
      </c>
    </row>
    <row r="2267" spans="1:4" x14ac:dyDescent="0.25">
      <c r="A2267">
        <v>90961</v>
      </c>
      <c r="B2267" s="3">
        <v>44951</v>
      </c>
      <c r="C2267" t="s">
        <v>33</v>
      </c>
      <c r="D2267">
        <v>0</v>
      </c>
    </row>
    <row r="2268" spans="1:4" x14ac:dyDescent="0.25">
      <c r="A2268">
        <v>90961</v>
      </c>
      <c r="B2268" s="3">
        <v>44952</v>
      </c>
      <c r="C2268" t="s">
        <v>33</v>
      </c>
      <c r="D2268">
        <v>-1.8002292141318321E-2</v>
      </c>
    </row>
    <row r="2269" spans="1:4" x14ac:dyDescent="0.25">
      <c r="A2269">
        <v>90961</v>
      </c>
      <c r="B2269" s="3">
        <v>44953</v>
      </c>
      <c r="C2269" t="s">
        <v>33</v>
      </c>
      <c r="D2269">
        <v>-6.4458906650543213E-2</v>
      </c>
    </row>
    <row r="2270" spans="1:4" x14ac:dyDescent="0.25">
      <c r="A2270">
        <v>90961</v>
      </c>
      <c r="B2270" s="3">
        <v>44956</v>
      </c>
      <c r="C2270" t="s">
        <v>33</v>
      </c>
      <c r="D2270">
        <v>1.2642514193430543E-3</v>
      </c>
    </row>
    <row r="2271" spans="1:4" x14ac:dyDescent="0.25">
      <c r="A2271">
        <v>90961</v>
      </c>
      <c r="B2271" s="3">
        <v>44957</v>
      </c>
      <c r="C2271" t="s">
        <v>33</v>
      </c>
      <c r="D2271">
        <v>1.6414156183600426E-2</v>
      </c>
    </row>
    <row r="2272" spans="1:4" x14ac:dyDescent="0.25">
      <c r="A2272">
        <v>90961</v>
      </c>
      <c r="B2272" s="3">
        <v>44958</v>
      </c>
      <c r="C2272" t="s">
        <v>33</v>
      </c>
      <c r="D2272">
        <v>6.211322033777833E-4</v>
      </c>
    </row>
    <row r="2273" spans="1:4" x14ac:dyDescent="0.25">
      <c r="A2273">
        <v>90961</v>
      </c>
      <c r="B2273" s="3">
        <v>44959</v>
      </c>
      <c r="C2273" t="s">
        <v>33</v>
      </c>
      <c r="D2273">
        <v>2.1725540980696678E-2</v>
      </c>
    </row>
    <row r="2274" spans="1:4" x14ac:dyDescent="0.25">
      <c r="A2274">
        <v>90961</v>
      </c>
      <c r="B2274" s="3">
        <v>44960</v>
      </c>
      <c r="C2274" t="s">
        <v>33</v>
      </c>
      <c r="D2274">
        <v>2.4301894009113312E-3</v>
      </c>
    </row>
    <row r="2275" spans="1:4" x14ac:dyDescent="0.25">
      <c r="A2275">
        <v>90961</v>
      </c>
      <c r="B2275" s="3">
        <v>44963</v>
      </c>
      <c r="C2275" t="s">
        <v>33</v>
      </c>
      <c r="D2275">
        <v>3.0302568338811398E-3</v>
      </c>
    </row>
    <row r="2276" spans="1:4" x14ac:dyDescent="0.25">
      <c r="A2276">
        <v>90961</v>
      </c>
      <c r="B2276" s="3">
        <v>44964</v>
      </c>
      <c r="C2276" t="s">
        <v>33</v>
      </c>
      <c r="D2276">
        <v>-7.2506912983953953E-3</v>
      </c>
    </row>
    <row r="2277" spans="1:4" x14ac:dyDescent="0.25">
      <c r="A2277">
        <v>90961</v>
      </c>
      <c r="B2277" s="3">
        <v>44965</v>
      </c>
      <c r="C2277" t="s">
        <v>33</v>
      </c>
      <c r="D2277">
        <v>-1.0346930474042892E-2</v>
      </c>
    </row>
    <row r="2278" spans="1:4" x14ac:dyDescent="0.25">
      <c r="A2278">
        <v>90961</v>
      </c>
      <c r="B2278" s="3">
        <v>44966</v>
      </c>
      <c r="C2278" t="s">
        <v>33</v>
      </c>
      <c r="D2278">
        <v>-8.6100483313202858E-3</v>
      </c>
    </row>
    <row r="2279" spans="1:4" x14ac:dyDescent="0.25">
      <c r="A2279">
        <v>90961</v>
      </c>
      <c r="B2279" s="3">
        <v>44967</v>
      </c>
      <c r="C2279" t="s">
        <v>33</v>
      </c>
      <c r="D2279">
        <v>-4.0322910062968731E-3</v>
      </c>
    </row>
    <row r="2280" spans="1:4" x14ac:dyDescent="0.25">
      <c r="A2280">
        <v>90961</v>
      </c>
      <c r="B2280" s="3">
        <v>44970</v>
      </c>
      <c r="C2280" t="s">
        <v>33</v>
      </c>
      <c r="D2280">
        <v>1.5571234980598092E-3</v>
      </c>
    </row>
    <row r="2281" spans="1:4" x14ac:dyDescent="0.25">
      <c r="A2281">
        <v>90961</v>
      </c>
      <c r="B2281" s="3">
        <v>44971</v>
      </c>
      <c r="C2281" t="s">
        <v>33</v>
      </c>
      <c r="D2281">
        <v>-1.0572143830358982E-2</v>
      </c>
    </row>
    <row r="2282" spans="1:4" x14ac:dyDescent="0.25">
      <c r="A2282">
        <v>90961</v>
      </c>
      <c r="B2282" s="3">
        <v>44972</v>
      </c>
      <c r="C2282" t="s">
        <v>33</v>
      </c>
      <c r="D2282">
        <v>1.005655899643898E-2</v>
      </c>
    </row>
    <row r="2283" spans="1:4" x14ac:dyDescent="0.25">
      <c r="A2283">
        <v>90961</v>
      </c>
      <c r="B2283" s="3">
        <v>44973</v>
      </c>
      <c r="C2283" t="s">
        <v>33</v>
      </c>
      <c r="D2283">
        <v>-9.9564315751194954E-3</v>
      </c>
    </row>
    <row r="2284" spans="1:4" x14ac:dyDescent="0.25">
      <c r="A2284">
        <v>90961</v>
      </c>
      <c r="B2284" s="3">
        <v>44974</v>
      </c>
      <c r="C2284" t="s">
        <v>33</v>
      </c>
      <c r="D2284">
        <v>6.913929246366024E-3</v>
      </c>
    </row>
    <row r="2285" spans="1:4" x14ac:dyDescent="0.25">
      <c r="A2285">
        <v>90961</v>
      </c>
      <c r="B2285" s="3">
        <v>44978</v>
      </c>
      <c r="C2285" t="s">
        <v>33</v>
      </c>
      <c r="D2285">
        <v>0</v>
      </c>
    </row>
    <row r="2286" spans="1:4" x14ac:dyDescent="0.25">
      <c r="A2286">
        <v>90961</v>
      </c>
      <c r="B2286" s="3">
        <v>44979</v>
      </c>
      <c r="C2286" t="s">
        <v>33</v>
      </c>
      <c r="D2286">
        <v>3.7452848628163338E-3</v>
      </c>
    </row>
    <row r="2287" spans="1:4" x14ac:dyDescent="0.25">
      <c r="A2287">
        <v>90961</v>
      </c>
      <c r="B2287" s="3">
        <v>44980</v>
      </c>
      <c r="C2287" t="s">
        <v>33</v>
      </c>
      <c r="D2287">
        <v>8.084525354206562E-3</v>
      </c>
    </row>
    <row r="2288" spans="1:4" x14ac:dyDescent="0.25">
      <c r="A2288">
        <v>90961</v>
      </c>
      <c r="B2288" s="3">
        <v>44981</v>
      </c>
      <c r="C2288" t="s">
        <v>33</v>
      </c>
      <c r="D2288">
        <v>-5.5520203895866871E-3</v>
      </c>
    </row>
    <row r="2289" spans="1:4" x14ac:dyDescent="0.25">
      <c r="A2289">
        <v>90961</v>
      </c>
      <c r="B2289" s="3">
        <v>44984</v>
      </c>
      <c r="C2289" t="s">
        <v>33</v>
      </c>
      <c r="D2289">
        <v>-4.3425308540463448E-3</v>
      </c>
    </row>
    <row r="2290" spans="1:4" x14ac:dyDescent="0.25">
      <c r="A2290">
        <v>90961</v>
      </c>
      <c r="B2290" s="3">
        <v>44985</v>
      </c>
      <c r="C2290" t="s">
        <v>33</v>
      </c>
      <c r="D2290">
        <v>3.1153361778706312E-3</v>
      </c>
    </row>
    <row r="2291" spans="1:4" x14ac:dyDescent="0.25">
      <c r="A2291">
        <v>90961</v>
      </c>
      <c r="B2291" s="3">
        <v>44986</v>
      </c>
      <c r="C2291" t="s">
        <v>33</v>
      </c>
      <c r="D2291">
        <v>-6.211322033777833E-4</v>
      </c>
    </row>
    <row r="2292" spans="1:4" x14ac:dyDescent="0.25">
      <c r="A2292">
        <v>90961</v>
      </c>
      <c r="B2292" s="3">
        <v>44987</v>
      </c>
      <c r="C2292" t="s">
        <v>33</v>
      </c>
      <c r="D2292">
        <v>2.4859544355422258E-3</v>
      </c>
    </row>
    <row r="2293" spans="1:4" x14ac:dyDescent="0.25">
      <c r="A2293">
        <v>90961</v>
      </c>
      <c r="B2293" s="3">
        <v>44988</v>
      </c>
      <c r="C2293" t="s">
        <v>33</v>
      </c>
      <c r="D2293">
        <v>5.5796750821173191E-3</v>
      </c>
    </row>
    <row r="2294" spans="1:4" x14ac:dyDescent="0.25">
      <c r="A2294">
        <v>90961</v>
      </c>
      <c r="B2294" s="3">
        <v>44991</v>
      </c>
      <c r="C2294" t="s">
        <v>33</v>
      </c>
      <c r="D2294">
        <v>-1.6029549762606621E-2</v>
      </c>
    </row>
    <row r="2295" spans="1:4" x14ac:dyDescent="0.25">
      <c r="A2295">
        <v>90961</v>
      </c>
      <c r="B2295" s="3">
        <v>44992</v>
      </c>
      <c r="C2295" t="s">
        <v>33</v>
      </c>
      <c r="D2295">
        <v>-1.5664160251617432E-2</v>
      </c>
    </row>
    <row r="2296" spans="1:4" x14ac:dyDescent="0.25">
      <c r="A2296">
        <v>90961</v>
      </c>
      <c r="B2296" s="3">
        <v>44993</v>
      </c>
      <c r="C2296" t="s">
        <v>33</v>
      </c>
      <c r="D2296">
        <v>2.5461465120315552E-3</v>
      </c>
    </row>
    <row r="2297" spans="1:4" x14ac:dyDescent="0.25">
      <c r="A2297">
        <v>90961</v>
      </c>
      <c r="B2297" s="3">
        <v>44994</v>
      </c>
      <c r="C2297" t="s">
        <v>33</v>
      </c>
      <c r="D2297">
        <v>-4.4444430619478226E-2</v>
      </c>
    </row>
    <row r="2298" spans="1:4" x14ac:dyDescent="0.25">
      <c r="A2298">
        <v>90961</v>
      </c>
      <c r="B2298" s="3">
        <v>44995</v>
      </c>
      <c r="C2298" t="s">
        <v>33</v>
      </c>
      <c r="D2298">
        <v>-1.3953491114079952E-2</v>
      </c>
    </row>
    <row r="2299" spans="1:4" x14ac:dyDescent="0.25">
      <c r="A2299">
        <v>90961</v>
      </c>
      <c r="B2299" s="3">
        <v>44998</v>
      </c>
      <c r="C2299" t="s">
        <v>33</v>
      </c>
      <c r="D2299">
        <v>-2.223719097673893E-2</v>
      </c>
    </row>
    <row r="2300" spans="1:4" x14ac:dyDescent="0.25">
      <c r="A2300">
        <v>90961</v>
      </c>
      <c r="B2300" s="3">
        <v>44999</v>
      </c>
      <c r="C2300" t="s">
        <v>33</v>
      </c>
      <c r="D2300">
        <v>2.5499647483229637E-2</v>
      </c>
    </row>
    <row r="2301" spans="1:4" x14ac:dyDescent="0.25">
      <c r="A2301">
        <v>90961</v>
      </c>
      <c r="B2301" s="3">
        <v>45000</v>
      </c>
      <c r="C2301" t="s">
        <v>33</v>
      </c>
      <c r="D2301">
        <v>7.3924497701227665E-3</v>
      </c>
    </row>
    <row r="2302" spans="1:4" x14ac:dyDescent="0.25">
      <c r="A2302">
        <v>90961</v>
      </c>
      <c r="B2302" s="3">
        <v>45001</v>
      </c>
      <c r="C2302" t="s">
        <v>33</v>
      </c>
      <c r="D2302">
        <v>2.334892563521862E-2</v>
      </c>
    </row>
    <row r="2303" spans="1:4" x14ac:dyDescent="0.25">
      <c r="A2303">
        <v>90961</v>
      </c>
      <c r="B2303" s="3">
        <v>45002</v>
      </c>
      <c r="C2303" t="s">
        <v>33</v>
      </c>
      <c r="D2303">
        <v>-3.3898334950208664E-2</v>
      </c>
    </row>
    <row r="2304" spans="1:4" x14ac:dyDescent="0.25">
      <c r="A2304">
        <v>90961</v>
      </c>
      <c r="B2304" s="3">
        <v>45005</v>
      </c>
      <c r="C2304" t="s">
        <v>33</v>
      </c>
      <c r="D2304">
        <v>8.097158744931221E-3</v>
      </c>
    </row>
    <row r="2305" spans="1:4" x14ac:dyDescent="0.25">
      <c r="A2305">
        <v>90961</v>
      </c>
      <c r="B2305" s="3">
        <v>45006</v>
      </c>
      <c r="C2305" t="s">
        <v>33</v>
      </c>
      <c r="D2305">
        <v>3.2797906547784805E-2</v>
      </c>
    </row>
    <row r="2306" spans="1:4" x14ac:dyDescent="0.25">
      <c r="A2306">
        <v>90961</v>
      </c>
      <c r="B2306" s="3">
        <v>45007</v>
      </c>
      <c r="C2306" t="s">
        <v>33</v>
      </c>
      <c r="D2306">
        <v>-1.8146511167287827E-2</v>
      </c>
    </row>
    <row r="2307" spans="1:4" x14ac:dyDescent="0.25">
      <c r="A2307">
        <v>90961</v>
      </c>
      <c r="B2307" s="3">
        <v>45008</v>
      </c>
      <c r="C2307" t="s">
        <v>33</v>
      </c>
      <c r="D2307">
        <v>-1.2541227042675018E-2</v>
      </c>
    </row>
    <row r="2308" spans="1:4" x14ac:dyDescent="0.25">
      <c r="A2308">
        <v>90961</v>
      </c>
      <c r="B2308" s="3">
        <v>45009</v>
      </c>
      <c r="C2308" t="s">
        <v>33</v>
      </c>
      <c r="D2308">
        <v>1.0026712901890278E-2</v>
      </c>
    </row>
    <row r="2309" spans="1:4" x14ac:dyDescent="0.25">
      <c r="A2309">
        <v>90961</v>
      </c>
      <c r="B2309" s="3">
        <v>45012</v>
      </c>
      <c r="C2309" t="s">
        <v>33</v>
      </c>
      <c r="D2309">
        <v>9.9272383376955986E-3</v>
      </c>
    </row>
    <row r="2310" spans="1:4" x14ac:dyDescent="0.25">
      <c r="A2310">
        <v>90961</v>
      </c>
      <c r="B2310" s="3">
        <v>45013</v>
      </c>
      <c r="C2310" t="s">
        <v>33</v>
      </c>
      <c r="D2310">
        <v>-1.2450886890292168E-2</v>
      </c>
    </row>
    <row r="2311" spans="1:4" x14ac:dyDescent="0.25">
      <c r="A2311">
        <v>90961</v>
      </c>
      <c r="B2311" s="3">
        <v>45014</v>
      </c>
      <c r="C2311" t="s">
        <v>33</v>
      </c>
      <c r="D2311">
        <v>-9.2899398878216743E-3</v>
      </c>
    </row>
    <row r="2312" spans="1:4" x14ac:dyDescent="0.25">
      <c r="A2312">
        <v>90961</v>
      </c>
      <c r="B2312" s="3">
        <v>45015</v>
      </c>
      <c r="C2312" t="s">
        <v>33</v>
      </c>
      <c r="D2312">
        <v>4.6885260380804539E-3</v>
      </c>
    </row>
    <row r="2313" spans="1:4" x14ac:dyDescent="0.25">
      <c r="A2313">
        <v>90961</v>
      </c>
      <c r="B2313" s="3">
        <v>45016</v>
      </c>
      <c r="C2313" t="s">
        <v>33</v>
      </c>
      <c r="D2313">
        <v>8.6666746065020561E-3</v>
      </c>
    </row>
    <row r="2314" spans="1:4" x14ac:dyDescent="0.25">
      <c r="A2314">
        <v>90961</v>
      </c>
      <c r="B2314" s="3">
        <v>45019</v>
      </c>
      <c r="C2314" t="s">
        <v>33</v>
      </c>
      <c r="D2314">
        <v>-2.0489122718572617E-2</v>
      </c>
    </row>
    <row r="2315" spans="1:4" x14ac:dyDescent="0.25">
      <c r="A2315">
        <v>90961</v>
      </c>
      <c r="B2315" s="3">
        <v>45020</v>
      </c>
      <c r="C2315" t="s">
        <v>33</v>
      </c>
      <c r="D2315">
        <v>-1.5519537962973118E-2</v>
      </c>
    </row>
    <row r="2316" spans="1:4" x14ac:dyDescent="0.25">
      <c r="A2316">
        <v>90961</v>
      </c>
      <c r="B2316" s="3">
        <v>45021</v>
      </c>
      <c r="C2316" t="s">
        <v>33</v>
      </c>
      <c r="D2316">
        <v>7.5393868610262871E-3</v>
      </c>
    </row>
    <row r="2317" spans="1:4" x14ac:dyDescent="0.25">
      <c r="A2317">
        <v>90961</v>
      </c>
      <c r="B2317" s="3">
        <v>45022</v>
      </c>
      <c r="C2317" t="s">
        <v>33</v>
      </c>
      <c r="D2317">
        <v>1.6326528042554855E-2</v>
      </c>
    </row>
    <row r="2318" spans="1:4" x14ac:dyDescent="0.25">
      <c r="A2318">
        <v>90961</v>
      </c>
      <c r="B2318" s="3">
        <v>45026</v>
      </c>
      <c r="C2318" t="s">
        <v>33</v>
      </c>
      <c r="D2318">
        <v>4.7490266151726246E-3</v>
      </c>
    </row>
    <row r="2319" spans="1:4" x14ac:dyDescent="0.25">
      <c r="A2319">
        <v>90961</v>
      </c>
      <c r="B2319" s="3">
        <v>45027</v>
      </c>
      <c r="C2319" t="s">
        <v>33</v>
      </c>
      <c r="D2319">
        <v>-1.0128330439329147E-2</v>
      </c>
    </row>
    <row r="2320" spans="1:4" x14ac:dyDescent="0.25">
      <c r="A2320">
        <v>90961</v>
      </c>
      <c r="B2320" s="3">
        <v>45028</v>
      </c>
      <c r="C2320" t="s">
        <v>33</v>
      </c>
      <c r="D2320">
        <v>-2.7285104151815176E-3</v>
      </c>
    </row>
    <row r="2321" spans="1:4" x14ac:dyDescent="0.25">
      <c r="A2321">
        <v>90961</v>
      </c>
      <c r="B2321" s="3">
        <v>45029</v>
      </c>
      <c r="C2321" t="s">
        <v>33</v>
      </c>
      <c r="D2321">
        <v>6.8401021417230368E-4</v>
      </c>
    </row>
    <row r="2322" spans="1:4" x14ac:dyDescent="0.25">
      <c r="A2322">
        <v>90961</v>
      </c>
      <c r="B2322" s="3">
        <v>45030</v>
      </c>
      <c r="C2322" t="s">
        <v>33</v>
      </c>
      <c r="D2322">
        <v>-1.093642134219408E-2</v>
      </c>
    </row>
    <row r="2323" spans="1:4" x14ac:dyDescent="0.25">
      <c r="A2323">
        <v>90961</v>
      </c>
      <c r="B2323" s="3">
        <v>45033</v>
      </c>
      <c r="C2323" t="s">
        <v>33</v>
      </c>
      <c r="D2323">
        <v>2.0732562988996506E-2</v>
      </c>
    </row>
    <row r="2324" spans="1:4" x14ac:dyDescent="0.25">
      <c r="A2324">
        <v>90961</v>
      </c>
      <c r="B2324" s="3">
        <v>45034</v>
      </c>
      <c r="C2324" t="s">
        <v>33</v>
      </c>
      <c r="D2324">
        <v>-2.6404896751046181E-2</v>
      </c>
    </row>
    <row r="2325" spans="1:4" x14ac:dyDescent="0.25">
      <c r="A2325">
        <v>90961</v>
      </c>
      <c r="B2325" s="3">
        <v>45035</v>
      </c>
      <c r="C2325" t="s">
        <v>33</v>
      </c>
      <c r="D2325">
        <v>7.6494892127811909E-3</v>
      </c>
    </row>
    <row r="2326" spans="1:4" x14ac:dyDescent="0.25">
      <c r="A2326">
        <v>90961</v>
      </c>
      <c r="B2326" s="3">
        <v>45036</v>
      </c>
      <c r="C2326" t="s">
        <v>33</v>
      </c>
      <c r="D2326">
        <v>-2.0703750196844339E-3</v>
      </c>
    </row>
    <row r="2327" spans="1:4" x14ac:dyDescent="0.25">
      <c r="A2327">
        <v>90961</v>
      </c>
      <c r="B2327" s="3">
        <v>45037</v>
      </c>
      <c r="C2327" t="s">
        <v>33</v>
      </c>
      <c r="D2327">
        <v>-4.8409192822873592E-3</v>
      </c>
    </row>
    <row r="2328" spans="1:4" x14ac:dyDescent="0.25">
      <c r="A2328">
        <v>90961</v>
      </c>
      <c r="B2328" s="3">
        <v>45040</v>
      </c>
      <c r="C2328" t="s">
        <v>33</v>
      </c>
      <c r="D2328">
        <v>-3.4746483433991671E-3</v>
      </c>
    </row>
    <row r="2329" spans="1:4" x14ac:dyDescent="0.25">
      <c r="A2329">
        <v>90961</v>
      </c>
      <c r="B2329" s="3">
        <v>45041</v>
      </c>
      <c r="C2329" t="s">
        <v>33</v>
      </c>
      <c r="D2329">
        <v>-2.7196675539016724E-2</v>
      </c>
    </row>
    <row r="2330" spans="1:4" x14ac:dyDescent="0.25">
      <c r="A2330">
        <v>90961</v>
      </c>
      <c r="B2330" s="3">
        <v>45042</v>
      </c>
      <c r="C2330" t="s">
        <v>33</v>
      </c>
      <c r="D2330">
        <v>1.0752729140222073E-2</v>
      </c>
    </row>
    <row r="2331" spans="1:4" x14ac:dyDescent="0.25">
      <c r="A2331">
        <v>90961</v>
      </c>
      <c r="B2331" s="3">
        <v>45043</v>
      </c>
      <c r="C2331" t="s">
        <v>33</v>
      </c>
      <c r="D2331">
        <v>1.4184045139700174E-3</v>
      </c>
    </row>
    <row r="2332" spans="1:4" x14ac:dyDescent="0.25">
      <c r="A2332">
        <v>90961</v>
      </c>
      <c r="B2332" s="3">
        <v>45044</v>
      </c>
      <c r="C2332" t="s">
        <v>33</v>
      </c>
      <c r="D2332">
        <v>-1.9121777266263962E-2</v>
      </c>
    </row>
    <row r="2333" spans="1:4" x14ac:dyDescent="0.25">
      <c r="A2333">
        <v>90961</v>
      </c>
      <c r="B2333" s="3">
        <v>45047</v>
      </c>
      <c r="C2333" t="s">
        <v>33</v>
      </c>
      <c r="D2333">
        <v>-7.2202440351247787E-3</v>
      </c>
    </row>
    <row r="2334" spans="1:4" x14ac:dyDescent="0.25">
      <c r="A2334">
        <v>90961</v>
      </c>
      <c r="B2334" s="3">
        <v>45048</v>
      </c>
      <c r="C2334" t="s">
        <v>33</v>
      </c>
      <c r="D2334">
        <v>2.1817986853420734E-3</v>
      </c>
    </row>
    <row r="2335" spans="1:4" x14ac:dyDescent="0.25">
      <c r="A2335">
        <v>90961</v>
      </c>
      <c r="B2335" s="3">
        <v>45049</v>
      </c>
      <c r="C2335" t="s">
        <v>33</v>
      </c>
      <c r="D2335">
        <v>-1.4513428322970867E-3</v>
      </c>
    </row>
    <row r="2336" spans="1:4" x14ac:dyDescent="0.25">
      <c r="A2336">
        <v>90961</v>
      </c>
      <c r="B2336" s="3">
        <v>45050</v>
      </c>
      <c r="C2336" t="s">
        <v>33</v>
      </c>
      <c r="D2336">
        <v>-1.7441842705011368E-2</v>
      </c>
    </row>
    <row r="2337" spans="1:4" x14ac:dyDescent="0.25">
      <c r="A2337">
        <v>90961</v>
      </c>
      <c r="B2337" s="3">
        <v>45051</v>
      </c>
      <c r="C2337" t="s">
        <v>33</v>
      </c>
      <c r="D2337">
        <v>2.6627192273736E-2</v>
      </c>
    </row>
    <row r="2338" spans="1:4" x14ac:dyDescent="0.25">
      <c r="A2338">
        <v>90961</v>
      </c>
      <c r="B2338" s="3">
        <v>45054</v>
      </c>
      <c r="C2338" t="s">
        <v>33</v>
      </c>
      <c r="D2338">
        <v>2.1613640710711479E-3</v>
      </c>
    </row>
    <row r="2339" spans="1:4" x14ac:dyDescent="0.25">
      <c r="A2339">
        <v>90961</v>
      </c>
      <c r="B2339" s="3">
        <v>45055</v>
      </c>
      <c r="C2339" t="s">
        <v>33</v>
      </c>
      <c r="D2339">
        <v>-2.8756263200193644E-3</v>
      </c>
    </row>
    <row r="2340" spans="1:4" x14ac:dyDescent="0.25">
      <c r="A2340">
        <v>90961</v>
      </c>
      <c r="B2340" s="3">
        <v>45056</v>
      </c>
      <c r="C2340" t="s">
        <v>33</v>
      </c>
      <c r="D2340">
        <v>-1.8024513497948647E-2</v>
      </c>
    </row>
    <row r="2341" spans="1:4" x14ac:dyDescent="0.25">
      <c r="A2341">
        <v>90961</v>
      </c>
      <c r="B2341" s="3">
        <v>45057</v>
      </c>
      <c r="C2341" t="s">
        <v>33</v>
      </c>
      <c r="D2341">
        <v>-2.2760607302188873E-2</v>
      </c>
    </row>
    <row r="2342" spans="1:4" x14ac:dyDescent="0.25">
      <c r="A2342">
        <v>90961</v>
      </c>
      <c r="B2342" s="3">
        <v>45058</v>
      </c>
      <c r="C2342" t="s">
        <v>33</v>
      </c>
      <c r="D2342">
        <v>0</v>
      </c>
    </row>
    <row r="2343" spans="1:4" x14ac:dyDescent="0.25">
      <c r="A2343">
        <v>90961</v>
      </c>
      <c r="B2343" s="3">
        <v>45061</v>
      </c>
      <c r="C2343" t="s">
        <v>33</v>
      </c>
      <c r="D2343">
        <v>-1.3523688539862633E-2</v>
      </c>
    </row>
    <row r="2344" spans="1:4" x14ac:dyDescent="0.25">
      <c r="A2344">
        <v>90961</v>
      </c>
      <c r="B2344" s="3">
        <v>45062</v>
      </c>
      <c r="C2344" t="s">
        <v>33</v>
      </c>
      <c r="D2344">
        <v>7.6163205085322261E-4</v>
      </c>
    </row>
    <row r="2345" spans="1:4" x14ac:dyDescent="0.25">
      <c r="A2345">
        <v>90961</v>
      </c>
      <c r="B2345" s="3">
        <v>45063</v>
      </c>
      <c r="C2345" t="s">
        <v>33</v>
      </c>
      <c r="D2345">
        <v>4.8706192523241043E-2</v>
      </c>
    </row>
    <row r="2346" spans="1:4" x14ac:dyDescent="0.25">
      <c r="A2346">
        <v>90961</v>
      </c>
      <c r="B2346" s="3">
        <v>45064</v>
      </c>
      <c r="C2346" t="s">
        <v>33</v>
      </c>
      <c r="D2346">
        <v>-1.4513428322970867E-3</v>
      </c>
    </row>
    <row r="2347" spans="1:4" x14ac:dyDescent="0.25">
      <c r="A2347">
        <v>90961</v>
      </c>
      <c r="B2347" s="3">
        <v>45065</v>
      </c>
      <c r="C2347" t="s">
        <v>33</v>
      </c>
      <c r="D2347">
        <v>-1.8168604001402855E-2</v>
      </c>
    </row>
    <row r="2348" spans="1:4" x14ac:dyDescent="0.25">
      <c r="A2348">
        <v>90961</v>
      </c>
      <c r="B2348" s="3">
        <v>45068</v>
      </c>
      <c r="C2348" t="s">
        <v>33</v>
      </c>
      <c r="D2348">
        <v>1.480383425951004E-2</v>
      </c>
    </row>
    <row r="2349" spans="1:4" x14ac:dyDescent="0.25">
      <c r="A2349">
        <v>90961</v>
      </c>
      <c r="B2349" s="3">
        <v>45069</v>
      </c>
      <c r="C2349" t="s">
        <v>33</v>
      </c>
      <c r="D2349">
        <v>2.1881642751395702E-3</v>
      </c>
    </row>
    <row r="2350" spans="1:4" x14ac:dyDescent="0.25">
      <c r="A2350">
        <v>90961</v>
      </c>
      <c r="B2350" s="3">
        <v>45070</v>
      </c>
      <c r="C2350" t="s">
        <v>33</v>
      </c>
      <c r="D2350">
        <v>-7.2781869675964117E-4</v>
      </c>
    </row>
    <row r="2351" spans="1:4" x14ac:dyDescent="0.25">
      <c r="A2351">
        <v>90961</v>
      </c>
      <c r="B2351" s="3">
        <v>45071</v>
      </c>
      <c r="C2351" t="s">
        <v>33</v>
      </c>
      <c r="D2351">
        <v>-5.098302848637104E-3</v>
      </c>
    </row>
    <row r="2352" spans="1:4" x14ac:dyDescent="0.25">
      <c r="A2352">
        <v>90961</v>
      </c>
      <c r="B2352" s="3">
        <v>45072</v>
      </c>
      <c r="C2352" t="s">
        <v>33</v>
      </c>
      <c r="D2352">
        <v>-1.4640925219282508E-3</v>
      </c>
    </row>
    <row r="2353" spans="1:4" x14ac:dyDescent="0.25">
      <c r="A2353">
        <v>90961</v>
      </c>
      <c r="B2353" s="3">
        <v>45076</v>
      </c>
      <c r="C2353" t="s">
        <v>33</v>
      </c>
      <c r="D2353">
        <v>1.026388444006443E-2</v>
      </c>
    </row>
    <row r="2354" spans="1:4" x14ac:dyDescent="0.25">
      <c r="A2354">
        <v>90961</v>
      </c>
      <c r="B2354" s="3">
        <v>45077</v>
      </c>
      <c r="C2354" t="s">
        <v>33</v>
      </c>
      <c r="D2354">
        <v>-1.8867872655391693E-2</v>
      </c>
    </row>
    <row r="2355" spans="1:4" x14ac:dyDescent="0.25">
      <c r="A2355">
        <v>90961</v>
      </c>
      <c r="B2355" s="3">
        <v>45078</v>
      </c>
      <c r="C2355" t="s">
        <v>33</v>
      </c>
      <c r="D2355">
        <v>3.4023601561784744E-2</v>
      </c>
    </row>
    <row r="2356" spans="1:4" x14ac:dyDescent="0.25">
      <c r="A2356">
        <v>90961</v>
      </c>
      <c r="B2356" s="3">
        <v>45079</v>
      </c>
      <c r="C2356" t="s">
        <v>33</v>
      </c>
      <c r="D2356">
        <v>4.4349130243062973E-2</v>
      </c>
    </row>
    <row r="2357" spans="1:4" x14ac:dyDescent="0.25">
      <c r="A2357">
        <v>90961</v>
      </c>
      <c r="B2357" s="3">
        <v>45082</v>
      </c>
      <c r="C2357" t="s">
        <v>33</v>
      </c>
      <c r="D2357">
        <v>2.0547760650515556E-3</v>
      </c>
    </row>
    <row r="2358" spans="1:4" x14ac:dyDescent="0.25">
      <c r="A2358">
        <v>90961</v>
      </c>
      <c r="B2358" s="3">
        <v>45083</v>
      </c>
      <c r="C2358" t="s">
        <v>33</v>
      </c>
      <c r="D2358">
        <v>4.0328104048967361E-2</v>
      </c>
    </row>
    <row r="2359" spans="1:4" x14ac:dyDescent="0.25">
      <c r="A2359">
        <v>90961</v>
      </c>
      <c r="B2359" s="3">
        <v>45084</v>
      </c>
      <c r="C2359" t="s">
        <v>33</v>
      </c>
      <c r="D2359">
        <v>1.5768710523843765E-2</v>
      </c>
    </row>
    <row r="2360" spans="1:4" x14ac:dyDescent="0.25">
      <c r="A2360">
        <v>90961</v>
      </c>
      <c r="B2360" s="3">
        <v>45085</v>
      </c>
      <c r="C2360" t="s">
        <v>33</v>
      </c>
      <c r="D2360">
        <v>-9.0556498616933823E-3</v>
      </c>
    </row>
    <row r="2361" spans="1:4" x14ac:dyDescent="0.25">
      <c r="A2361">
        <v>90961</v>
      </c>
      <c r="B2361" s="3">
        <v>45086</v>
      </c>
      <c r="C2361" t="s">
        <v>33</v>
      </c>
      <c r="D2361">
        <v>-1.5665782615542412E-2</v>
      </c>
    </row>
    <row r="2362" spans="1:4" x14ac:dyDescent="0.25">
      <c r="A2362">
        <v>90961</v>
      </c>
      <c r="B2362" s="3">
        <v>45089</v>
      </c>
      <c r="C2362" t="s">
        <v>33</v>
      </c>
      <c r="D2362">
        <v>5.3050345741212368E-3</v>
      </c>
    </row>
    <row r="2363" spans="1:4" x14ac:dyDescent="0.25">
      <c r="A2363">
        <v>90961</v>
      </c>
      <c r="B2363" s="3">
        <v>45090</v>
      </c>
      <c r="C2363" t="s">
        <v>33</v>
      </c>
      <c r="D2363">
        <v>1.1213725432753563E-2</v>
      </c>
    </row>
    <row r="2364" spans="1:4" x14ac:dyDescent="0.25">
      <c r="A2364">
        <v>90961</v>
      </c>
      <c r="B2364" s="3">
        <v>45091</v>
      </c>
      <c r="C2364" t="s">
        <v>33</v>
      </c>
      <c r="D2364">
        <v>-9.784710593521595E-3</v>
      </c>
    </row>
    <row r="2365" spans="1:4" x14ac:dyDescent="0.25">
      <c r="A2365">
        <v>90961</v>
      </c>
      <c r="B2365" s="3">
        <v>45092</v>
      </c>
      <c r="C2365" t="s">
        <v>33</v>
      </c>
      <c r="D2365">
        <v>0</v>
      </c>
    </row>
    <row r="2366" spans="1:4" x14ac:dyDescent="0.25">
      <c r="A2366">
        <v>90961</v>
      </c>
      <c r="B2366" s="3">
        <v>45093</v>
      </c>
      <c r="C2366" t="s">
        <v>33</v>
      </c>
      <c r="D2366">
        <v>-1.5151547268033028E-2</v>
      </c>
    </row>
    <row r="2367" spans="1:4" x14ac:dyDescent="0.25">
      <c r="A2367">
        <v>90961</v>
      </c>
      <c r="B2367" s="3">
        <v>45097</v>
      </c>
      <c r="C2367" t="s">
        <v>33</v>
      </c>
      <c r="D2367">
        <v>-2.073574997484684E-2</v>
      </c>
    </row>
    <row r="2368" spans="1:4" x14ac:dyDescent="0.25">
      <c r="A2368">
        <v>90961</v>
      </c>
      <c r="B2368" s="3">
        <v>45098</v>
      </c>
      <c r="C2368" t="s">
        <v>33</v>
      </c>
      <c r="D2368">
        <v>-1.4344264753162861E-2</v>
      </c>
    </row>
    <row r="2369" spans="1:4" x14ac:dyDescent="0.25">
      <c r="A2369">
        <v>90961</v>
      </c>
      <c r="B2369" s="3">
        <v>45099</v>
      </c>
      <c r="C2369" t="s">
        <v>33</v>
      </c>
      <c r="D2369">
        <v>4.1579669341444969E-3</v>
      </c>
    </row>
    <row r="2370" spans="1:4" x14ac:dyDescent="0.25">
      <c r="A2370">
        <v>90961</v>
      </c>
      <c r="B2370" s="3">
        <v>45100</v>
      </c>
      <c r="C2370" t="s">
        <v>33</v>
      </c>
      <c r="D2370">
        <v>4.8309625126421452E-3</v>
      </c>
    </row>
    <row r="2371" spans="1:4" x14ac:dyDescent="0.25">
      <c r="A2371">
        <v>90961</v>
      </c>
      <c r="B2371" s="3">
        <v>45103</v>
      </c>
      <c r="C2371" t="s">
        <v>33</v>
      </c>
      <c r="D2371">
        <v>-8.2418154925107956E-3</v>
      </c>
    </row>
    <row r="2372" spans="1:4" x14ac:dyDescent="0.25">
      <c r="A2372">
        <v>90961</v>
      </c>
      <c r="B2372" s="3">
        <v>45104</v>
      </c>
      <c r="C2372" t="s">
        <v>33</v>
      </c>
      <c r="D2372">
        <v>6.9253664696589112E-4</v>
      </c>
    </row>
    <row r="2373" spans="1:4" x14ac:dyDescent="0.25">
      <c r="A2373">
        <v>90961</v>
      </c>
      <c r="B2373" s="3">
        <v>45105</v>
      </c>
      <c r="C2373" t="s">
        <v>33</v>
      </c>
      <c r="D2373">
        <v>6.2283845618367195E-3</v>
      </c>
    </row>
    <row r="2374" spans="1:4" x14ac:dyDescent="0.25">
      <c r="A2374">
        <v>90961</v>
      </c>
      <c r="B2374" s="3">
        <v>45106</v>
      </c>
      <c r="C2374" t="s">
        <v>33</v>
      </c>
      <c r="D2374">
        <v>1.1691889725625515E-2</v>
      </c>
    </row>
    <row r="2375" spans="1:4" x14ac:dyDescent="0.25">
      <c r="A2375">
        <v>90961</v>
      </c>
      <c r="B2375" s="3">
        <v>45107</v>
      </c>
      <c r="C2375" t="s">
        <v>33</v>
      </c>
      <c r="D2375">
        <v>-1.4955830760300159E-2</v>
      </c>
    </row>
    <row r="2376" spans="1:4" x14ac:dyDescent="0.25">
      <c r="A2376">
        <v>90961</v>
      </c>
      <c r="B2376" s="3">
        <v>45110</v>
      </c>
      <c r="C2376" t="s">
        <v>33</v>
      </c>
      <c r="D2376">
        <v>1.0352006182074547E-2</v>
      </c>
    </row>
    <row r="2377" spans="1:4" x14ac:dyDescent="0.25">
      <c r="A2377">
        <v>90961</v>
      </c>
      <c r="B2377" s="3">
        <v>45112</v>
      </c>
      <c r="C2377" t="s">
        <v>33</v>
      </c>
      <c r="D2377">
        <v>3.4152483567595482E-3</v>
      </c>
    </row>
    <row r="2378" spans="1:4" x14ac:dyDescent="0.25">
      <c r="A2378">
        <v>90961</v>
      </c>
      <c r="B2378" s="3">
        <v>45113</v>
      </c>
      <c r="C2378" t="s">
        <v>33</v>
      </c>
      <c r="D2378">
        <v>-7.4880640022456646E-3</v>
      </c>
    </row>
    <row r="2379" spans="1:4" x14ac:dyDescent="0.25">
      <c r="A2379">
        <v>90961</v>
      </c>
      <c r="B2379" s="3">
        <v>45114</v>
      </c>
      <c r="C2379" t="s">
        <v>33</v>
      </c>
      <c r="D2379">
        <v>7.5445715337991714E-3</v>
      </c>
    </row>
    <row r="2380" spans="1:4" x14ac:dyDescent="0.25">
      <c r="A2380">
        <v>90961</v>
      </c>
      <c r="B2380" s="3">
        <v>45117</v>
      </c>
      <c r="C2380" t="s">
        <v>33</v>
      </c>
      <c r="D2380">
        <v>-3.4506688825786114E-3</v>
      </c>
    </row>
    <row r="2381" spans="1:4" x14ac:dyDescent="0.25">
      <c r="A2381">
        <v>90961</v>
      </c>
      <c r="B2381" s="3">
        <v>45118</v>
      </c>
      <c r="C2381" t="s">
        <v>33</v>
      </c>
      <c r="D2381">
        <v>1.0387851856648922E-2</v>
      </c>
    </row>
    <row r="2382" spans="1:4" x14ac:dyDescent="0.25">
      <c r="A2382">
        <v>90961</v>
      </c>
      <c r="B2382" s="3">
        <v>45119</v>
      </c>
      <c r="C2382" t="s">
        <v>33</v>
      </c>
      <c r="D2382">
        <v>6.1686187982559204E-3</v>
      </c>
    </row>
    <row r="2383" spans="1:4" x14ac:dyDescent="0.25">
      <c r="A2383">
        <v>90961</v>
      </c>
      <c r="B2383" s="3">
        <v>45120</v>
      </c>
      <c r="C2383" t="s">
        <v>33</v>
      </c>
      <c r="D2383">
        <v>6.8114954046905041E-4</v>
      </c>
    </row>
    <row r="2384" spans="1:4" x14ac:dyDescent="0.25">
      <c r="A2384">
        <v>90961</v>
      </c>
      <c r="B2384" s="3">
        <v>45121</v>
      </c>
      <c r="C2384" t="s">
        <v>33</v>
      </c>
      <c r="D2384">
        <v>-1.3614690862596035E-2</v>
      </c>
    </row>
    <row r="2385" spans="1:4" x14ac:dyDescent="0.25">
      <c r="A2385">
        <v>90961</v>
      </c>
      <c r="B2385" s="3">
        <v>45124</v>
      </c>
      <c r="C2385" t="s">
        <v>33</v>
      </c>
      <c r="D2385">
        <v>6.2111909501254559E-3</v>
      </c>
    </row>
    <row r="2386" spans="1:4" x14ac:dyDescent="0.25">
      <c r="A2386">
        <v>90961</v>
      </c>
      <c r="B2386" s="3">
        <v>45125</v>
      </c>
      <c r="C2386" t="s">
        <v>33</v>
      </c>
      <c r="D2386">
        <v>1.303158700466156E-2</v>
      </c>
    </row>
    <row r="2387" spans="1:4" x14ac:dyDescent="0.25">
      <c r="A2387">
        <v>90961</v>
      </c>
      <c r="B2387" s="3">
        <v>45126</v>
      </c>
      <c r="C2387" t="s">
        <v>33</v>
      </c>
      <c r="D2387">
        <v>1.6926201060414314E-2</v>
      </c>
    </row>
    <row r="2388" spans="1:4" x14ac:dyDescent="0.25">
      <c r="A2388">
        <v>90961</v>
      </c>
      <c r="B2388" s="3">
        <v>45127</v>
      </c>
      <c r="C2388" t="s">
        <v>33</v>
      </c>
      <c r="D2388">
        <v>-2.6631767395883799E-3</v>
      </c>
    </row>
    <row r="2389" spans="1:4" x14ac:dyDescent="0.25">
      <c r="A2389">
        <v>90961</v>
      </c>
      <c r="B2389" s="3">
        <v>45128</v>
      </c>
      <c r="C2389" t="s">
        <v>33</v>
      </c>
      <c r="D2389">
        <v>-5.340449046343565E-3</v>
      </c>
    </row>
    <row r="2390" spans="1:4" x14ac:dyDescent="0.25">
      <c r="A2390">
        <v>90961</v>
      </c>
      <c r="B2390" s="3">
        <v>45131</v>
      </c>
      <c r="C2390" t="s">
        <v>33</v>
      </c>
      <c r="D2390">
        <v>1.1409400962293148E-2</v>
      </c>
    </row>
    <row r="2391" spans="1:4" x14ac:dyDescent="0.25">
      <c r="A2391">
        <v>90961</v>
      </c>
      <c r="B2391" s="3">
        <v>45132</v>
      </c>
      <c r="C2391" t="s">
        <v>33</v>
      </c>
      <c r="D2391">
        <v>-2.1897805854678154E-2</v>
      </c>
    </row>
    <row r="2392" spans="1:4" x14ac:dyDescent="0.25">
      <c r="A2392">
        <v>90961</v>
      </c>
      <c r="B2392" s="3">
        <v>45133</v>
      </c>
      <c r="C2392" t="s">
        <v>33</v>
      </c>
      <c r="D2392">
        <v>-3.7313446402549744E-2</v>
      </c>
    </row>
    <row r="2393" spans="1:4" x14ac:dyDescent="0.25">
      <c r="A2393">
        <v>90961</v>
      </c>
      <c r="B2393" s="3">
        <v>45134</v>
      </c>
      <c r="C2393" t="s">
        <v>33</v>
      </c>
      <c r="D2393">
        <v>2.1142133045941591E-3</v>
      </c>
    </row>
    <row r="2394" spans="1:4" x14ac:dyDescent="0.25">
      <c r="A2394">
        <v>90961</v>
      </c>
      <c r="B2394" s="3">
        <v>45135</v>
      </c>
      <c r="C2394" t="s">
        <v>33</v>
      </c>
      <c r="D2394">
        <v>-6.3291243277490139E-3</v>
      </c>
    </row>
    <row r="2395" spans="1:4" x14ac:dyDescent="0.25">
      <c r="A2395">
        <v>90961</v>
      </c>
      <c r="B2395" s="3">
        <v>45138</v>
      </c>
      <c r="C2395" t="s">
        <v>33</v>
      </c>
      <c r="D2395">
        <v>-1.2738875113427639E-2</v>
      </c>
    </row>
    <row r="2396" spans="1:4" x14ac:dyDescent="0.25">
      <c r="A2396">
        <v>90961</v>
      </c>
      <c r="B2396" s="3">
        <v>45139</v>
      </c>
      <c r="C2396" t="s">
        <v>33</v>
      </c>
      <c r="D2396">
        <v>-1.7921147868037224E-2</v>
      </c>
    </row>
    <row r="2397" spans="1:4" x14ac:dyDescent="0.25">
      <c r="A2397">
        <v>90961</v>
      </c>
      <c r="B2397" s="3">
        <v>45140</v>
      </c>
      <c r="C2397" t="s">
        <v>33</v>
      </c>
      <c r="D2397">
        <v>2.9197053518146276E-3</v>
      </c>
    </row>
    <row r="2398" spans="1:4" x14ac:dyDescent="0.25">
      <c r="A2398">
        <v>90961</v>
      </c>
      <c r="B2398" s="3">
        <v>45141</v>
      </c>
      <c r="C2398" t="s">
        <v>33</v>
      </c>
      <c r="D2398">
        <v>-7.2781869675964117E-4</v>
      </c>
    </row>
    <row r="2399" spans="1:4" x14ac:dyDescent="0.25">
      <c r="A2399">
        <v>90961</v>
      </c>
      <c r="B2399" s="3">
        <v>45142</v>
      </c>
      <c r="C2399" t="s">
        <v>33</v>
      </c>
      <c r="D2399">
        <v>-2.1849770564585924E-3</v>
      </c>
    </row>
    <row r="2400" spans="1:4" x14ac:dyDescent="0.25">
      <c r="A2400">
        <v>90961</v>
      </c>
      <c r="B2400" s="3">
        <v>45145</v>
      </c>
      <c r="C2400" t="s">
        <v>33</v>
      </c>
      <c r="D2400">
        <v>6.5693543292582035E-3</v>
      </c>
    </row>
    <row r="2401" spans="1:4" x14ac:dyDescent="0.25">
      <c r="A2401">
        <v>90961</v>
      </c>
      <c r="B2401" s="3">
        <v>45146</v>
      </c>
      <c r="C2401" t="s">
        <v>33</v>
      </c>
      <c r="D2401">
        <v>-2.3205198347568512E-2</v>
      </c>
    </row>
    <row r="2402" spans="1:4" x14ac:dyDescent="0.25">
      <c r="A2402">
        <v>90961</v>
      </c>
      <c r="B2402" s="3">
        <v>45147</v>
      </c>
      <c r="C2402" t="s">
        <v>33</v>
      </c>
      <c r="D2402">
        <v>-5.9391180984675884E-3</v>
      </c>
    </row>
    <row r="2403" spans="1:4" x14ac:dyDescent="0.25">
      <c r="A2403">
        <v>90961</v>
      </c>
      <c r="B2403" s="3">
        <v>45148</v>
      </c>
      <c r="C2403" t="s">
        <v>33</v>
      </c>
      <c r="D2403">
        <v>-1.3442890718579292E-2</v>
      </c>
    </row>
    <row r="2404" spans="1:4" x14ac:dyDescent="0.25">
      <c r="A2404">
        <v>90961</v>
      </c>
      <c r="B2404" s="3">
        <v>45149</v>
      </c>
      <c r="C2404" t="s">
        <v>33</v>
      </c>
      <c r="D2404">
        <v>-4.5420452952384949E-3</v>
      </c>
    </row>
    <row r="2405" spans="1:4" x14ac:dyDescent="0.25">
      <c r="A2405">
        <v>90961</v>
      </c>
      <c r="B2405" s="3">
        <v>45152</v>
      </c>
      <c r="C2405" t="s">
        <v>33</v>
      </c>
      <c r="D2405">
        <v>-3.8022233638912439E-3</v>
      </c>
    </row>
    <row r="2406" spans="1:4" x14ac:dyDescent="0.25">
      <c r="A2406">
        <v>90961</v>
      </c>
      <c r="B2406" s="3">
        <v>45153</v>
      </c>
      <c r="C2406" t="s">
        <v>33</v>
      </c>
      <c r="D2406">
        <v>-3.6641258746385574E-2</v>
      </c>
    </row>
    <row r="2407" spans="1:4" x14ac:dyDescent="0.25">
      <c r="A2407">
        <v>90961</v>
      </c>
      <c r="B2407" s="3">
        <v>45154</v>
      </c>
      <c r="C2407" t="s">
        <v>33</v>
      </c>
      <c r="D2407">
        <v>-1.6640257090330124E-2</v>
      </c>
    </row>
    <row r="2408" spans="1:4" x14ac:dyDescent="0.25">
      <c r="A2408">
        <v>90961</v>
      </c>
      <c r="B2408" s="3">
        <v>45155</v>
      </c>
      <c r="C2408" t="s">
        <v>33</v>
      </c>
      <c r="D2408">
        <v>2.4174068123102188E-2</v>
      </c>
    </row>
    <row r="2409" spans="1:4" x14ac:dyDescent="0.25">
      <c r="A2409">
        <v>90961</v>
      </c>
      <c r="B2409" s="3">
        <v>45156</v>
      </c>
      <c r="C2409" t="s">
        <v>33</v>
      </c>
      <c r="D2409">
        <v>-3.9339251816272736E-3</v>
      </c>
    </row>
    <row r="2410" spans="1:4" x14ac:dyDescent="0.25">
      <c r="A2410">
        <v>90961</v>
      </c>
      <c r="B2410" s="3">
        <v>45159</v>
      </c>
      <c r="C2410" t="s">
        <v>33</v>
      </c>
      <c r="D2410">
        <v>-1.7377588897943497E-2</v>
      </c>
    </row>
    <row r="2411" spans="1:4" x14ac:dyDescent="0.25">
      <c r="A2411">
        <v>90961</v>
      </c>
      <c r="B2411" s="3">
        <v>45160</v>
      </c>
      <c r="C2411" t="s">
        <v>33</v>
      </c>
      <c r="D2411">
        <v>-1.0450094006955624E-2</v>
      </c>
    </row>
    <row r="2412" spans="1:4" x14ac:dyDescent="0.25">
      <c r="A2412">
        <v>90961</v>
      </c>
      <c r="B2412" s="3">
        <v>45161</v>
      </c>
      <c r="C2412" t="s">
        <v>33</v>
      </c>
      <c r="D2412">
        <v>-2.4370986502617598E-3</v>
      </c>
    </row>
    <row r="2413" spans="1:4" x14ac:dyDescent="0.25">
      <c r="A2413">
        <v>90961</v>
      </c>
      <c r="B2413" s="3">
        <v>45162</v>
      </c>
      <c r="C2413" t="s">
        <v>33</v>
      </c>
      <c r="D2413">
        <v>1.3029303401708603E-2</v>
      </c>
    </row>
    <row r="2414" spans="1:4" x14ac:dyDescent="0.25">
      <c r="A2414">
        <v>90961</v>
      </c>
      <c r="B2414" s="3">
        <v>45163</v>
      </c>
      <c r="C2414" t="s">
        <v>33</v>
      </c>
      <c r="D2414">
        <v>1.6077539185062051E-3</v>
      </c>
    </row>
    <row r="2415" spans="1:4" x14ac:dyDescent="0.25">
      <c r="A2415">
        <v>90961</v>
      </c>
      <c r="B2415" s="3">
        <v>45166</v>
      </c>
      <c r="C2415" t="s">
        <v>33</v>
      </c>
      <c r="D2415">
        <v>6.4205396920442581E-3</v>
      </c>
    </row>
    <row r="2416" spans="1:4" x14ac:dyDescent="0.25">
      <c r="A2416">
        <v>90961</v>
      </c>
      <c r="B2416" s="3">
        <v>45167</v>
      </c>
      <c r="C2416" t="s">
        <v>33</v>
      </c>
      <c r="D2416">
        <v>3.1897895969450474E-3</v>
      </c>
    </row>
    <row r="2417" spans="1:4" x14ac:dyDescent="0.25">
      <c r="A2417">
        <v>90961</v>
      </c>
      <c r="B2417" s="3">
        <v>45168</v>
      </c>
      <c r="C2417" t="s">
        <v>33</v>
      </c>
      <c r="D2417">
        <v>-1.0333872400224209E-2</v>
      </c>
    </row>
    <row r="2418" spans="1:4" x14ac:dyDescent="0.25">
      <c r="A2418">
        <v>90961</v>
      </c>
      <c r="B2418" s="3">
        <v>45169</v>
      </c>
      <c r="C2418" t="s">
        <v>33</v>
      </c>
      <c r="D2418">
        <v>-3.2128484454005957E-3</v>
      </c>
    </row>
    <row r="2419" spans="1:4" x14ac:dyDescent="0.25">
      <c r="A2419">
        <v>90961</v>
      </c>
      <c r="B2419" s="3">
        <v>45170</v>
      </c>
      <c r="C2419" t="s">
        <v>33</v>
      </c>
      <c r="D2419">
        <v>3.5455320030450821E-2</v>
      </c>
    </row>
    <row r="2420" spans="1:4" x14ac:dyDescent="0.25">
      <c r="A2420">
        <v>90961</v>
      </c>
      <c r="B2420" s="3">
        <v>45174</v>
      </c>
      <c r="C2420" t="s">
        <v>33</v>
      </c>
      <c r="D2420">
        <v>-3.1128447502851486E-2</v>
      </c>
    </row>
    <row r="2421" spans="1:4" x14ac:dyDescent="0.25">
      <c r="A2421">
        <v>90961</v>
      </c>
      <c r="B2421" s="3">
        <v>45175</v>
      </c>
      <c r="C2421" t="s">
        <v>33</v>
      </c>
      <c r="D2421">
        <v>-2.1686706691980362E-2</v>
      </c>
    </row>
    <row r="2422" spans="1:4" x14ac:dyDescent="0.25">
      <c r="A2422">
        <v>90961</v>
      </c>
      <c r="B2422" s="3">
        <v>45176</v>
      </c>
      <c r="C2422" t="s">
        <v>33</v>
      </c>
      <c r="D2422">
        <v>4.1050277650356293E-3</v>
      </c>
    </row>
    <row r="2423" spans="1:4" x14ac:dyDescent="0.25">
      <c r="A2423">
        <v>90961</v>
      </c>
      <c r="B2423" s="3">
        <v>45177</v>
      </c>
      <c r="C2423" t="s">
        <v>33</v>
      </c>
      <c r="D2423">
        <v>6.5413638949394226E-3</v>
      </c>
    </row>
    <row r="2424" spans="1:4" x14ac:dyDescent="0.25">
      <c r="A2424">
        <v>90961</v>
      </c>
      <c r="B2424" s="3">
        <v>45180</v>
      </c>
      <c r="C2424" t="s">
        <v>33</v>
      </c>
      <c r="D2424">
        <v>-5.6864861398935318E-3</v>
      </c>
    </row>
    <row r="2425" spans="1:4" x14ac:dyDescent="0.25">
      <c r="A2425">
        <v>90961</v>
      </c>
      <c r="B2425" s="3">
        <v>45181</v>
      </c>
      <c r="C2425" t="s">
        <v>33</v>
      </c>
      <c r="D2425">
        <v>0</v>
      </c>
    </row>
    <row r="2426" spans="1:4" x14ac:dyDescent="0.25">
      <c r="A2426">
        <v>90961</v>
      </c>
      <c r="B2426" s="3">
        <v>45182</v>
      </c>
      <c r="C2426" t="s">
        <v>33</v>
      </c>
      <c r="D2426">
        <v>-1.3888895511627197E-2</v>
      </c>
    </row>
    <row r="2427" spans="1:4" x14ac:dyDescent="0.25">
      <c r="A2427">
        <v>90961</v>
      </c>
      <c r="B2427" s="3">
        <v>45183</v>
      </c>
      <c r="C2427" t="s">
        <v>33</v>
      </c>
      <c r="D2427">
        <v>2.3198070004582405E-2</v>
      </c>
    </row>
    <row r="2428" spans="1:4" x14ac:dyDescent="0.25">
      <c r="A2428">
        <v>90961</v>
      </c>
      <c r="B2428" s="3">
        <v>45184</v>
      </c>
      <c r="C2428" t="s">
        <v>33</v>
      </c>
      <c r="D2428">
        <v>-2.10526492446661E-2</v>
      </c>
    </row>
    <row r="2429" spans="1:4" x14ac:dyDescent="0.25">
      <c r="A2429">
        <v>90961</v>
      </c>
      <c r="B2429" s="3">
        <v>45187</v>
      </c>
      <c r="C2429" t="s">
        <v>33</v>
      </c>
      <c r="D2429">
        <v>-2.0678246393799782E-2</v>
      </c>
    </row>
    <row r="2430" spans="1:4" x14ac:dyDescent="0.25">
      <c r="A2430">
        <v>90961</v>
      </c>
      <c r="B2430" s="3">
        <v>45188</v>
      </c>
      <c r="C2430" t="s">
        <v>33</v>
      </c>
      <c r="D2430">
        <v>-7.6013640500605106E-3</v>
      </c>
    </row>
    <row r="2431" spans="1:4" x14ac:dyDescent="0.25">
      <c r="A2431">
        <v>90961</v>
      </c>
      <c r="B2431" s="3">
        <v>45189</v>
      </c>
      <c r="C2431" t="s">
        <v>33</v>
      </c>
      <c r="D2431">
        <v>-8.5106706246733665E-3</v>
      </c>
    </row>
    <row r="2432" spans="1:4" x14ac:dyDescent="0.25">
      <c r="A2432">
        <v>90961</v>
      </c>
      <c r="B2432" s="3">
        <v>45190</v>
      </c>
      <c r="C2432" t="s">
        <v>33</v>
      </c>
      <c r="D2432">
        <v>6.0086394660174847E-3</v>
      </c>
    </row>
    <row r="2433" spans="1:4" x14ac:dyDescent="0.25">
      <c r="A2433">
        <v>90961</v>
      </c>
      <c r="B2433" s="3">
        <v>45191</v>
      </c>
      <c r="C2433" t="s">
        <v>33</v>
      </c>
      <c r="D2433">
        <v>-1.8771354109048843E-2</v>
      </c>
    </row>
    <row r="2434" spans="1:4" x14ac:dyDescent="0.25">
      <c r="A2434">
        <v>90961</v>
      </c>
      <c r="B2434" s="3">
        <v>45194</v>
      </c>
      <c r="C2434" t="s">
        <v>33</v>
      </c>
      <c r="D2434">
        <v>8.6956853047013283E-3</v>
      </c>
    </row>
    <row r="2435" spans="1:4" x14ac:dyDescent="0.25">
      <c r="A2435">
        <v>90961</v>
      </c>
      <c r="B2435" s="3">
        <v>45195</v>
      </c>
      <c r="C2435" t="s">
        <v>33</v>
      </c>
      <c r="D2435">
        <v>-3.7068989127874374E-2</v>
      </c>
    </row>
    <row r="2436" spans="1:4" x14ac:dyDescent="0.25">
      <c r="A2436">
        <v>90961</v>
      </c>
      <c r="B2436" s="3">
        <v>45196</v>
      </c>
      <c r="C2436" t="s">
        <v>33</v>
      </c>
      <c r="D2436">
        <v>-7.1620345115661621E-3</v>
      </c>
    </row>
    <row r="2437" spans="1:4" x14ac:dyDescent="0.25">
      <c r="A2437">
        <v>90961</v>
      </c>
      <c r="B2437" s="3">
        <v>45197</v>
      </c>
      <c r="C2437" t="s">
        <v>33</v>
      </c>
      <c r="D2437">
        <v>-1.8034677486866713E-3</v>
      </c>
    </row>
    <row r="2438" spans="1:4" x14ac:dyDescent="0.25">
      <c r="A2438">
        <v>90961</v>
      </c>
      <c r="B2438" s="3">
        <v>45198</v>
      </c>
      <c r="C2438" t="s">
        <v>33</v>
      </c>
      <c r="D2438">
        <v>-1.08400983735919E-2</v>
      </c>
    </row>
    <row r="2439" spans="1:4" x14ac:dyDescent="0.25">
      <c r="A2439">
        <v>90961</v>
      </c>
      <c r="B2439" s="3">
        <v>45201</v>
      </c>
      <c r="C2439" t="s">
        <v>33</v>
      </c>
      <c r="D2439">
        <v>-1.6438297927379608E-2</v>
      </c>
    </row>
    <row r="2440" spans="1:4" x14ac:dyDescent="0.25">
      <c r="A2440">
        <v>90961</v>
      </c>
      <c r="B2440" s="3">
        <v>45202</v>
      </c>
      <c r="C2440" t="s">
        <v>33</v>
      </c>
      <c r="D2440">
        <v>-2.9712222516536713E-2</v>
      </c>
    </row>
    <row r="2441" spans="1:4" x14ac:dyDescent="0.25">
      <c r="A2441">
        <v>90961</v>
      </c>
      <c r="B2441" s="3">
        <v>45203</v>
      </c>
      <c r="C2441" t="s">
        <v>33</v>
      </c>
      <c r="D2441">
        <v>2.8707878664135933E-3</v>
      </c>
    </row>
    <row r="2442" spans="1:4" x14ac:dyDescent="0.25">
      <c r="A2442">
        <v>90961</v>
      </c>
      <c r="B2442" s="3">
        <v>45204</v>
      </c>
      <c r="C2442" t="s">
        <v>33</v>
      </c>
      <c r="D2442">
        <v>2.1946649998426437E-2</v>
      </c>
    </row>
    <row r="2443" spans="1:4" x14ac:dyDescent="0.25">
      <c r="A2443">
        <v>90961</v>
      </c>
      <c r="B2443" s="3">
        <v>45205</v>
      </c>
      <c r="C2443" t="s">
        <v>33</v>
      </c>
      <c r="D2443">
        <v>1.1363625526428223E-2</v>
      </c>
    </row>
    <row r="2444" spans="1:4" x14ac:dyDescent="0.25">
      <c r="A2444">
        <v>90961</v>
      </c>
      <c r="B2444" s="3">
        <v>45208</v>
      </c>
      <c r="C2444" t="s">
        <v>33</v>
      </c>
      <c r="D2444">
        <v>1.779022254049778E-2</v>
      </c>
    </row>
    <row r="2445" spans="1:4" x14ac:dyDescent="0.25">
      <c r="A2445">
        <v>90961</v>
      </c>
      <c r="B2445" s="3">
        <v>45209</v>
      </c>
      <c r="C2445" t="s">
        <v>33</v>
      </c>
      <c r="D2445">
        <v>-9.1998424613848329E-4</v>
      </c>
    </row>
    <row r="2446" spans="1:4" x14ac:dyDescent="0.25">
      <c r="A2446">
        <v>90961</v>
      </c>
      <c r="B2446" s="3">
        <v>45210</v>
      </c>
      <c r="C2446" t="s">
        <v>33</v>
      </c>
      <c r="D2446">
        <v>-1.3812120072543621E-2</v>
      </c>
    </row>
    <row r="2447" spans="1:4" x14ac:dyDescent="0.25">
      <c r="A2447">
        <v>90961</v>
      </c>
      <c r="B2447" s="3">
        <v>45211</v>
      </c>
      <c r="C2447" t="s">
        <v>33</v>
      </c>
      <c r="D2447">
        <v>-1.307192724198103E-2</v>
      </c>
    </row>
    <row r="2448" spans="1:4" x14ac:dyDescent="0.25">
      <c r="A2448">
        <v>90961</v>
      </c>
      <c r="B2448" s="3">
        <v>45212</v>
      </c>
      <c r="C2448" t="s">
        <v>33</v>
      </c>
      <c r="D2448">
        <v>-2.8381962329149246E-3</v>
      </c>
    </row>
    <row r="2449" spans="1:4" x14ac:dyDescent="0.25">
      <c r="A2449">
        <v>90961</v>
      </c>
      <c r="B2449" s="3">
        <v>45215</v>
      </c>
      <c r="C2449" t="s">
        <v>33</v>
      </c>
      <c r="D2449">
        <v>1.992410235106945E-2</v>
      </c>
    </row>
    <row r="2450" spans="1:4" x14ac:dyDescent="0.25">
      <c r="A2450">
        <v>90961</v>
      </c>
      <c r="B2450" s="3">
        <v>45216</v>
      </c>
      <c r="C2450" t="s">
        <v>33</v>
      </c>
      <c r="D2450">
        <v>1.3023287989199162E-2</v>
      </c>
    </row>
    <row r="2451" spans="1:4" x14ac:dyDescent="0.25">
      <c r="A2451">
        <v>90961</v>
      </c>
      <c r="B2451" s="3">
        <v>45217</v>
      </c>
      <c r="C2451" t="s">
        <v>33</v>
      </c>
      <c r="D2451">
        <v>-2.9384816065430641E-2</v>
      </c>
    </row>
    <row r="2452" spans="1:4" x14ac:dyDescent="0.25">
      <c r="A2452">
        <v>90961</v>
      </c>
      <c r="B2452" s="3">
        <v>45218</v>
      </c>
      <c r="C2452" t="s">
        <v>33</v>
      </c>
      <c r="D2452">
        <v>-2.3651845753192902E-2</v>
      </c>
    </row>
    <row r="2453" spans="1:4" x14ac:dyDescent="0.25">
      <c r="A2453">
        <v>90961</v>
      </c>
      <c r="B2453" s="3">
        <v>45219</v>
      </c>
      <c r="C2453" t="s">
        <v>33</v>
      </c>
      <c r="D2453">
        <v>-3.585270419716835E-2</v>
      </c>
    </row>
    <row r="2454" spans="1:4" x14ac:dyDescent="0.25">
      <c r="A2454">
        <v>90961</v>
      </c>
      <c r="B2454" s="3">
        <v>45222</v>
      </c>
      <c r="C2454" t="s">
        <v>33</v>
      </c>
      <c r="D2454">
        <v>-1.1055242270231247E-2</v>
      </c>
    </row>
    <row r="2455" spans="1:4" x14ac:dyDescent="0.25">
      <c r="A2455">
        <v>90961</v>
      </c>
      <c r="B2455" s="3">
        <v>45223</v>
      </c>
      <c r="C2455" t="s">
        <v>33</v>
      </c>
      <c r="D2455">
        <v>1.2195110321044922E-2</v>
      </c>
    </row>
    <row r="2456" spans="1:4" x14ac:dyDescent="0.25">
      <c r="A2456">
        <v>90961</v>
      </c>
      <c r="B2456" s="3">
        <v>45224</v>
      </c>
      <c r="C2456" t="s">
        <v>33</v>
      </c>
      <c r="D2456">
        <v>-5.020099226385355E-3</v>
      </c>
    </row>
    <row r="2457" spans="1:4" x14ac:dyDescent="0.25">
      <c r="A2457">
        <v>90961</v>
      </c>
      <c r="B2457" s="3">
        <v>45225</v>
      </c>
      <c r="C2457" t="s">
        <v>33</v>
      </c>
      <c r="D2457">
        <v>3.2290585339069366E-2</v>
      </c>
    </row>
    <row r="2458" spans="1:4" x14ac:dyDescent="0.25">
      <c r="A2458">
        <v>90961</v>
      </c>
      <c r="B2458" s="3">
        <v>45226</v>
      </c>
      <c r="C2458" t="s">
        <v>33</v>
      </c>
      <c r="D2458">
        <v>5.8651440776884556E-3</v>
      </c>
    </row>
    <row r="2459" spans="1:4" x14ac:dyDescent="0.25">
      <c r="A2459">
        <v>90961</v>
      </c>
      <c r="B2459" s="3">
        <v>45229</v>
      </c>
      <c r="C2459" t="s">
        <v>33</v>
      </c>
      <c r="D2459">
        <v>3.3041801303625107E-2</v>
      </c>
    </row>
    <row r="2460" spans="1:4" x14ac:dyDescent="0.25">
      <c r="A2460">
        <v>90961</v>
      </c>
      <c r="B2460" s="3">
        <v>45230</v>
      </c>
      <c r="C2460" t="s">
        <v>33</v>
      </c>
      <c r="D2460">
        <v>1.5992481261491776E-2</v>
      </c>
    </row>
    <row r="2461" spans="1:4" x14ac:dyDescent="0.25">
      <c r="A2461">
        <v>90961</v>
      </c>
      <c r="B2461" s="3">
        <v>45231</v>
      </c>
      <c r="C2461" t="s">
        <v>33</v>
      </c>
      <c r="D2461">
        <v>1.4814800582826138E-2</v>
      </c>
    </row>
    <row r="2462" spans="1:4" x14ac:dyDescent="0.25">
      <c r="A2462">
        <v>90961</v>
      </c>
      <c r="B2462" s="3">
        <v>45232</v>
      </c>
      <c r="C2462" t="s">
        <v>33</v>
      </c>
      <c r="D2462">
        <v>1.4598526060581207E-2</v>
      </c>
    </row>
    <row r="2463" spans="1:4" x14ac:dyDescent="0.25">
      <c r="A2463">
        <v>90961</v>
      </c>
      <c r="B2463" s="3">
        <v>45233</v>
      </c>
      <c r="C2463" t="s">
        <v>33</v>
      </c>
      <c r="D2463">
        <v>1.9784197211265564E-2</v>
      </c>
    </row>
    <row r="2464" spans="1:4" x14ac:dyDescent="0.25">
      <c r="A2464">
        <v>90961</v>
      </c>
      <c r="B2464" s="3">
        <v>45236</v>
      </c>
      <c r="C2464" t="s">
        <v>33</v>
      </c>
      <c r="D2464">
        <v>-9.7002303227782249E-3</v>
      </c>
    </row>
    <row r="2465" spans="1:4" x14ac:dyDescent="0.25">
      <c r="A2465">
        <v>90961</v>
      </c>
      <c r="B2465" s="3">
        <v>45237</v>
      </c>
      <c r="C2465" t="s">
        <v>33</v>
      </c>
      <c r="D2465">
        <v>-3.561884630471468E-3</v>
      </c>
    </row>
    <row r="2466" spans="1:4" x14ac:dyDescent="0.25">
      <c r="A2466">
        <v>90961</v>
      </c>
      <c r="B2466" s="3">
        <v>45238</v>
      </c>
      <c r="C2466" t="s">
        <v>33</v>
      </c>
      <c r="D2466">
        <v>0</v>
      </c>
    </row>
    <row r="2467" spans="1:4" x14ac:dyDescent="0.25">
      <c r="A2467">
        <v>90961</v>
      </c>
      <c r="B2467" s="3">
        <v>45239</v>
      </c>
      <c r="C2467" t="s">
        <v>33</v>
      </c>
      <c r="D2467">
        <v>-6.2555582262575626E-3</v>
      </c>
    </row>
    <row r="2468" spans="1:4" x14ac:dyDescent="0.25">
      <c r="A2468">
        <v>90961</v>
      </c>
      <c r="B2468" s="3">
        <v>45240</v>
      </c>
      <c r="C2468" t="s">
        <v>33</v>
      </c>
      <c r="D2468">
        <v>8.9928405359387398E-3</v>
      </c>
    </row>
    <row r="2469" spans="1:4" x14ac:dyDescent="0.25">
      <c r="A2469">
        <v>90961</v>
      </c>
      <c r="B2469" s="3">
        <v>45243</v>
      </c>
      <c r="C2469" t="s">
        <v>33</v>
      </c>
      <c r="D2469">
        <v>9.8038911819458008E-3</v>
      </c>
    </row>
    <row r="2470" spans="1:4" x14ac:dyDescent="0.25">
      <c r="A2470">
        <v>90961</v>
      </c>
      <c r="B2470" s="3">
        <v>45244</v>
      </c>
      <c r="C2470" t="s">
        <v>33</v>
      </c>
      <c r="D2470">
        <v>7.8552544116973877E-2</v>
      </c>
    </row>
    <row r="2471" spans="1:4" x14ac:dyDescent="0.25">
      <c r="A2471">
        <v>90961</v>
      </c>
      <c r="B2471" s="3">
        <v>45245</v>
      </c>
      <c r="C2471" t="s">
        <v>33</v>
      </c>
      <c r="D2471">
        <v>-2.373158372938633E-2</v>
      </c>
    </row>
    <row r="2472" spans="1:4" x14ac:dyDescent="0.25">
      <c r="A2472">
        <v>90961</v>
      </c>
      <c r="B2472" s="3">
        <v>45246</v>
      </c>
      <c r="C2472" t="s">
        <v>33</v>
      </c>
      <c r="D2472">
        <v>-1.5926280990242958E-2</v>
      </c>
    </row>
    <row r="2473" spans="1:4" x14ac:dyDescent="0.25">
      <c r="A2473">
        <v>90961</v>
      </c>
      <c r="B2473" s="3">
        <v>45247</v>
      </c>
      <c r="C2473" t="s">
        <v>33</v>
      </c>
      <c r="D2473">
        <v>2.0442910492420197E-2</v>
      </c>
    </row>
    <row r="2474" spans="1:4" x14ac:dyDescent="0.25">
      <c r="A2474">
        <v>90961</v>
      </c>
      <c r="B2474" s="3">
        <v>45250</v>
      </c>
      <c r="C2474" t="s">
        <v>33</v>
      </c>
      <c r="D2474">
        <v>4.1736387647688389E-3</v>
      </c>
    </row>
    <row r="2475" spans="1:4" x14ac:dyDescent="0.25">
      <c r="A2475">
        <v>90961</v>
      </c>
      <c r="B2475" s="3">
        <v>45251</v>
      </c>
      <c r="C2475" t="s">
        <v>33</v>
      </c>
      <c r="D2475">
        <v>-5.8187609538435936E-3</v>
      </c>
    </row>
    <row r="2476" spans="1:4" x14ac:dyDescent="0.25">
      <c r="A2476">
        <v>90961</v>
      </c>
      <c r="B2476" s="3">
        <v>45252</v>
      </c>
      <c r="C2476" t="s">
        <v>33</v>
      </c>
      <c r="D2476">
        <v>5.8528170920908451E-3</v>
      </c>
    </row>
    <row r="2477" spans="1:4" x14ac:dyDescent="0.25">
      <c r="A2477">
        <v>90961</v>
      </c>
      <c r="B2477" s="3">
        <v>45254</v>
      </c>
      <c r="C2477" t="s">
        <v>33</v>
      </c>
      <c r="D2477">
        <v>3.3250176347792149E-3</v>
      </c>
    </row>
    <row r="2478" spans="1:4" x14ac:dyDescent="0.25">
      <c r="A2478">
        <v>90961</v>
      </c>
      <c r="B2478" s="3">
        <v>45257</v>
      </c>
      <c r="C2478" t="s">
        <v>33</v>
      </c>
      <c r="D2478">
        <v>9.9419960752129555E-3</v>
      </c>
    </row>
    <row r="2479" spans="1:4" x14ac:dyDescent="0.25">
      <c r="A2479">
        <v>90961</v>
      </c>
      <c r="B2479" s="3">
        <v>45258</v>
      </c>
      <c r="C2479" t="s">
        <v>33</v>
      </c>
      <c r="D2479">
        <v>-1.2305137701332569E-2</v>
      </c>
    </row>
    <row r="2480" spans="1:4" x14ac:dyDescent="0.25">
      <c r="A2480">
        <v>90961</v>
      </c>
      <c r="B2480" s="3">
        <v>45259</v>
      </c>
      <c r="C2480" t="s">
        <v>33</v>
      </c>
      <c r="D2480">
        <v>1.6611279919743538E-2</v>
      </c>
    </row>
    <row r="2481" spans="1:4" x14ac:dyDescent="0.25">
      <c r="A2481">
        <v>90961</v>
      </c>
      <c r="B2481" s="3">
        <v>45260</v>
      </c>
      <c r="C2481" t="s">
        <v>33</v>
      </c>
      <c r="D2481">
        <v>-2.4509585928171873E-3</v>
      </c>
    </row>
    <row r="2482" spans="1:4" x14ac:dyDescent="0.25">
      <c r="A2482">
        <v>90961</v>
      </c>
      <c r="B2482" s="3">
        <v>45261</v>
      </c>
      <c r="C2482" t="s">
        <v>33</v>
      </c>
      <c r="D2482">
        <v>1.7199020832777023E-2</v>
      </c>
    </row>
    <row r="2483" spans="1:4" x14ac:dyDescent="0.25">
      <c r="A2483">
        <v>90961</v>
      </c>
      <c r="B2483" s="3">
        <v>45264</v>
      </c>
      <c r="C2483" t="s">
        <v>33</v>
      </c>
      <c r="D2483">
        <v>1.4492778107523918E-2</v>
      </c>
    </row>
    <row r="2484" spans="1:4" x14ac:dyDescent="0.25">
      <c r="A2484">
        <v>90961</v>
      </c>
      <c r="B2484" s="3">
        <v>45265</v>
      </c>
      <c r="C2484" t="s">
        <v>33</v>
      </c>
      <c r="D2484">
        <v>-2.0634938031435013E-2</v>
      </c>
    </row>
    <row r="2485" spans="1:4" x14ac:dyDescent="0.25">
      <c r="A2485">
        <v>90961</v>
      </c>
      <c r="B2485" s="3">
        <v>45266</v>
      </c>
      <c r="C2485" t="s">
        <v>33</v>
      </c>
      <c r="D2485">
        <v>3.2414880115538836E-3</v>
      </c>
    </row>
    <row r="2486" spans="1:4" x14ac:dyDescent="0.25">
      <c r="A2486">
        <v>90961</v>
      </c>
      <c r="B2486" s="3">
        <v>45267</v>
      </c>
      <c r="C2486" t="s">
        <v>33</v>
      </c>
      <c r="D2486">
        <v>1.5347300097346306E-2</v>
      </c>
    </row>
    <row r="2487" spans="1:4" x14ac:dyDescent="0.25">
      <c r="A2487">
        <v>90961</v>
      </c>
      <c r="B2487" s="3">
        <v>45268</v>
      </c>
      <c r="C2487" t="s">
        <v>33</v>
      </c>
      <c r="D2487">
        <v>9.5465304329991341E-3</v>
      </c>
    </row>
    <row r="2488" spans="1:4" x14ac:dyDescent="0.25">
      <c r="A2488">
        <v>90961</v>
      </c>
      <c r="B2488" s="3">
        <v>45271</v>
      </c>
      <c r="C2488" t="s">
        <v>33</v>
      </c>
      <c r="D2488">
        <v>3.152085468173027E-3</v>
      </c>
    </row>
    <row r="2489" spans="1:4" x14ac:dyDescent="0.25">
      <c r="A2489">
        <v>90961</v>
      </c>
      <c r="B2489" s="3">
        <v>45272</v>
      </c>
      <c r="C2489" t="s">
        <v>33</v>
      </c>
      <c r="D2489">
        <v>1.571127912029624E-3</v>
      </c>
    </row>
    <row r="2490" spans="1:4" x14ac:dyDescent="0.25">
      <c r="A2490">
        <v>90961</v>
      </c>
      <c r="B2490" s="3">
        <v>45273</v>
      </c>
      <c r="C2490" t="s">
        <v>33</v>
      </c>
      <c r="D2490">
        <v>4.8627443611621857E-2</v>
      </c>
    </row>
    <row r="2491" spans="1:4" x14ac:dyDescent="0.25">
      <c r="A2491">
        <v>90961</v>
      </c>
      <c r="B2491" s="3">
        <v>45274</v>
      </c>
      <c r="C2491" t="s">
        <v>33</v>
      </c>
      <c r="D2491">
        <v>1.346299983561039E-2</v>
      </c>
    </row>
    <row r="2492" spans="1:4" x14ac:dyDescent="0.25">
      <c r="A2492">
        <v>90961</v>
      </c>
      <c r="B2492" s="3">
        <v>45275</v>
      </c>
      <c r="C2492" t="s">
        <v>33</v>
      </c>
      <c r="D2492">
        <v>1.4022109098732471E-2</v>
      </c>
    </row>
    <row r="2493" spans="1:4" x14ac:dyDescent="0.25">
      <c r="A2493">
        <v>90961</v>
      </c>
      <c r="B2493" s="3">
        <v>45278</v>
      </c>
      <c r="C2493" t="s">
        <v>33</v>
      </c>
      <c r="D2493">
        <v>4.3668430298566818E-3</v>
      </c>
    </row>
    <row r="2494" spans="1:4" x14ac:dyDescent="0.25">
      <c r="A2494">
        <v>90961</v>
      </c>
      <c r="B2494" s="3">
        <v>45279</v>
      </c>
      <c r="C2494" t="s">
        <v>33</v>
      </c>
      <c r="D2494">
        <v>1.8115941435098648E-2</v>
      </c>
    </row>
    <row r="2495" spans="1:4" x14ac:dyDescent="0.25">
      <c r="A2495">
        <v>90961</v>
      </c>
      <c r="B2495" s="3">
        <v>45280</v>
      </c>
      <c r="C2495" t="s">
        <v>33</v>
      </c>
      <c r="D2495">
        <v>-7.1174646727740765E-3</v>
      </c>
    </row>
    <row r="2496" spans="1:4" x14ac:dyDescent="0.25">
      <c r="A2496">
        <v>90961</v>
      </c>
      <c r="B2496" s="3">
        <v>45281</v>
      </c>
      <c r="C2496" t="s">
        <v>33</v>
      </c>
      <c r="D2496">
        <v>1.9354872405529022E-2</v>
      </c>
    </row>
    <row r="2497" spans="1:4" x14ac:dyDescent="0.25">
      <c r="A2497">
        <v>90961</v>
      </c>
      <c r="B2497" s="3">
        <v>45282</v>
      </c>
      <c r="C2497" t="s">
        <v>33</v>
      </c>
      <c r="D2497">
        <v>-4.9226898699998856E-3</v>
      </c>
    </row>
    <row r="2498" spans="1:4" x14ac:dyDescent="0.25">
      <c r="A2498">
        <v>90961</v>
      </c>
      <c r="B2498" s="3">
        <v>45286</v>
      </c>
      <c r="C2498" t="s">
        <v>33</v>
      </c>
      <c r="D2498">
        <v>1.4840992167592049E-2</v>
      </c>
    </row>
    <row r="2499" spans="1:4" x14ac:dyDescent="0.25">
      <c r="A2499">
        <v>90961</v>
      </c>
      <c r="B2499" s="3">
        <v>45287</v>
      </c>
      <c r="C2499" t="s">
        <v>33</v>
      </c>
      <c r="D2499">
        <v>1.5320353209972382E-2</v>
      </c>
    </row>
    <row r="2500" spans="1:4" x14ac:dyDescent="0.25">
      <c r="A2500">
        <v>90961</v>
      </c>
      <c r="B2500" s="3">
        <v>45288</v>
      </c>
      <c r="C2500" t="s">
        <v>33</v>
      </c>
      <c r="D2500">
        <v>-1.0288040153682232E-2</v>
      </c>
    </row>
    <row r="2501" spans="1:4" x14ac:dyDescent="0.25">
      <c r="A2501">
        <v>90961</v>
      </c>
      <c r="B2501" s="3">
        <v>45289</v>
      </c>
      <c r="C2501" t="s">
        <v>33</v>
      </c>
      <c r="D2501">
        <v>-1.5939049422740936E-2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5F4E8-4090-4493-96EB-93AE07F1F521}">
  <sheetPr codeName="Sheet7"/>
  <dimension ref="A1:TL2943"/>
  <sheetViews>
    <sheetView tabSelected="1" workbookViewId="0">
      <selection activeCell="A2" sqref="A2"/>
    </sheetView>
  </sheetViews>
  <sheetFormatPr defaultRowHeight="15" x14ac:dyDescent="0.25"/>
  <cols>
    <col min="532" max="532" width="0" hidden="1" customWidth="1"/>
  </cols>
  <sheetData>
    <row r="1" spans="1:21" x14ac:dyDescent="0.25">
      <c r="A1" s="17" t="str">
        <f>YTDrtrns!B3</f>
        <v>PVBC</v>
      </c>
      <c r="B1" s="17" t="str">
        <f>YTDrtrns!C3</f>
        <v>UPWK</v>
      </c>
      <c r="C1" s="17" t="str">
        <f>YTDrtrns!D3</f>
        <v>L</v>
      </c>
      <c r="D1" s="17" t="str">
        <f>YTDrtrns!E3</f>
        <v>EML</v>
      </c>
      <c r="E1" s="17" t="str">
        <f>YTDrtrns!F3</f>
        <v>JBHT</v>
      </c>
      <c r="F1" s="17" t="str">
        <f>YTDrtrns!G3</f>
        <v>MCY</v>
      </c>
      <c r="G1" s="17" t="str">
        <f>YTDrtrns!H3</f>
        <v>CRVL</v>
      </c>
      <c r="H1" s="17" t="str">
        <f>YTDrtrns!I3</f>
        <v>AAON</v>
      </c>
      <c r="I1" s="17" t="str">
        <f>YTDrtrns!J3</f>
        <v>BMRC</v>
      </c>
      <c r="J1" s="17" t="str">
        <f>YTDrtrns!K3</f>
        <v>WSBF</v>
      </c>
      <c r="L1" s="17" t="str">
        <f>A1</f>
        <v>PVBC</v>
      </c>
      <c r="M1" s="17" t="str">
        <f t="shared" ref="M1:U1" si="0">B1</f>
        <v>UPWK</v>
      </c>
      <c r="N1" s="17" t="str">
        <f t="shared" si="0"/>
        <v>L</v>
      </c>
      <c r="O1" s="17" t="str">
        <f t="shared" si="0"/>
        <v>EML</v>
      </c>
      <c r="P1" s="17" t="str">
        <f t="shared" si="0"/>
        <v>JBHT</v>
      </c>
      <c r="Q1" s="17" t="str">
        <f t="shared" si="0"/>
        <v>MCY</v>
      </c>
      <c r="R1" s="17" t="str">
        <f t="shared" si="0"/>
        <v>CRVL</v>
      </c>
      <c r="S1" s="17" t="str">
        <f t="shared" si="0"/>
        <v>AAON</v>
      </c>
      <c r="T1" s="17" t="str">
        <f t="shared" si="0"/>
        <v>BMRC</v>
      </c>
      <c r="U1" s="17" t="str">
        <f t="shared" si="0"/>
        <v>WSBF</v>
      </c>
    </row>
    <row r="2" spans="1:21" x14ac:dyDescent="0.25">
      <c r="A2">
        <f>1+YTDrtrns!B4</f>
        <v>0.99862634227611125</v>
      </c>
      <c r="B2">
        <f>1+YTDrtrns!C4</f>
        <v>1.0325670652091503</v>
      </c>
      <c r="C2">
        <f>1+YTDrtrns!D4</f>
        <v>1.0044573685154319</v>
      </c>
      <c r="D2">
        <f>1+YTDrtrns!E4</f>
        <v>1.0274895615875721</v>
      </c>
      <c r="E2">
        <f>1+YTDrtrns!F4</f>
        <v>0.98990597296506166</v>
      </c>
      <c r="F2">
        <f>1+YTDrtrns!G4</f>
        <v>1.0040935492143035</v>
      </c>
      <c r="G2">
        <f>1+YTDrtrns!H4</f>
        <v>1.0048166033811867</v>
      </c>
      <c r="H2">
        <f>1+YTDrtrns!I4</f>
        <v>0.99349445197731256</v>
      </c>
      <c r="I2">
        <f>1+YTDrtrns!J4</f>
        <v>0.98950726259499788</v>
      </c>
      <c r="J2">
        <f>1+YTDrtrns!K4</f>
        <v>1.0156612787395716</v>
      </c>
      <c r="L2" s="8">
        <f ca="1">PRODUCT(A2:INDIRECT(CONCATENATE(CHAR(COLUMN()+53),YTDrtrns!$O$1+1)))-1</f>
        <v>0.38324166318361619</v>
      </c>
      <c r="M2" s="8">
        <f ca="1">PRODUCT(B2:INDIRECT(CONCATENATE(CHAR(COLUMN()+53),YTDrtrns!$O$1+1)))-1</f>
        <v>0.42432955323173194</v>
      </c>
      <c r="N2" s="8">
        <f ca="1">PRODUCT(C2:INDIRECT(CONCATENATE(CHAR(COLUMN()+53),YTDrtrns!$O$1+1)))-1</f>
        <v>0.19785215869996575</v>
      </c>
      <c r="O2" s="8">
        <f ca="1">PRODUCT(D2:INDIRECT(CONCATENATE(CHAR(COLUMN()+53),YTDrtrns!$O$1+1)))-1</f>
        <v>0.16807062649258775</v>
      </c>
      <c r="P2" s="8">
        <f ca="1">PRODUCT(E2:INDIRECT(CONCATENATE(CHAR(COLUMN()+53),YTDrtrns!$O$1+1)))-1</f>
        <v>0.15595112352078688</v>
      </c>
      <c r="Q2" s="8">
        <f ca="1">PRODUCT(F2:INDIRECT(CONCATENATE(CHAR(COLUMN()+53),YTDrtrns!$O$1+1)))-1</f>
        <v>0.13545849530604759</v>
      </c>
      <c r="R2" s="8">
        <f ca="1">PRODUCT(G2:INDIRECT(CONCATENATE(CHAR(COLUMN()+53),YTDrtrns!$O$1+1)))-1</f>
        <v>0.70102527060557218</v>
      </c>
      <c r="S2" s="8">
        <f ca="1">PRODUCT(H2:INDIRECT(CONCATENATE(CHAR(COLUMN()+53),YTDrtrns!$O$1+1)))-1</f>
        <v>0.47863670507105471</v>
      </c>
      <c r="T2" s="8">
        <f ca="1">PRODUCT(I2:INDIRECT(CONCATENATE(CHAR(COLUMN()+53),YTDrtrns!$O$1+1)))-1</f>
        <v>-0.29499960665809477</v>
      </c>
      <c r="U2" s="8">
        <f ca="1">PRODUCT(J2:INDIRECT(CONCATENATE(CHAR(COLUMN()+53),YTDrtrns!$O$1+1)))-1</f>
        <v>-0.13167215321827452</v>
      </c>
    </row>
    <row r="3" spans="1:21" x14ac:dyDescent="0.25">
      <c r="A3">
        <f>1+YTDrtrns!B5</f>
        <v>1.0330124124884605</v>
      </c>
      <c r="B3">
        <f>1+YTDrtrns!C5</f>
        <v>1.0565863288938999</v>
      </c>
      <c r="C3">
        <f>1+YTDrtrns!D5</f>
        <v>1.0116060813888907</v>
      </c>
      <c r="D3">
        <f>1+YTDrtrns!E5</f>
        <v>0.99747606064192951</v>
      </c>
      <c r="E3">
        <f>1+YTDrtrns!F5</f>
        <v>1.0137890474870801</v>
      </c>
      <c r="F3">
        <f>1+YTDrtrns!G5</f>
        <v>1.0163075532764196</v>
      </c>
      <c r="G3">
        <f>1+YTDrtrns!H5</f>
        <v>0.98260635882616043</v>
      </c>
      <c r="H3">
        <f>1+YTDrtrns!I5</f>
        <v>0.95777089893817902</v>
      </c>
      <c r="I3">
        <f>1+YTDrtrns!J5</f>
        <v>1.0059935362078249</v>
      </c>
      <c r="J3">
        <f>1+YTDrtrns!K5</f>
        <v>0.98857791163027287</v>
      </c>
    </row>
    <row r="4" spans="1:21" x14ac:dyDescent="0.25">
      <c r="A4">
        <f>1+YTDrtrns!B6</f>
        <v>0.95472701266407967</v>
      </c>
      <c r="B4">
        <f>1+YTDrtrns!C6</f>
        <v>1.0096575636416674</v>
      </c>
      <c r="C4">
        <f>1+YTDrtrns!D6</f>
        <v>0.99898766027763486</v>
      </c>
      <c r="D4">
        <f>1+YTDrtrns!E6</f>
        <v>0.98582992516458035</v>
      </c>
      <c r="E4">
        <f>1+YTDrtrns!F6</f>
        <v>0.96696766093373299</v>
      </c>
      <c r="F4">
        <f>1+YTDrtrns!G6</f>
        <v>1.0226360186934471</v>
      </c>
      <c r="G4">
        <f>1+YTDrtrns!H6</f>
        <v>0.98264683596789837</v>
      </c>
      <c r="H4">
        <f>1+YTDrtrns!I6</f>
        <v>0.98367520235478878</v>
      </c>
      <c r="I4">
        <f>1+YTDrtrns!J6</f>
        <v>0.98533456958830357</v>
      </c>
      <c r="J4">
        <f>1+YTDrtrns!K6</f>
        <v>0.99537839833647013</v>
      </c>
      <c r="L4" s="17" t="s">
        <v>26</v>
      </c>
      <c r="M4" s="17"/>
      <c r="N4" s="19"/>
      <c r="O4" s="19"/>
      <c r="P4" s="19"/>
      <c r="Q4" s="19"/>
      <c r="R4" s="19"/>
      <c r="S4" s="19"/>
      <c r="T4" s="19"/>
      <c r="U4" s="19"/>
    </row>
    <row r="5" spans="1:21" x14ac:dyDescent="0.25">
      <c r="A5">
        <f>1+YTDrtrns!B7</f>
        <v>1.0348675027489662</v>
      </c>
      <c r="B5">
        <f>1+YTDrtrns!C7</f>
        <v>0.99130431469529867</v>
      </c>
      <c r="C5">
        <f>1+YTDrtrns!D7</f>
        <v>1.021280225366354</v>
      </c>
      <c r="D5">
        <f>1+YTDrtrns!E7</f>
        <v>1.0077001857571304</v>
      </c>
      <c r="E5">
        <f>1+YTDrtrns!F7</f>
        <v>1.0404255092144012</v>
      </c>
      <c r="F5">
        <f>1+YTDrtrns!G7</f>
        <v>1.0207341462373734</v>
      </c>
      <c r="G5">
        <f>1+YTDrtrns!H7</f>
        <v>1.0221276246011257</v>
      </c>
      <c r="H5">
        <f>1+YTDrtrns!I7</f>
        <v>1.0523404590785503</v>
      </c>
      <c r="I5">
        <f>1+YTDrtrns!J7</f>
        <v>1.0145736811682582</v>
      </c>
      <c r="J5">
        <f>1+YTDrtrns!K7</f>
        <v>1.0139292469248176</v>
      </c>
      <c r="L5" s="8">
        <f ca="1">_xlfn.STDEV.S(A2:INDIRECT(CONCATENATE(CHAR(COLUMN()+53),YTDrtrns!$O$1+1)))*SQRT(YTDrtrns!$O$1)</f>
        <v>0.44228669368227813</v>
      </c>
      <c r="M5" s="8">
        <f ca="1">_xlfn.STDEV.S(B2:INDIRECT(CONCATENATE(CHAR(COLUMN()+53),YTDrtrns!$O$1+1)))*SQRT(YTDrtrns!$O$1)</f>
        <v>0.68885781998754991</v>
      </c>
      <c r="N5" s="8">
        <f ca="1">_xlfn.STDEV.S(C2:INDIRECT(CONCATENATE(CHAR(COLUMN()+53),YTDrtrns!$O$1+1)))*SQRT(YTDrtrns!$O$1)</f>
        <v>0.18060522204554125</v>
      </c>
      <c r="O5" s="8">
        <f ca="1">_xlfn.STDEV.S(D2:INDIRECT(CONCATENATE(CHAR(COLUMN()+53),YTDrtrns!$O$1+1)))*SQRT(YTDrtrns!$O$1)</f>
        <v>0.5102202211315735</v>
      </c>
      <c r="P5" s="8">
        <f ca="1">_xlfn.STDEV.S(E2:INDIRECT(CONCATENATE(CHAR(COLUMN()+53),YTDrtrns!$O$1+1)))*SQRT(YTDrtrns!$O$1)</f>
        <v>0.2578197395241324</v>
      </c>
      <c r="Q5" s="8">
        <f ca="1">_xlfn.STDEV.S(F2:INDIRECT(CONCATENATE(CHAR(COLUMN()+53),YTDrtrns!$O$1+1)))*SQRT(YTDrtrns!$O$1)</f>
        <v>0.36359068040115461</v>
      </c>
      <c r="R5" s="8">
        <f ca="1">_xlfn.STDEV.S(G2:INDIRECT(CONCATENATE(CHAR(COLUMN()+53),YTDrtrns!$O$1+1)))*SQRT(YTDrtrns!$O$1)</f>
        <v>0.26440101645053621</v>
      </c>
      <c r="S5" s="8">
        <f ca="1">_xlfn.STDEV.S(H2:INDIRECT(CONCATENATE(CHAR(COLUMN()+53),YTDrtrns!$O$1+1)))*SQRT(YTDrtrns!$O$1)</f>
        <v>0.3462658673843042</v>
      </c>
      <c r="T5" s="8">
        <f ca="1">_xlfn.STDEV.S(I2:INDIRECT(CONCATENATE(CHAR(COLUMN()+53),YTDrtrns!$O$1+1)))*SQRT(YTDrtrns!$O$1)</f>
        <v>0.43053534482672889</v>
      </c>
      <c r="U5" s="8">
        <f ca="1">_xlfn.STDEV.S(J2:INDIRECT(CONCATENATE(CHAR(COLUMN()+53),YTDrtrns!$O$1+1)))*SQRT(YTDrtrns!$O$1)</f>
        <v>0.26209398889723612</v>
      </c>
    </row>
    <row r="6" spans="1:21" x14ac:dyDescent="0.25">
      <c r="A6">
        <f>1+YTDrtrns!B8</f>
        <v>0.95013478770852089</v>
      </c>
      <c r="B6">
        <f>1+YTDrtrns!C8</f>
        <v>1.0122807323932648</v>
      </c>
      <c r="C6">
        <f>1+YTDrtrns!D8</f>
        <v>0.97519431263208389</v>
      </c>
      <c r="D6">
        <f>1+YTDrtrns!E8</f>
        <v>1.0896586999297142</v>
      </c>
      <c r="E6">
        <f>1+YTDrtrns!F8</f>
        <v>1.0090888785198331</v>
      </c>
      <c r="F6">
        <f>1+YTDrtrns!G8</f>
        <v>0.9766676239669323</v>
      </c>
      <c r="G6">
        <f>1+YTDrtrns!H8</f>
        <v>1.0173466559499502</v>
      </c>
      <c r="H6">
        <f>1+YTDrtrns!I8</f>
        <v>1.0029653755482286</v>
      </c>
      <c r="I6">
        <f>1+YTDrtrns!J8</f>
        <v>0.99052563030272722</v>
      </c>
      <c r="J6">
        <f>1+YTDrtrns!K8</f>
        <v>0.99942094797734171</v>
      </c>
    </row>
    <row r="7" spans="1:21" x14ac:dyDescent="0.25">
      <c r="A7">
        <f>1+YTDrtrns!B9</f>
        <v>1.0212765410542488</v>
      </c>
      <c r="B7">
        <f>1+YTDrtrns!C9</f>
        <v>0.99480065703392029</v>
      </c>
      <c r="C7">
        <f>1+YTDrtrns!D9</f>
        <v>1.0011870390735567</v>
      </c>
      <c r="D7">
        <f>1+YTDrtrns!E9</f>
        <v>1.0687237605452538</v>
      </c>
      <c r="E7">
        <f>1+YTDrtrns!F9</f>
        <v>0.98727767076343298</v>
      </c>
      <c r="F7">
        <f>1+YTDrtrns!G9</f>
        <v>1.0140528380870819</v>
      </c>
      <c r="G7">
        <f>1+YTDrtrns!H9</f>
        <v>1.0186196360737085</v>
      </c>
      <c r="H7">
        <f>1+YTDrtrns!I9</f>
        <v>1.0161268226802349</v>
      </c>
      <c r="I7">
        <f>1+YTDrtrns!J9</f>
        <v>1.005862345919013</v>
      </c>
      <c r="J7">
        <f>1+YTDrtrns!K9</f>
        <v>1.0057937647216022</v>
      </c>
    </row>
    <row r="8" spans="1:21" x14ac:dyDescent="0.25">
      <c r="A8">
        <f>1+YTDrtrns!B10</f>
        <v>1</v>
      </c>
      <c r="B8">
        <f>1+YTDrtrns!C10</f>
        <v>1.0722997337579727</v>
      </c>
      <c r="C8">
        <f>1+YTDrtrns!D10</f>
        <v>1.0133807742968202</v>
      </c>
      <c r="D8">
        <f>1+YTDrtrns!E10</f>
        <v>1.0179352518171072</v>
      </c>
      <c r="E8">
        <f>1+YTDrtrns!F10</f>
        <v>1.0302200224250555</v>
      </c>
      <c r="F8">
        <f>1+YTDrtrns!G10</f>
        <v>0.96868067979812622</v>
      </c>
      <c r="G8">
        <f>1+YTDrtrns!H10</f>
        <v>1.0160695929080248</v>
      </c>
      <c r="H8">
        <f>1+YTDrtrns!I10</f>
        <v>1.0047612828202546</v>
      </c>
      <c r="I8">
        <f>1+YTDrtrns!J10</f>
        <v>0.98895715270191431</v>
      </c>
      <c r="J8">
        <f>1+YTDrtrns!K10</f>
        <v>0.99481565970927477</v>
      </c>
    </row>
    <row r="9" spans="1:21" x14ac:dyDescent="0.25">
      <c r="A9">
        <f>1+YTDrtrns!B11</f>
        <v>1.0333333685994148</v>
      </c>
      <c r="B9">
        <f>1+YTDrtrns!C11</f>
        <v>1.0235580783337355</v>
      </c>
      <c r="C9">
        <f>1+YTDrtrns!D11</f>
        <v>1.0008356883772649</v>
      </c>
      <c r="D9">
        <f>1+YTDrtrns!E11</f>
        <v>1.0042973947711289</v>
      </c>
      <c r="E9">
        <f>1+YTDrtrns!F11</f>
        <v>0.99429932003840804</v>
      </c>
      <c r="F9">
        <f>1+YTDrtrns!G11</f>
        <v>1.0094420034438372</v>
      </c>
      <c r="G9">
        <f>1+YTDrtrns!H11</f>
        <v>1.0175288543105125</v>
      </c>
      <c r="H9">
        <f>1+YTDrtrns!I11</f>
        <v>1.0101355351507664</v>
      </c>
      <c r="I9">
        <f>1+YTDrtrns!J11</f>
        <v>1.0183002520352602</v>
      </c>
      <c r="J9">
        <f>1+YTDrtrns!K11</f>
        <v>1.0098436633124948</v>
      </c>
    </row>
    <row r="10" spans="1:21" x14ac:dyDescent="0.25">
      <c r="A10">
        <f>1+YTDrtrns!B12</f>
        <v>0.99865588324610144</v>
      </c>
      <c r="B10">
        <f>1+YTDrtrns!C12</f>
        <v>1</v>
      </c>
      <c r="C10">
        <f>1+YTDrtrns!D12</f>
        <v>1.0056780250743032</v>
      </c>
      <c r="D10">
        <f>1+YTDrtrns!E12</f>
        <v>0.99272571364417672</v>
      </c>
      <c r="E10">
        <f>1+YTDrtrns!F12</f>
        <v>0.98413586989045143</v>
      </c>
      <c r="F10">
        <f>1+YTDrtrns!G12</f>
        <v>1.0150227500125766</v>
      </c>
      <c r="G10">
        <f>1+YTDrtrns!H12</f>
        <v>1.0130819827318192</v>
      </c>
      <c r="H10">
        <f>1+YTDrtrns!I12</f>
        <v>1.0147251095622778</v>
      </c>
      <c r="I10">
        <f>1+YTDrtrns!J12</f>
        <v>1.0015229738783091</v>
      </c>
      <c r="J10">
        <f>1+YTDrtrns!K12</f>
        <v>1.0057339668273926</v>
      </c>
      <c r="N10" s="2">
        <v>80679969</v>
      </c>
    </row>
    <row r="11" spans="1:21" x14ac:dyDescent="0.25">
      <c r="A11">
        <f>1+YTDrtrns!B13</f>
        <v>1.01884257607162</v>
      </c>
      <c r="B11">
        <f>1+YTDrtrns!C13</f>
        <v>0.99603173090144992</v>
      </c>
      <c r="C11">
        <f>1+YTDrtrns!D13</f>
        <v>0.98555292747914791</v>
      </c>
      <c r="D11">
        <f>1+YTDrtrns!E13</f>
        <v>1.0043102786876261</v>
      </c>
      <c r="E11">
        <f>1+YTDrtrns!F13</f>
        <v>0.9971153293736279</v>
      </c>
      <c r="F11">
        <f>1+YTDrtrns!G13</f>
        <v>0.99190167803317308</v>
      </c>
      <c r="G11">
        <f>1+YTDrtrns!H13</f>
        <v>1.0330500155687332</v>
      </c>
      <c r="H11">
        <f>1+YTDrtrns!I13</f>
        <v>0.99011167045682669</v>
      </c>
      <c r="I11">
        <f>1+YTDrtrns!J13</f>
        <v>0.99452553829178214</v>
      </c>
      <c r="J11">
        <f>1+YTDrtrns!K13</f>
        <v>0.99201817065477371</v>
      </c>
    </row>
    <row r="12" spans="1:21" x14ac:dyDescent="0.25">
      <c r="A12">
        <f>1+YTDrtrns!B14</f>
        <v>1.0317040644586086</v>
      </c>
      <c r="B12">
        <f>1+YTDrtrns!C14</f>
        <v>1.0039840787649155</v>
      </c>
      <c r="C12">
        <f>1+YTDrtrns!D14</f>
        <v>0.98517275042831898</v>
      </c>
      <c r="D12">
        <f>1+YTDrtrns!E14</f>
        <v>0.95236057043075562</v>
      </c>
      <c r="E12">
        <f>1+YTDrtrns!F14</f>
        <v>1.0495207421481609</v>
      </c>
      <c r="F12">
        <f>1+YTDrtrns!G14</f>
        <v>0.98845721129328012</v>
      </c>
      <c r="G12">
        <f>1+YTDrtrns!H14</f>
        <v>0.98650985211133957</v>
      </c>
      <c r="H12">
        <f>1+YTDrtrns!I14</f>
        <v>0.97691311500966549</v>
      </c>
      <c r="I12">
        <f>1+YTDrtrns!J14</f>
        <v>0.96360854804515839</v>
      </c>
      <c r="J12">
        <f>1+YTDrtrns!K14</f>
        <v>0.98563218396157026</v>
      </c>
    </row>
    <row r="13" spans="1:21" x14ac:dyDescent="0.25">
      <c r="A13">
        <f>1+YTDrtrns!B15</f>
        <v>1.030729865655303</v>
      </c>
      <c r="B13">
        <f>1+YTDrtrns!C15</f>
        <v>0.97539679333567619</v>
      </c>
      <c r="C13">
        <f>1+YTDrtrns!D15</f>
        <v>0.99315885873511434</v>
      </c>
      <c r="D13">
        <f>1+YTDrtrns!E15</f>
        <v>0.99594411207363009</v>
      </c>
      <c r="E13">
        <f>1+YTDrtrns!F15</f>
        <v>0.99897307087667286</v>
      </c>
      <c r="F13">
        <f>1+YTDrtrns!G15</f>
        <v>0.97863856516778469</v>
      </c>
      <c r="G13">
        <f>1+YTDrtrns!H15</f>
        <v>1.00414003059268</v>
      </c>
      <c r="H13">
        <f>1+YTDrtrns!I15</f>
        <v>0.97065853513777256</v>
      </c>
      <c r="I13">
        <f>1+YTDrtrns!J15</f>
        <v>1</v>
      </c>
      <c r="J13">
        <f>1+YTDrtrns!K15</f>
        <v>1.0040816147811711</v>
      </c>
    </row>
    <row r="14" spans="1:21" x14ac:dyDescent="0.25">
      <c r="A14">
        <f>1+YTDrtrns!B16</f>
        <v>1.0360248386859894</v>
      </c>
      <c r="B14">
        <f>1+YTDrtrns!C16</f>
        <v>1.0187144428491592</v>
      </c>
      <c r="C14">
        <f>1+YTDrtrns!D16</f>
        <v>1.0153263201937079</v>
      </c>
      <c r="D14">
        <f>1+YTDrtrns!E16</f>
        <v>1.0122172152623534</v>
      </c>
      <c r="E14">
        <f>1+YTDrtrns!F16</f>
        <v>1.0231023337692022</v>
      </c>
      <c r="F14">
        <f>1+YTDrtrns!G16</f>
        <v>1.0133876334875822</v>
      </c>
      <c r="G14">
        <f>1+YTDrtrns!H16</f>
        <v>1.0287355743348598</v>
      </c>
      <c r="H14">
        <f>1+YTDrtrns!I16</f>
        <v>1.0021884287707508</v>
      </c>
      <c r="I14">
        <f>1+YTDrtrns!J16</f>
        <v>1.0028562408406287</v>
      </c>
      <c r="J14">
        <f>1+YTDrtrns!K16</f>
        <v>1.0087108900770545</v>
      </c>
    </row>
    <row r="15" spans="1:21" x14ac:dyDescent="0.25">
      <c r="A15">
        <f>1+YTDrtrns!B17</f>
        <v>1.0119903385639191</v>
      </c>
      <c r="B15">
        <f>1+YTDrtrns!C17</f>
        <v>1.0271564852446318</v>
      </c>
      <c r="C15">
        <f>1+YTDrtrns!D17</f>
        <v>1.0105156507343054</v>
      </c>
      <c r="D15">
        <f>1+YTDrtrns!E17</f>
        <v>0.97228427231311798</v>
      </c>
      <c r="E15">
        <f>1+YTDrtrns!F17</f>
        <v>1.0239026378840208</v>
      </c>
      <c r="F15">
        <f>1+YTDrtrns!G17</f>
        <v>1.0100516509264708</v>
      </c>
      <c r="G15">
        <f>1+YTDrtrns!H17</f>
        <v>1</v>
      </c>
      <c r="H15">
        <f>1+YTDrtrns!I17</f>
        <v>1.0105091352015734</v>
      </c>
      <c r="I15">
        <f>1+YTDrtrns!J17</f>
        <v>0.9806961826980114</v>
      </c>
      <c r="J15">
        <f>1+YTDrtrns!K17</f>
        <v>0.98906156979501247</v>
      </c>
    </row>
    <row r="16" spans="1:21" x14ac:dyDescent="0.25">
      <c r="A16">
        <f>1+YTDrtrns!B18</f>
        <v>0.9774882011115551</v>
      </c>
      <c r="B16">
        <f>1+YTDrtrns!C18</f>
        <v>0.96734058484435081</v>
      </c>
      <c r="C16">
        <f>1+YTDrtrns!D18</f>
        <v>1.0109096625819802</v>
      </c>
      <c r="D16">
        <f>1+YTDrtrns!E18</f>
        <v>1.0059769731014967</v>
      </c>
      <c r="E16">
        <f>1+YTDrtrns!F18</f>
        <v>0.99101337511092424</v>
      </c>
      <c r="F16">
        <f>1+YTDrtrns!G18</f>
        <v>1.0011373590677977</v>
      </c>
      <c r="G16">
        <f>1+YTDrtrns!H18</f>
        <v>0.99404909042641521</v>
      </c>
      <c r="H16">
        <f>1+YTDrtrns!I18</f>
        <v>1.0102647505700588</v>
      </c>
      <c r="I16">
        <f>1+YTDrtrns!J18</f>
        <v>0.96482735872268677</v>
      </c>
      <c r="J16">
        <f>1+YTDrtrns!K18</f>
        <v>1.0023282309994102</v>
      </c>
    </row>
    <row r="17" spans="1:10" x14ac:dyDescent="0.25">
      <c r="A17">
        <f>1+YTDrtrns!B19</f>
        <v>1.0012121489271522</v>
      </c>
      <c r="B17">
        <f>1+YTDrtrns!C19</f>
        <v>0.99115758389234543</v>
      </c>
      <c r="C17">
        <f>1+YTDrtrns!D19</f>
        <v>1.0059770978987217</v>
      </c>
      <c r="D17">
        <f>1+YTDrtrns!E19</f>
        <v>1.0031993421725929</v>
      </c>
      <c r="E17">
        <f>1+YTDrtrns!F19</f>
        <v>0.98295807652175426</v>
      </c>
      <c r="F17">
        <f>1+YTDrtrns!G19</f>
        <v>0.99857997056096792</v>
      </c>
      <c r="G17">
        <f>1+YTDrtrns!H19</f>
        <v>1.0065974458120763</v>
      </c>
      <c r="H17">
        <f>1+YTDrtrns!I19</f>
        <v>0.99278073664754629</v>
      </c>
      <c r="I17">
        <f>1+YTDrtrns!J19</f>
        <v>0.98996658064424992</v>
      </c>
      <c r="J17">
        <f>1+YTDrtrns!K19</f>
        <v>1</v>
      </c>
    </row>
    <row r="18" spans="1:10" x14ac:dyDescent="0.25">
      <c r="A18">
        <f>1+YTDrtrns!B20</f>
        <v>1.003631928935647</v>
      </c>
      <c r="B18">
        <f>1+YTDrtrns!C20</f>
        <v>1.011354448273778</v>
      </c>
      <c r="C18">
        <f>1+YTDrtrns!D20</f>
        <v>1.0092424722388387</v>
      </c>
      <c r="D18">
        <f>1+YTDrtrns!E20</f>
        <v>1.0004555043706205</v>
      </c>
      <c r="E18">
        <f>1+YTDrtrns!F20</f>
        <v>1.0005832172464579</v>
      </c>
      <c r="F18">
        <f>1+YTDrtrns!G20</f>
        <v>0.98862339183688164</v>
      </c>
      <c r="G18">
        <f>1+YTDrtrns!H20</f>
        <v>1.0193591602146626</v>
      </c>
      <c r="H18">
        <f>1+YTDrtrns!I20</f>
        <v>0.99515216005966067</v>
      </c>
      <c r="I18">
        <f>1+YTDrtrns!J20</f>
        <v>1.0097972638905048</v>
      </c>
      <c r="J18">
        <f>1+YTDrtrns!K20</f>
        <v>0.98199770785868168</v>
      </c>
    </row>
    <row r="19" spans="1:10" x14ac:dyDescent="0.25">
      <c r="A19">
        <f>1+YTDrtrns!B21</f>
        <v>1.1121833920478821</v>
      </c>
      <c r="B19">
        <f>1+YTDrtrns!C21</f>
        <v>1.05052125826478</v>
      </c>
      <c r="C19">
        <f>1+YTDrtrns!D21</f>
        <v>0.99738348578102887</v>
      </c>
      <c r="D19">
        <f>1+YTDrtrns!E21</f>
        <v>0.99316941620782018</v>
      </c>
      <c r="E19">
        <f>1+YTDrtrns!F21</f>
        <v>1.0153136886656284</v>
      </c>
      <c r="F19">
        <f>1+YTDrtrns!G21</f>
        <v>0.99539701221510768</v>
      </c>
      <c r="G19">
        <f>1+YTDrtrns!H21</f>
        <v>1.0211347453296185</v>
      </c>
      <c r="H19">
        <f>1+YTDrtrns!I21</f>
        <v>1.0081190587952733</v>
      </c>
      <c r="I19">
        <f>1+YTDrtrns!J21</f>
        <v>0.99230513395741582</v>
      </c>
      <c r="J19">
        <f>1+YTDrtrns!K21</f>
        <v>0.93554109334945679</v>
      </c>
    </row>
    <row r="20" spans="1:10" x14ac:dyDescent="0.25">
      <c r="A20">
        <f>1+YTDrtrns!B22</f>
        <v>0.96637739613652229</v>
      </c>
      <c r="B20">
        <f>1+YTDrtrns!C22</f>
        <v>0.96030531078577042</v>
      </c>
      <c r="C20">
        <f>1+YTDrtrns!D22</f>
        <v>0.99065414816141129</v>
      </c>
      <c r="D20">
        <f>1+YTDrtrns!E22</f>
        <v>0.99128846265375614</v>
      </c>
      <c r="E20">
        <f>1+YTDrtrns!F22</f>
        <v>0.96962576359510422</v>
      </c>
      <c r="F20">
        <f>1+YTDrtrns!G22</f>
        <v>1.0060694483108819</v>
      </c>
      <c r="G20">
        <f>1+YTDrtrns!H22</f>
        <v>1.0071711502969265</v>
      </c>
      <c r="H20">
        <f>1+YTDrtrns!I22</f>
        <v>0.98617451265454292</v>
      </c>
      <c r="I20">
        <f>1+YTDrtrns!J22</f>
        <v>1.0107889315113425</v>
      </c>
      <c r="J20">
        <f>1+YTDrtrns!K22</f>
        <v>1.0012642514193431</v>
      </c>
    </row>
    <row r="21" spans="1:10" x14ac:dyDescent="0.25">
      <c r="A21">
        <f>1+YTDrtrns!B23</f>
        <v>1.0123457480221987</v>
      </c>
      <c r="B21">
        <f>1+YTDrtrns!C23</f>
        <v>1.030206685885787</v>
      </c>
      <c r="C21">
        <f>1+YTDrtrns!D23</f>
        <v>1.0175438821315765</v>
      </c>
      <c r="D21">
        <f>1+YTDrtrns!E23</f>
        <v>1.0037002738099545</v>
      </c>
      <c r="E21">
        <f>1+YTDrtrns!F23</f>
        <v>1.0175467450171709</v>
      </c>
      <c r="F21">
        <f>1+YTDrtrns!G23</f>
        <v>1.026429133489728</v>
      </c>
      <c r="G21">
        <f>1+YTDrtrns!H23</f>
        <v>1.0313169546425343</v>
      </c>
      <c r="H21">
        <f>1+YTDrtrns!I23</f>
        <v>1.0387913212180138</v>
      </c>
      <c r="I21">
        <f>1+YTDrtrns!J23</f>
        <v>1.0163442213088274</v>
      </c>
      <c r="J21">
        <f>1+YTDrtrns!K23</f>
        <v>1.0164141561836004</v>
      </c>
    </row>
    <row r="22" spans="1:10" x14ac:dyDescent="0.25">
      <c r="A22">
        <f>1+YTDrtrns!B24</f>
        <v>0.98780481144785881</v>
      </c>
      <c r="B22">
        <f>1+YTDrtrns!C24</f>
        <v>1.0455247014760971</v>
      </c>
      <c r="C22">
        <f>1+YTDrtrns!D24</f>
        <v>0.98471049685031176</v>
      </c>
      <c r="D22">
        <f>1+YTDrtrns!E24</f>
        <v>1.0133640095591545</v>
      </c>
      <c r="E22">
        <f>1+YTDrtrns!F24</f>
        <v>1.03655119612813</v>
      </c>
      <c r="F22">
        <f>1+YTDrtrns!G24</f>
        <v>1.0405821651220322</v>
      </c>
      <c r="G22">
        <f>1+YTDrtrns!H24</f>
        <v>1.0287942830473185</v>
      </c>
      <c r="H22">
        <f>1+YTDrtrns!I24</f>
        <v>1.0188679564744234</v>
      </c>
      <c r="I22">
        <f>1+YTDrtrns!J24</f>
        <v>0.99901546502951533</v>
      </c>
      <c r="J22">
        <f>1+YTDrtrns!K24</f>
        <v>1.0006211322033778</v>
      </c>
    </row>
    <row r="23" spans="1:10" x14ac:dyDescent="0.25">
      <c r="A23">
        <f>1+YTDrtrns!B25</f>
        <v>1.0718294456601143</v>
      </c>
      <c r="B23">
        <f>1+YTDrtrns!C25</f>
        <v>1.0723246857523918</v>
      </c>
      <c r="C23">
        <f>1+YTDrtrns!D25</f>
        <v>0.99405350815504789</v>
      </c>
      <c r="D23">
        <f>1+YTDrtrns!E25</f>
        <v>0.99590722378343344</v>
      </c>
      <c r="E23">
        <f>1+YTDrtrns!F25</f>
        <v>1.007093281019479</v>
      </c>
      <c r="F23">
        <f>1+YTDrtrns!G25</f>
        <v>1.0255513917654753</v>
      </c>
      <c r="G23">
        <f>1+YTDrtrns!H25</f>
        <v>1.031261995434761</v>
      </c>
      <c r="H23">
        <f>1+YTDrtrns!I25</f>
        <v>1.0279063545167446</v>
      </c>
      <c r="I23">
        <f>1+YTDrtrns!J25</f>
        <v>1.0226674973964691</v>
      </c>
      <c r="J23">
        <f>1+YTDrtrns!K25</f>
        <v>1.0217255409806967</v>
      </c>
    </row>
    <row r="24" spans="1:10" x14ac:dyDescent="0.25">
      <c r="A24">
        <f>1+YTDrtrns!B26</f>
        <v>0.98115180060267448</v>
      </c>
      <c r="B24">
        <f>1+YTDrtrns!C26</f>
        <v>0.9470062255859375</v>
      </c>
      <c r="C24">
        <f>1+YTDrtrns!D26</f>
        <v>0.99867062433622777</v>
      </c>
      <c r="D24">
        <f>1+YTDrtrns!E26</f>
        <v>1.0002283592766616</v>
      </c>
      <c r="E24">
        <f>1+YTDrtrns!F26</f>
        <v>1.002736221300438</v>
      </c>
      <c r="F24">
        <f>1+YTDrtrns!G26</f>
        <v>1.0125885009765625</v>
      </c>
      <c r="G24">
        <f>1+YTDrtrns!H26</f>
        <v>0.97904980182647705</v>
      </c>
      <c r="H24">
        <f>1+YTDrtrns!I26</f>
        <v>1.0106342863291502</v>
      </c>
      <c r="I24">
        <f>1+YTDrtrns!J26</f>
        <v>1.0061528673395514</v>
      </c>
      <c r="J24">
        <f>1+YTDrtrns!K26</f>
        <v>1.0024301894009113</v>
      </c>
    </row>
    <row r="25" spans="1:10" x14ac:dyDescent="0.25">
      <c r="A25">
        <f>1+YTDrtrns!B27</f>
        <v>0.96264680474996567</v>
      </c>
      <c r="B25">
        <f>1+YTDrtrns!C27</f>
        <v>0.99345929129049182</v>
      </c>
      <c r="C25">
        <f>1+YTDrtrns!D27</f>
        <v>1.0222961753606796</v>
      </c>
      <c r="D25">
        <f>1+YTDrtrns!E27</f>
        <v>0.99109784979373217</v>
      </c>
      <c r="E25">
        <f>1+YTDrtrns!F27</f>
        <v>0.99590682936832309</v>
      </c>
      <c r="F25">
        <f>1+YTDrtrns!G27</f>
        <v>0.98912193812429905</v>
      </c>
      <c r="G25">
        <f>1+YTDrtrns!H27</f>
        <v>0.98341082781553268</v>
      </c>
      <c r="H25">
        <f>1+YTDrtrns!I27</f>
        <v>0.98489723633974791</v>
      </c>
      <c r="I25">
        <f>1+YTDrtrns!J27</f>
        <v>0.99549406534060836</v>
      </c>
      <c r="J25">
        <f>1+YTDrtrns!K27</f>
        <v>1.0030302568338811</v>
      </c>
    </row>
    <row r="26" spans="1:10" x14ac:dyDescent="0.25">
      <c r="A26">
        <f>1+YTDrtrns!B28</f>
        <v>0.99889132718089968</v>
      </c>
      <c r="B26">
        <f>1+YTDrtrns!C28</f>
        <v>1.008046792820096</v>
      </c>
      <c r="C26">
        <f>1+YTDrtrns!D28</f>
        <v>1.0213216375559568</v>
      </c>
      <c r="D26">
        <f>1+YTDrtrns!E28</f>
        <v>1.0294795632362366</v>
      </c>
      <c r="E26">
        <f>1+YTDrtrns!F28</f>
        <v>1.0143088698387146</v>
      </c>
      <c r="F26">
        <f>1+YTDrtrns!G28</f>
        <v>1.0162346884608269</v>
      </c>
      <c r="G26">
        <f>1+YTDrtrns!H28</f>
        <v>1.0296719260513783</v>
      </c>
      <c r="H26">
        <f>1+YTDrtrns!I28</f>
        <v>0.97461039759218693</v>
      </c>
      <c r="I26">
        <f>1+YTDrtrns!J28</f>
        <v>1.0045263301581144</v>
      </c>
      <c r="J26">
        <f>1+YTDrtrns!K28</f>
        <v>0.9927493087016046</v>
      </c>
    </row>
    <row r="27" spans="1:10" x14ac:dyDescent="0.25">
      <c r="A27">
        <f>1+YTDrtrns!B29</f>
        <v>0.97336295619606972</v>
      </c>
      <c r="B27">
        <f>1+YTDrtrns!C29</f>
        <v>0.97677796147763729</v>
      </c>
      <c r="C27">
        <f>1+YTDrtrns!D29</f>
        <v>0.98900400567799807</v>
      </c>
      <c r="D27">
        <f>1+YTDrtrns!E29</f>
        <v>0.98165548779070377</v>
      </c>
      <c r="E27">
        <f>1+YTDrtrns!F29</f>
        <v>0.98914458137005568</v>
      </c>
      <c r="F27">
        <f>1+YTDrtrns!G29</f>
        <v>0.9945889487862587</v>
      </c>
      <c r="G27">
        <f>1+YTDrtrns!H29</f>
        <v>0.96947541832923889</v>
      </c>
      <c r="H27">
        <f>1+YTDrtrns!I29</f>
        <v>0.99380960362032056</v>
      </c>
      <c r="I27">
        <f>1+YTDrtrns!J29</f>
        <v>0.98004509322345257</v>
      </c>
      <c r="J27">
        <f>1+YTDrtrns!K29</f>
        <v>0.98965306952595711</v>
      </c>
    </row>
    <row r="28" spans="1:10" x14ac:dyDescent="0.25">
      <c r="A28">
        <f>1+YTDrtrns!B30</f>
        <v>1.0125427199527621</v>
      </c>
      <c r="B28">
        <f>1+YTDrtrns!C30</f>
        <v>0.97028234601020813</v>
      </c>
      <c r="C28">
        <f>1+YTDrtrns!D30</f>
        <v>0.99500481178984046</v>
      </c>
      <c r="D28">
        <f>1+YTDrtrns!E30</f>
        <v>0.98860528785735369</v>
      </c>
      <c r="E28">
        <f>1+YTDrtrns!F30</f>
        <v>0.9696555994451046</v>
      </c>
      <c r="F28">
        <f>1+YTDrtrns!G30</f>
        <v>0.96554408967494965</v>
      </c>
      <c r="G28">
        <f>1+YTDrtrns!H30</f>
        <v>0.99603676330298185</v>
      </c>
      <c r="H28">
        <f>1+YTDrtrns!I30</f>
        <v>0.98650401085615158</v>
      </c>
      <c r="I28">
        <f>1+YTDrtrns!J30</f>
        <v>0.99277500109747052</v>
      </c>
      <c r="J28">
        <f>1+YTDrtrns!K30</f>
        <v>0.99138995166867971</v>
      </c>
    </row>
    <row r="29" spans="1:10" x14ac:dyDescent="0.25">
      <c r="A29">
        <f>1+YTDrtrns!B31</f>
        <v>1.015765804797411</v>
      </c>
      <c r="B29">
        <f>1+YTDrtrns!C31</f>
        <v>0.95712094753980637</v>
      </c>
      <c r="C29">
        <f>1+YTDrtrns!D31</f>
        <v>1.0068015898577869</v>
      </c>
      <c r="D29">
        <f>1+YTDrtrns!E31</f>
        <v>1.0092207863926888</v>
      </c>
      <c r="E29">
        <f>1+YTDrtrns!F31</f>
        <v>0.99628879060037434</v>
      </c>
      <c r="F29">
        <f>1+YTDrtrns!G31</f>
        <v>0.99758518510498106</v>
      </c>
      <c r="G29">
        <f>1+YTDrtrns!H31</f>
        <v>0.99397625681012869</v>
      </c>
      <c r="H29">
        <f>1+YTDrtrns!I31</f>
        <v>0.9894765131175518</v>
      </c>
      <c r="I29">
        <f>1+YTDrtrns!J31</f>
        <v>1.0046312040649354</v>
      </c>
      <c r="J29">
        <f>1+YTDrtrns!K31</f>
        <v>0.99596770899370313</v>
      </c>
    </row>
    <row r="30" spans="1:10" x14ac:dyDescent="0.25">
      <c r="A30">
        <f>1+YTDrtrns!B32</f>
        <v>1.0210642535239458</v>
      </c>
      <c r="B30">
        <f>1+YTDrtrns!C32</f>
        <v>1.0448000319302082</v>
      </c>
      <c r="C30">
        <f>1+YTDrtrns!D32</f>
        <v>1.0064339959062636</v>
      </c>
      <c r="D30">
        <f>1+YTDrtrns!E32</f>
        <v>1.0027410404291004</v>
      </c>
      <c r="E30">
        <f>1+YTDrtrns!F32</f>
        <v>1.0066106738522649</v>
      </c>
      <c r="F30">
        <f>1+YTDrtrns!G32</f>
        <v>0.98655190970748663</v>
      </c>
      <c r="G30">
        <f>1+YTDrtrns!H32</f>
        <v>1.0126209510490298</v>
      </c>
      <c r="H30">
        <f>1+YTDrtrns!I32</f>
        <v>1.034299410879612</v>
      </c>
      <c r="I30">
        <f>1+YTDrtrns!J32</f>
        <v>1.0075732478871942</v>
      </c>
      <c r="J30">
        <f>1+YTDrtrns!K32</f>
        <v>1.0015571234980598</v>
      </c>
    </row>
    <row r="31" spans="1:10" x14ac:dyDescent="0.25">
      <c r="A31">
        <f>1+YTDrtrns!B33</f>
        <v>0.97828449495136738</v>
      </c>
      <c r="B31">
        <f>1+YTDrtrns!C33</f>
        <v>1.0084226382896304</v>
      </c>
      <c r="C31">
        <f>1+YTDrtrns!D33</f>
        <v>0.98737412597984076</v>
      </c>
      <c r="D31">
        <f>1+YTDrtrns!E33</f>
        <v>0.98906604200601578</v>
      </c>
      <c r="E31">
        <f>1+YTDrtrns!F33</f>
        <v>1.0129782417789102</v>
      </c>
      <c r="F31">
        <f>1+YTDrtrns!G33</f>
        <v>1.0081788236275315</v>
      </c>
      <c r="G31">
        <f>1+YTDrtrns!H33</f>
        <v>0.99203858710825443</v>
      </c>
      <c r="H31">
        <f>1+YTDrtrns!I33</f>
        <v>1.0057840221561491</v>
      </c>
      <c r="I31">
        <f>1+YTDrtrns!J33</f>
        <v>0.98496728762984276</v>
      </c>
      <c r="J31">
        <f>1+YTDrtrns!K33</f>
        <v>0.98942785616964102</v>
      </c>
    </row>
    <row r="32" spans="1:10" x14ac:dyDescent="0.25">
      <c r="A32">
        <f>1+YTDrtrns!B34</f>
        <v>1.0244172364473343</v>
      </c>
      <c r="B32">
        <f>1+YTDrtrns!C34</f>
        <v>1.0584661737084389</v>
      </c>
      <c r="C32">
        <f>1+YTDrtrns!D34</f>
        <v>1.0059890379197896</v>
      </c>
      <c r="D32">
        <f>1+YTDrtrns!E34</f>
        <v>0.98287033103406429</v>
      </c>
      <c r="E32">
        <f>1+YTDrtrns!F34</f>
        <v>0.9899664930999279</v>
      </c>
      <c r="F32">
        <f>1+YTDrtrns!G34</f>
        <v>0.93077335506677628</v>
      </c>
      <c r="G32">
        <f>1+YTDrtrns!H34</f>
        <v>1.0155524294823408</v>
      </c>
      <c r="H32">
        <f>1+YTDrtrns!I34</f>
        <v>1.0090734707191586</v>
      </c>
      <c r="I32">
        <f>1+YTDrtrns!J34</f>
        <v>1.0019907555542886</v>
      </c>
      <c r="J32">
        <f>1+YTDrtrns!K34</f>
        <v>1.010056558996439</v>
      </c>
    </row>
    <row r="33" spans="1:10" x14ac:dyDescent="0.25">
      <c r="A33">
        <f>1+YTDrtrns!B35</f>
        <v>1.0314193852245808</v>
      </c>
      <c r="B33">
        <f>1+YTDrtrns!C35</f>
        <v>0.84720234572887421</v>
      </c>
      <c r="C33">
        <f>1+YTDrtrns!D35</f>
        <v>0.99211582168936729</v>
      </c>
      <c r="D33">
        <f>1+YTDrtrns!E35</f>
        <v>1.0127178737893701</v>
      </c>
      <c r="E33">
        <f>1+YTDrtrns!F35</f>
        <v>0.97687111608684063</v>
      </c>
      <c r="F33">
        <f>1+YTDrtrns!G35</f>
        <v>1.0380593091249466</v>
      </c>
      <c r="G33">
        <f>1+YTDrtrns!H35</f>
        <v>0.98784668929874897</v>
      </c>
      <c r="H33">
        <f>1+YTDrtrns!I35</f>
        <v>0.99645391618832946</v>
      </c>
      <c r="I33">
        <f>1+YTDrtrns!J35</f>
        <v>0.99072845466434956</v>
      </c>
      <c r="J33">
        <f>1+YTDrtrns!K35</f>
        <v>0.9900435684248805</v>
      </c>
    </row>
    <row r="34" spans="1:10" x14ac:dyDescent="0.25">
      <c r="A34">
        <f>1+YTDrtrns!B36</f>
        <v>1.0304621793329716</v>
      </c>
      <c r="B34">
        <f>1+YTDrtrns!C36</f>
        <v>0.99237932683899999</v>
      </c>
      <c r="C34">
        <f>1+YTDrtrns!D36</f>
        <v>0.99756727972999215</v>
      </c>
      <c r="D34">
        <f>1+YTDrtrns!E36</f>
        <v>0.99023260083049536</v>
      </c>
      <c r="E34">
        <f>1+YTDrtrns!F36</f>
        <v>1.0021282744128257</v>
      </c>
      <c r="F34">
        <f>1+YTDrtrns!G36</f>
        <v>1.0226700641214848</v>
      </c>
      <c r="G34">
        <f>1+YTDrtrns!H36</f>
        <v>1.0164405331015587</v>
      </c>
      <c r="H34">
        <f>1+YTDrtrns!I36</f>
        <v>1.0167768131941557</v>
      </c>
      <c r="I34">
        <f>1+YTDrtrns!J36</f>
        <v>1.005681820679456</v>
      </c>
      <c r="J34">
        <f>1+YTDrtrns!K36</f>
        <v>1.006913929246366</v>
      </c>
    </row>
    <row r="35" spans="1:10" x14ac:dyDescent="0.25">
      <c r="A35">
        <f>1+YTDrtrns!B37</f>
        <v>0.95412836596369743</v>
      </c>
      <c r="B35">
        <f>1+YTDrtrns!C37</f>
        <v>0.97610915638506413</v>
      </c>
      <c r="C35">
        <f>1+YTDrtrns!D37</f>
        <v>0.98914811294525862</v>
      </c>
      <c r="D35">
        <f>1+YTDrtrns!E37</f>
        <v>0.98567401152104139</v>
      </c>
      <c r="E35">
        <f>1+YTDrtrns!F37</f>
        <v>0.97690466791391373</v>
      </c>
      <c r="F35">
        <f>1+YTDrtrns!G37</f>
        <v>0.9526546373963356</v>
      </c>
      <c r="G35">
        <f>1+YTDrtrns!H37</f>
        <v>0.98067730851471424</v>
      </c>
      <c r="H35">
        <f>1+YTDrtrns!I37</f>
        <v>0.96962499618530273</v>
      </c>
      <c r="I35">
        <f>1+YTDrtrns!J37</f>
        <v>0.99534731172025204</v>
      </c>
      <c r="J35">
        <f>1+YTDrtrns!K37</f>
        <v>1</v>
      </c>
    </row>
    <row r="36" spans="1:10" x14ac:dyDescent="0.25">
      <c r="A36">
        <f>1+YTDrtrns!B38</f>
        <v>0.99252139963209629</v>
      </c>
      <c r="B36">
        <f>1+YTDrtrns!C38</f>
        <v>1.0332167930901051</v>
      </c>
      <c r="C36">
        <f>1+YTDrtrns!D38</f>
        <v>0.99769662064500153</v>
      </c>
      <c r="D36">
        <f>1+YTDrtrns!E38</f>
        <v>0.99118411354720592</v>
      </c>
      <c r="E36">
        <f>1+YTDrtrns!F38</f>
        <v>0.9922826187685132</v>
      </c>
      <c r="F36">
        <f>1+YTDrtrns!G38</f>
        <v>1.0310255084186792</v>
      </c>
      <c r="G36">
        <f>1+YTDrtrns!H38</f>
        <v>1.0099623817950487</v>
      </c>
      <c r="H36">
        <f>1+YTDrtrns!I38</f>
        <v>1.0059301159344614</v>
      </c>
      <c r="I36">
        <f>1+YTDrtrns!J38</f>
        <v>0.9869782542809844</v>
      </c>
      <c r="J36">
        <f>1+YTDrtrns!K38</f>
        <v>1.0037452848628163</v>
      </c>
    </row>
    <row r="37" spans="1:10" x14ac:dyDescent="0.25">
      <c r="A37">
        <f>1+YTDrtrns!B39</f>
        <v>0.99677075003273785</v>
      </c>
      <c r="B37">
        <f>1+YTDrtrns!C39</f>
        <v>0.97715740092098713</v>
      </c>
      <c r="C37">
        <f>1+YTDrtrns!D39</f>
        <v>1.0009894685354084</v>
      </c>
      <c r="D37">
        <f>1+YTDrtrns!E39</f>
        <v>1.007211612071842</v>
      </c>
      <c r="E37">
        <f>1+YTDrtrns!F39</f>
        <v>1.0129805840551853</v>
      </c>
      <c r="F37">
        <f>1+YTDrtrns!G39</f>
        <v>0.98300360515713692</v>
      </c>
      <c r="G37">
        <f>1+YTDrtrns!H39</f>
        <v>0.99715043278411031</v>
      </c>
      <c r="H37">
        <f>1+YTDrtrns!I39</f>
        <v>1.0299885179847479</v>
      </c>
      <c r="I37">
        <f>1+YTDrtrns!J39</f>
        <v>1.0074425311759114</v>
      </c>
      <c r="J37">
        <f>1+YTDrtrns!K39</f>
        <v>1.0080845253542066</v>
      </c>
    </row>
    <row r="38" spans="1:10" x14ac:dyDescent="0.25">
      <c r="A38">
        <f>1+YTDrtrns!B40</f>
        <v>1.0021597736049443</v>
      </c>
      <c r="B38">
        <f>1+YTDrtrns!C40</f>
        <v>0.95411257818341255</v>
      </c>
      <c r="C38">
        <f>1+YTDrtrns!D40</f>
        <v>1.0062603140249848</v>
      </c>
      <c r="D38">
        <f>1+YTDrtrns!E40</f>
        <v>1.0023865983821452</v>
      </c>
      <c r="E38">
        <f>1+YTDrtrns!F40</f>
        <v>0.99237629817798734</v>
      </c>
      <c r="F38">
        <f>1+YTDrtrns!G40</f>
        <v>0.98044221475720406</v>
      </c>
      <c r="G38">
        <f>1+YTDrtrns!H40</f>
        <v>1.0144536681473255</v>
      </c>
      <c r="H38">
        <f>1+YTDrtrns!I40</f>
        <v>1.0136866793036461</v>
      </c>
      <c r="I38">
        <f>1+YTDrtrns!J40</f>
        <v>0.98656811565160751</v>
      </c>
      <c r="J38">
        <f>1+YTDrtrns!K40</f>
        <v>0.99444797961041331</v>
      </c>
    </row>
    <row r="39" spans="1:10" x14ac:dyDescent="0.25">
      <c r="A39">
        <f>1+YTDrtrns!B41</f>
        <v>0.99137931875884533</v>
      </c>
      <c r="B39">
        <f>1+YTDrtrns!C41</f>
        <v>0.99274039268493652</v>
      </c>
      <c r="C39">
        <f>1+YTDrtrns!D41</f>
        <v>0.99705304019153118</v>
      </c>
      <c r="D39">
        <f>1+YTDrtrns!E41</f>
        <v>0.99333336250856519</v>
      </c>
      <c r="E39">
        <f>1+YTDrtrns!F41</f>
        <v>1.0026697476860136</v>
      </c>
      <c r="F39">
        <f>1+YTDrtrns!G41</f>
        <v>0.98091934621334076</v>
      </c>
      <c r="G39">
        <f>1+YTDrtrns!H41</f>
        <v>0.97860123962163925</v>
      </c>
      <c r="H39">
        <f>1+YTDrtrns!I41</f>
        <v>1.0002454479399603</v>
      </c>
      <c r="I39">
        <f>1+YTDrtrns!J41</f>
        <v>0.99693675129674375</v>
      </c>
      <c r="J39">
        <f>1+YTDrtrns!K41</f>
        <v>0.99565746914595366</v>
      </c>
    </row>
    <row r="40" spans="1:10" x14ac:dyDescent="0.25">
      <c r="A40">
        <f>1+YTDrtrns!B42</f>
        <v>0.99673915933817625</v>
      </c>
      <c r="B40">
        <f>1+YTDrtrns!C42</f>
        <v>1.0365631245076656</v>
      </c>
      <c r="C40">
        <f>1+YTDrtrns!D42</f>
        <v>1.0031198461074382</v>
      </c>
      <c r="D40">
        <f>1+YTDrtrns!E42</f>
        <v>0.99712361604906619</v>
      </c>
      <c r="E40">
        <f>1+YTDrtrns!F42</f>
        <v>0.9823941458016634</v>
      </c>
      <c r="F40">
        <f>1+YTDrtrns!G42</f>
        <v>1.0035366616211832</v>
      </c>
      <c r="G40">
        <f>1+YTDrtrns!H42</f>
        <v>0.99800708261318505</v>
      </c>
      <c r="H40">
        <f>1+YTDrtrns!I42</f>
        <v>1.1162105947732925</v>
      </c>
      <c r="I40">
        <f>1+YTDrtrns!J42</f>
        <v>0.9900989793241024</v>
      </c>
      <c r="J40">
        <f>1+YTDrtrns!K42</f>
        <v>1.0031153361778706</v>
      </c>
    </row>
    <row r="41" spans="1:10" x14ac:dyDescent="0.25">
      <c r="A41">
        <f>1+YTDrtrns!B43</f>
        <v>0.9978189249522984</v>
      </c>
      <c r="B41">
        <f>1+YTDrtrns!C43</f>
        <v>1.0291005223989487</v>
      </c>
      <c r="C41">
        <f>1+YTDrtrns!D43</f>
        <v>1.0026190842036158</v>
      </c>
      <c r="D41">
        <f>1+YTDrtrns!E43</f>
        <v>1.009615421295166</v>
      </c>
      <c r="E41">
        <f>1+YTDrtrns!F43</f>
        <v>1.0075225434266031</v>
      </c>
      <c r="F41">
        <f>1+YTDrtrns!G43</f>
        <v>0.98678411822766066</v>
      </c>
      <c r="G41">
        <f>1+YTDrtrns!H43</f>
        <v>1.0205791369080544</v>
      </c>
      <c r="H41">
        <f>1+YTDrtrns!I43</f>
        <v>0.99571240786463022</v>
      </c>
      <c r="I41">
        <f>1+YTDrtrns!J43</f>
        <v>1.0100000314414501</v>
      </c>
      <c r="J41">
        <f>1+YTDrtrns!K43</f>
        <v>0.99937886779662222</v>
      </c>
    </row>
    <row r="42" spans="1:10" x14ac:dyDescent="0.25">
      <c r="A42">
        <f>1+YTDrtrns!B44</f>
        <v>0.98797817900776863</v>
      </c>
      <c r="B42">
        <f>1+YTDrtrns!C44</f>
        <v>1.0077120955102146</v>
      </c>
      <c r="C42">
        <f>1+YTDrtrns!D44</f>
        <v>1.0031020184978843</v>
      </c>
      <c r="D42">
        <f>1+YTDrtrns!E44</f>
        <v>1.0047619231045246</v>
      </c>
      <c r="E42">
        <f>1+YTDrtrns!F44</f>
        <v>1.0203129965811968</v>
      </c>
      <c r="F42">
        <f>1+YTDrtrns!G44</f>
        <v>0.98928580898791552</v>
      </c>
      <c r="G42">
        <f>1+YTDrtrns!H44</f>
        <v>0.9888036698102951</v>
      </c>
      <c r="H42">
        <f>1+YTDrtrns!I44</f>
        <v>1.0087225455790758</v>
      </c>
      <c r="I42">
        <f>1+YTDrtrns!J44</f>
        <v>1.0484806448221207</v>
      </c>
      <c r="J42">
        <f>1+YTDrtrns!K44</f>
        <v>1.0024859544355422</v>
      </c>
    </row>
    <row r="43" spans="1:10" x14ac:dyDescent="0.25">
      <c r="A43">
        <f>1+YTDrtrns!B45</f>
        <v>0.99668144551105797</v>
      </c>
      <c r="B43">
        <f>1+YTDrtrns!C45</f>
        <v>1.0382652878761292</v>
      </c>
      <c r="C43">
        <f>1+YTDrtrns!D45</f>
        <v>1.0052083283662796</v>
      </c>
      <c r="D43">
        <f>1+YTDrtrns!E45</f>
        <v>1.0037914654240012</v>
      </c>
      <c r="E43">
        <f>1+YTDrtrns!F45</f>
        <v>1.0042507033795118</v>
      </c>
      <c r="F43">
        <f>1+YTDrtrns!G45</f>
        <v>0.99849569646175951</v>
      </c>
      <c r="G43">
        <f>1+YTDrtrns!H45</f>
        <v>1.0113780433312058</v>
      </c>
      <c r="H43">
        <f>1+YTDrtrns!I45</f>
        <v>1.0280209891498089</v>
      </c>
      <c r="I43">
        <f>1+YTDrtrns!J45</f>
        <v>0.99153375718742609</v>
      </c>
      <c r="J43">
        <f>1+YTDrtrns!K45</f>
        <v>1.0055796750821173</v>
      </c>
    </row>
    <row r="44" spans="1:10" x14ac:dyDescent="0.25">
      <c r="A44">
        <f>1+YTDrtrns!B46</f>
        <v>1.0022197007201612</v>
      </c>
      <c r="B44">
        <f>1+YTDrtrns!C46</f>
        <v>0.97706799954175949</v>
      </c>
      <c r="C44">
        <f>1+YTDrtrns!D46</f>
        <v>0.99303762149065733</v>
      </c>
      <c r="D44">
        <f>1+YTDrtrns!E46</f>
        <v>0.99386208364740014</v>
      </c>
      <c r="E44">
        <f>1+YTDrtrns!F46</f>
        <v>0.99378480669111013</v>
      </c>
      <c r="F44">
        <f>1+YTDrtrns!G46</f>
        <v>0.98734564054757357</v>
      </c>
      <c r="G44">
        <f>1+YTDrtrns!H46</f>
        <v>0.96929351054131985</v>
      </c>
      <c r="H44">
        <f>1+YTDrtrns!I46</f>
        <v>0.99073684867471457</v>
      </c>
      <c r="I44">
        <f>1+YTDrtrns!J46</f>
        <v>0.99146140459924936</v>
      </c>
      <c r="J44">
        <f>1+YTDrtrns!K46</f>
        <v>0.98397045023739338</v>
      </c>
    </row>
    <row r="45" spans="1:10" x14ac:dyDescent="0.25">
      <c r="A45">
        <f>1+YTDrtrns!B47</f>
        <v>1.0011074451031163</v>
      </c>
      <c r="B45">
        <f>1+YTDrtrns!C47</f>
        <v>0.98994133435189724</v>
      </c>
      <c r="C45">
        <f>1+YTDrtrns!D47</f>
        <v>0.97391158901154995</v>
      </c>
      <c r="D45">
        <f>1+YTDrtrns!E47</f>
        <v>1.0023753512650728</v>
      </c>
      <c r="E45">
        <f>1+YTDrtrns!F47</f>
        <v>0.97600821033120155</v>
      </c>
      <c r="F45">
        <f>1+YTDrtrns!G47</f>
        <v>0.97345130145549774</v>
      </c>
      <c r="G45">
        <f>1+YTDrtrns!H47</f>
        <v>0.99736472545191646</v>
      </c>
      <c r="H45">
        <f>1+YTDrtrns!I47</f>
        <v>0.99226221162825823</v>
      </c>
      <c r="I45">
        <f>1+YTDrtrns!J47</f>
        <v>0.98410064727067947</v>
      </c>
      <c r="J45">
        <f>1+YTDrtrns!K47</f>
        <v>0.98433583974838257</v>
      </c>
    </row>
    <row r="46" spans="1:10" x14ac:dyDescent="0.25">
      <c r="A46">
        <f>1+YTDrtrns!B48</f>
        <v>0.97234513238072395</v>
      </c>
      <c r="B46">
        <f>1+YTDrtrns!C48</f>
        <v>0.97205750457942486</v>
      </c>
      <c r="C46">
        <f>1+YTDrtrns!D48</f>
        <v>0.98526701703667641</v>
      </c>
      <c r="D46">
        <f>1+YTDrtrns!E48</f>
        <v>1.0341231897473335</v>
      </c>
      <c r="E46">
        <f>1+YTDrtrns!F48</f>
        <v>1.0141412895172834</v>
      </c>
      <c r="F46">
        <f>1+YTDrtrns!G48</f>
        <v>0.99780565220862627</v>
      </c>
      <c r="G46">
        <f>1+YTDrtrns!H48</f>
        <v>1.0006745846476406</v>
      </c>
      <c r="H46">
        <f>1+YTDrtrns!I48</f>
        <v>0.99750889907591045</v>
      </c>
      <c r="I46">
        <f>1+YTDrtrns!J48</f>
        <v>0.95759009197354317</v>
      </c>
      <c r="J46">
        <f>1+YTDrtrns!K48</f>
        <v>1.0025461465120316</v>
      </c>
    </row>
    <row r="47" spans="1:10" x14ac:dyDescent="0.25">
      <c r="A47">
        <f>1+YTDrtrns!B49</f>
        <v>0.96928333304822445</v>
      </c>
      <c r="B47">
        <f>1+YTDrtrns!C49</f>
        <v>0.96951224282383919</v>
      </c>
      <c r="C47">
        <f>1+YTDrtrns!D49</f>
        <v>0.98844519443809986</v>
      </c>
      <c r="D47">
        <f>1+YTDrtrns!E49</f>
        <v>0.97433549538254738</v>
      </c>
      <c r="E47">
        <f>1+YTDrtrns!F49</f>
        <v>0.97832128219306469</v>
      </c>
      <c r="F47">
        <f>1+YTDrtrns!G49</f>
        <v>0.98397737182676792</v>
      </c>
      <c r="G47">
        <f>1+YTDrtrns!H49</f>
        <v>0.99679771158844233</v>
      </c>
      <c r="H47">
        <f>1+YTDrtrns!I49</f>
        <v>1.0007600401295349</v>
      </c>
      <c r="I47">
        <f>1+YTDrtrns!J49</f>
        <v>0.95571176707744598</v>
      </c>
      <c r="J47">
        <f>1+YTDrtrns!K49</f>
        <v>0.95555556938052177</v>
      </c>
    </row>
    <row r="48" spans="1:10" x14ac:dyDescent="0.25">
      <c r="A48">
        <f>1+YTDrtrns!B50</f>
        <v>0.93544593453407288</v>
      </c>
      <c r="B48">
        <f>1+YTDrtrns!C50</f>
        <v>0.95417787879705429</v>
      </c>
      <c r="C48">
        <f>1+YTDrtrns!D50</f>
        <v>0.98590339161455631</v>
      </c>
      <c r="D48">
        <f>1+YTDrtrns!E50</f>
        <v>0.99623706843703985</v>
      </c>
      <c r="E48">
        <f>1+YTDrtrns!F50</f>
        <v>0.97683868557214737</v>
      </c>
      <c r="F48">
        <f>1+YTDrtrns!G50</f>
        <v>0.97349936328828335</v>
      </c>
      <c r="G48">
        <f>1+YTDrtrns!H50</f>
        <v>0.9903624439612031</v>
      </c>
      <c r="H48">
        <f>1+YTDrtrns!I50</f>
        <v>0.98296631313860416</v>
      </c>
      <c r="I48">
        <f>1+YTDrtrns!J50</f>
        <v>0.96763512119650841</v>
      </c>
      <c r="J48">
        <f>1+YTDrtrns!K50</f>
        <v>0.98604650888592005</v>
      </c>
    </row>
    <row r="49" spans="1:10" x14ac:dyDescent="0.25">
      <c r="A49">
        <f>1+YTDrtrns!B51</f>
        <v>0.94353828951716423</v>
      </c>
      <c r="B49">
        <f>1+YTDrtrns!C51</f>
        <v>0.99905835883691907</v>
      </c>
      <c r="C49">
        <f>1+YTDrtrns!D51</f>
        <v>0.96843944862484932</v>
      </c>
      <c r="D49">
        <f>1+YTDrtrns!E51</f>
        <v>1.015108578838408</v>
      </c>
      <c r="E49">
        <f>1+YTDrtrns!F51</f>
        <v>0.98917073849588633</v>
      </c>
      <c r="F49">
        <f>1+YTDrtrns!G51</f>
        <v>0.97933751530945301</v>
      </c>
      <c r="G49">
        <f>1+YTDrtrns!H51</f>
        <v>1.0066583096049726</v>
      </c>
      <c r="H49">
        <f>1+YTDrtrns!I51</f>
        <v>0.97181694395840168</v>
      </c>
      <c r="I49">
        <f>1+YTDrtrns!J51</f>
        <v>0.90079822391271591</v>
      </c>
      <c r="J49">
        <f>1+YTDrtrns!K51</f>
        <v>0.97776280902326107</v>
      </c>
    </row>
    <row r="50" spans="1:10" x14ac:dyDescent="0.25">
      <c r="A50">
        <f>1+YTDrtrns!B52</f>
        <v>1.0624999739229679</v>
      </c>
      <c r="B50">
        <f>1+YTDrtrns!C52</f>
        <v>0.985862429253757</v>
      </c>
      <c r="C50">
        <f>1+YTDrtrns!D52</f>
        <v>1.0133236916735768</v>
      </c>
      <c r="D50">
        <f>1+YTDrtrns!E52</f>
        <v>0.97767443954944611</v>
      </c>
      <c r="E50">
        <f>1+YTDrtrns!F52</f>
        <v>0.9698646180331707</v>
      </c>
      <c r="F50">
        <f>1+YTDrtrns!G52</f>
        <v>1.0364199094474316</v>
      </c>
      <c r="G50">
        <f>1+YTDrtrns!H52</f>
        <v>1.0282096527516842</v>
      </c>
      <c r="H50">
        <f>1+YTDrtrns!I52</f>
        <v>1.0305925440043211</v>
      </c>
      <c r="I50">
        <f>1+YTDrtrns!J52</f>
        <v>1.0113923437893391</v>
      </c>
      <c r="J50">
        <f>1+YTDrtrns!K52</f>
        <v>1.0254996474832296</v>
      </c>
    </row>
    <row r="51" spans="1:10" x14ac:dyDescent="0.25">
      <c r="A51">
        <f>1+YTDrtrns!B53</f>
        <v>0.99499374674633145</v>
      </c>
      <c r="B51">
        <f>1+YTDrtrns!C53</f>
        <v>1.0038240880239755</v>
      </c>
      <c r="C51">
        <f>1+YTDrtrns!D53</f>
        <v>0.96499649062752724</v>
      </c>
      <c r="D51">
        <f>1+YTDrtrns!E53</f>
        <v>0.75428159534931183</v>
      </c>
      <c r="E51">
        <f>1+YTDrtrns!F53</f>
        <v>1.0026734608691186</v>
      </c>
      <c r="F51">
        <f>1+YTDrtrns!G53</f>
        <v>0.98171728849411011</v>
      </c>
      <c r="G51">
        <f>1+YTDrtrns!H53</f>
        <v>0.9943918832577765</v>
      </c>
      <c r="H51">
        <f>1+YTDrtrns!I53</f>
        <v>0.97450888156890869</v>
      </c>
      <c r="I51">
        <f>1+YTDrtrns!J53</f>
        <v>1.0216938033699989</v>
      </c>
      <c r="J51">
        <f>1+YTDrtrns!K53</f>
        <v>1.0073924497701228</v>
      </c>
    </row>
    <row r="52" spans="1:10" x14ac:dyDescent="0.25">
      <c r="A52">
        <f>1+YTDrtrns!B54</f>
        <v>0.98742139525711536</v>
      </c>
      <c r="B52">
        <f>1+YTDrtrns!C54</f>
        <v>0.98857143986970186</v>
      </c>
      <c r="C52">
        <f>1+YTDrtrns!D54</f>
        <v>1.0287239458411932</v>
      </c>
      <c r="D52">
        <f>1+YTDrtrns!E54</f>
        <v>1.0469883866608143</v>
      </c>
      <c r="E52">
        <f>1+YTDrtrns!F54</f>
        <v>1.0173016414046288</v>
      </c>
      <c r="F52">
        <f>1+YTDrtrns!G54</f>
        <v>1.0402394756674767</v>
      </c>
      <c r="G52">
        <f>1+YTDrtrns!H54</f>
        <v>1.0311843380331993</v>
      </c>
      <c r="H52">
        <f>1+YTDrtrns!I54</f>
        <v>1.039180152118206</v>
      </c>
      <c r="I52">
        <f>1+YTDrtrns!J54</f>
        <v>1.0530829392373562</v>
      </c>
      <c r="J52">
        <f>1+YTDrtrns!K54</f>
        <v>1.0233489256352186</v>
      </c>
    </row>
    <row r="53" spans="1:10" x14ac:dyDescent="0.25">
      <c r="A53">
        <f>1+YTDrtrns!B55</f>
        <v>0.92993634194135666</v>
      </c>
      <c r="B53">
        <f>1+YTDrtrns!C55</f>
        <v>0.96724468842148781</v>
      </c>
      <c r="C53">
        <f>1+YTDrtrns!D55</f>
        <v>0.95919100195169449</v>
      </c>
      <c r="D53">
        <f>1+YTDrtrns!E55</f>
        <v>1.0156626645475626</v>
      </c>
      <c r="E53">
        <f>1+YTDrtrns!F55</f>
        <v>0.97559553571045399</v>
      </c>
      <c r="F53">
        <f>1+YTDrtrns!G55</f>
        <v>0.96067770570516586</v>
      </c>
      <c r="G53">
        <f>1+YTDrtrns!H55</f>
        <v>0.99801611201837659</v>
      </c>
      <c r="H53">
        <f>1+YTDrtrns!I55</f>
        <v>0.97341184504330158</v>
      </c>
      <c r="I53">
        <f>1+YTDrtrns!J55</f>
        <v>0.94416438788175583</v>
      </c>
      <c r="J53">
        <f>1+YTDrtrns!K55</f>
        <v>0.96610166504979134</v>
      </c>
    </row>
    <row r="54" spans="1:10" x14ac:dyDescent="0.25">
      <c r="A54">
        <f>1+YTDrtrns!B56</f>
        <v>1.0410958491265774</v>
      </c>
      <c r="B54">
        <f>1+YTDrtrns!C56</f>
        <v>1.0179283171892166</v>
      </c>
      <c r="C54">
        <f>1+YTDrtrns!D56</f>
        <v>1.0311624966561794</v>
      </c>
      <c r="D54">
        <f>1+YTDrtrns!E56</f>
        <v>1.0373664982616901</v>
      </c>
      <c r="E54">
        <f>1+YTDrtrns!F56</f>
        <v>0.98901494685560465</v>
      </c>
      <c r="F54">
        <f>1+YTDrtrns!G56</f>
        <v>1.0049917316064239</v>
      </c>
      <c r="G54">
        <f>1+YTDrtrns!H56</f>
        <v>1.0157416462898254</v>
      </c>
      <c r="H54">
        <f>1+YTDrtrns!I56</f>
        <v>1.0051494357176125</v>
      </c>
      <c r="I54">
        <f>1+YTDrtrns!J56</f>
        <v>0.98234084993600845</v>
      </c>
      <c r="J54">
        <f>1+YTDrtrns!K56</f>
        <v>1.0080971587449312</v>
      </c>
    </row>
    <row r="55" spans="1:10" x14ac:dyDescent="0.25">
      <c r="A55">
        <f>1+YTDrtrns!B57</f>
        <v>1.0486841946840286</v>
      </c>
      <c r="B55">
        <f>1+YTDrtrns!C57</f>
        <v>1.0440312922000885</v>
      </c>
      <c r="C55">
        <f>1+YTDrtrns!D57</f>
        <v>1.013753205537796</v>
      </c>
      <c r="D55">
        <f>1+YTDrtrns!E57</f>
        <v>1.0560319945216179</v>
      </c>
      <c r="E55">
        <f>1+YTDrtrns!F57</f>
        <v>1.0284920986741781</v>
      </c>
      <c r="F55">
        <f>1+YTDrtrns!G57</f>
        <v>1.0185430273413658</v>
      </c>
      <c r="G55">
        <f>1+YTDrtrns!H57</f>
        <v>0.99931236176053062</v>
      </c>
      <c r="H55">
        <f>1+YTDrtrns!I57</f>
        <v>1.0209377128630877</v>
      </c>
      <c r="I55">
        <f>1+YTDrtrns!J57</f>
        <v>1.0535117350518703</v>
      </c>
      <c r="J55">
        <f>1+YTDrtrns!K57</f>
        <v>1.0327979065477848</v>
      </c>
    </row>
    <row r="56" spans="1:10" x14ac:dyDescent="0.25">
      <c r="A56">
        <f>1+YTDrtrns!B58</f>
        <v>0.96737769618630409</v>
      </c>
      <c r="B56">
        <f>1+YTDrtrns!C58</f>
        <v>1.0018743677064776</v>
      </c>
      <c r="C56">
        <f>1+YTDrtrns!D58</f>
        <v>0.97179575450718403</v>
      </c>
      <c r="D56">
        <f>1+YTDrtrns!E58</f>
        <v>1</v>
      </c>
      <c r="E56">
        <f>1+YTDrtrns!F58</f>
        <v>0.98016196303069592</v>
      </c>
      <c r="F56">
        <f>1+YTDrtrns!G58</f>
        <v>0.97269180230796337</v>
      </c>
      <c r="G56">
        <f>1+YTDrtrns!H58</f>
        <v>0.98364475555717945</v>
      </c>
      <c r="H56">
        <f>1+YTDrtrns!I58</f>
        <v>0.99705468909814954</v>
      </c>
      <c r="I56">
        <f>1+YTDrtrns!J58</f>
        <v>0.93333332240581512</v>
      </c>
      <c r="J56">
        <f>1+YTDrtrns!K58</f>
        <v>0.98185348883271217</v>
      </c>
    </row>
    <row r="57" spans="1:10" x14ac:dyDescent="0.25">
      <c r="A57">
        <f>1+YTDrtrns!B59</f>
        <v>0.95071334391832352</v>
      </c>
      <c r="B57">
        <f>1+YTDrtrns!C59</f>
        <v>1.0327409170567989</v>
      </c>
      <c r="C57">
        <f>1+YTDrtrns!D59</f>
        <v>0.98787656426429749</v>
      </c>
      <c r="D57">
        <f>1+YTDrtrns!E59</f>
        <v>1.0314022712409496</v>
      </c>
      <c r="E57">
        <f>1+YTDrtrns!F59</f>
        <v>0.993772495072335</v>
      </c>
      <c r="F57">
        <f>1+YTDrtrns!G59</f>
        <v>0.98863635864108801</v>
      </c>
      <c r="G57">
        <f>1+YTDrtrns!H59</f>
        <v>0.98756996542215347</v>
      </c>
      <c r="H57">
        <f>1+YTDrtrns!I59</f>
        <v>1.0103938393294811</v>
      </c>
      <c r="I57">
        <f>1+YTDrtrns!J59</f>
        <v>0.96045917272567749</v>
      </c>
      <c r="J57">
        <f>1+YTDrtrns!K59</f>
        <v>0.98745877295732498</v>
      </c>
    </row>
    <row r="58" spans="1:10" x14ac:dyDescent="0.25">
      <c r="A58">
        <f>1+YTDrtrns!B60</f>
        <v>0.98021828383207321</v>
      </c>
      <c r="B58">
        <f>1+YTDrtrns!C60</f>
        <v>1.0389493033289909</v>
      </c>
      <c r="C58">
        <f>1+YTDrtrns!D60</f>
        <v>1.0145035814493895</v>
      </c>
      <c r="D58">
        <f>1+YTDrtrns!E60</f>
        <v>1.0393700785934925</v>
      </c>
      <c r="E58">
        <f>1+YTDrtrns!F60</f>
        <v>1.0008435730705969</v>
      </c>
      <c r="F58">
        <f>1+YTDrtrns!G60</f>
        <v>1.0307640247046947</v>
      </c>
      <c r="G58">
        <f>1+YTDrtrns!H60</f>
        <v>1.0172723699361086</v>
      </c>
      <c r="H58">
        <f>1+YTDrtrns!I60</f>
        <v>0.98808880895376205</v>
      </c>
      <c r="I58">
        <f>1+YTDrtrns!J60</f>
        <v>1.0079681407660246</v>
      </c>
      <c r="J58">
        <f>1+YTDrtrns!K60</f>
        <v>1.0100267129018903</v>
      </c>
    </row>
    <row r="59" spans="1:10" x14ac:dyDescent="0.25">
      <c r="A59">
        <f>1+YTDrtrns!B61</f>
        <v>0.9979123359080404</v>
      </c>
      <c r="B59">
        <f>1+YTDrtrns!C61</f>
        <v>0.9834350012242794</v>
      </c>
      <c r="C59">
        <f>1+YTDrtrns!D61</f>
        <v>1.0194281078875065</v>
      </c>
      <c r="D59">
        <f>1+YTDrtrns!E61</f>
        <v>1.0050505246035755</v>
      </c>
      <c r="E59">
        <f>1+YTDrtrns!F61</f>
        <v>1.0190848764032125</v>
      </c>
      <c r="F59">
        <f>1+YTDrtrns!G61</f>
        <v>1.0036077601835132</v>
      </c>
      <c r="G59">
        <f>1+YTDrtrns!H61</f>
        <v>1.02029999345541</v>
      </c>
      <c r="H59">
        <f>1+YTDrtrns!I61</f>
        <v>1.0170958638191223</v>
      </c>
      <c r="I59">
        <f>1+YTDrtrns!J61</f>
        <v>1.037329837679863</v>
      </c>
      <c r="J59">
        <f>1+YTDrtrns!K61</f>
        <v>1.0099272383376956</v>
      </c>
    </row>
    <row r="60" spans="1:10" x14ac:dyDescent="0.25">
      <c r="A60">
        <f>1+YTDrtrns!B62</f>
        <v>0.98326361365616322</v>
      </c>
      <c r="B60">
        <f>1+YTDrtrns!C62</f>
        <v>0.94592201337218285</v>
      </c>
      <c r="C60">
        <f>1+YTDrtrns!D62</f>
        <v>1.004674615804106</v>
      </c>
      <c r="D60">
        <f>1+YTDrtrns!E62</f>
        <v>0.9854271849617362</v>
      </c>
      <c r="E60">
        <f>1+YTDrtrns!F62</f>
        <v>1.0119926668703556</v>
      </c>
      <c r="F60">
        <f>1+YTDrtrns!G62</f>
        <v>1.0179738309234381</v>
      </c>
      <c r="G60">
        <f>1+YTDrtrns!H62</f>
        <v>0.99742765771225095</v>
      </c>
      <c r="H60">
        <f>1+YTDrtrns!I62</f>
        <v>1.0233811642974615</v>
      </c>
      <c r="I60">
        <f>1+YTDrtrns!J62</f>
        <v>0.97375102341175079</v>
      </c>
      <c r="J60">
        <f>1+YTDrtrns!K62</f>
        <v>0.98754911310970783</v>
      </c>
    </row>
    <row r="61" spans="1:10" x14ac:dyDescent="0.25">
      <c r="A61">
        <f>1+YTDrtrns!B63</f>
        <v>0.98262405395507813</v>
      </c>
      <c r="B61">
        <f>1+YTDrtrns!C63</f>
        <v>1.012183703482151</v>
      </c>
      <c r="C61">
        <f>1+YTDrtrns!D63</f>
        <v>1.0182534083724022</v>
      </c>
      <c r="D61">
        <f>1+YTDrtrns!E63</f>
        <v>0.98521158006042242</v>
      </c>
      <c r="E61">
        <f>1+YTDrtrns!F63</f>
        <v>0.99859891715459526</v>
      </c>
      <c r="F61">
        <f>1+YTDrtrns!G63</f>
        <v>1.0121990712359548</v>
      </c>
      <c r="G61">
        <f>1+YTDrtrns!H63</f>
        <v>0.99389471765607595</v>
      </c>
      <c r="H61">
        <f>1+YTDrtrns!I63</f>
        <v>0.99789424543268979</v>
      </c>
      <c r="I61">
        <f>1+YTDrtrns!J63</f>
        <v>0.99739132751710713</v>
      </c>
      <c r="J61">
        <f>1+YTDrtrns!K63</f>
        <v>0.99071006011217833</v>
      </c>
    </row>
    <row r="62" spans="1:10" x14ac:dyDescent="0.25">
      <c r="A62">
        <f>1+YTDrtrns!B64</f>
        <v>0.95994230359792709</v>
      </c>
      <c r="B62">
        <f>1+YTDrtrns!C64</f>
        <v>1.0018518059514463</v>
      </c>
      <c r="C62">
        <f>1+YTDrtrns!D64</f>
        <v>1.0070298365317285</v>
      </c>
      <c r="D62">
        <f>1+YTDrtrns!E64</f>
        <v>0.98861287161707878</v>
      </c>
      <c r="E62">
        <f>1+YTDrtrns!F64</f>
        <v>0.99234188254922628</v>
      </c>
      <c r="F62">
        <f>1+YTDrtrns!G64</f>
        <v>0.99492547288537025</v>
      </c>
      <c r="G62">
        <f>1+YTDrtrns!H64</f>
        <v>1.0010590815218166</v>
      </c>
      <c r="H62">
        <f>1+YTDrtrns!I64</f>
        <v>1.0012661188375205</v>
      </c>
      <c r="I62">
        <f>1+YTDrtrns!J64</f>
        <v>0.96817779168486595</v>
      </c>
      <c r="J62">
        <f>1+YTDrtrns!K64</f>
        <v>1.0046885260380805</v>
      </c>
    </row>
    <row r="63" spans="1:10" x14ac:dyDescent="0.25">
      <c r="A63">
        <f>1+YTDrtrns!B65</f>
        <v>1.0285714361816645</v>
      </c>
      <c r="B63">
        <f>1+YTDrtrns!C65</f>
        <v>1.0462107211351395</v>
      </c>
      <c r="C63">
        <f>1+YTDrtrns!D65</f>
        <v>1.0125654665753245</v>
      </c>
      <c r="D63">
        <f>1+YTDrtrns!E65</f>
        <v>1.0198952443897724</v>
      </c>
      <c r="E63">
        <f>1+YTDrtrns!F65</f>
        <v>1.0336377434432507</v>
      </c>
      <c r="F63">
        <f>1+YTDrtrns!G65</f>
        <v>1.0117946742102504</v>
      </c>
      <c r="G63">
        <f>1+YTDrtrns!H65</f>
        <v>1.0065594874322414</v>
      </c>
      <c r="H63">
        <f>1+YTDrtrns!I65</f>
        <v>1.0188619699329138</v>
      </c>
      <c r="I63">
        <f>1+YTDrtrns!J65</f>
        <v>0.98559208866208792</v>
      </c>
      <c r="J63">
        <f>1+YTDrtrns!K65</f>
        <v>1.0086666746065021</v>
      </c>
    </row>
    <row r="64" spans="1:10" x14ac:dyDescent="0.25">
      <c r="A64">
        <f>1+YTDrtrns!B66</f>
        <v>0.99415205232799053</v>
      </c>
      <c r="B64">
        <f>1+YTDrtrns!C66</f>
        <v>0.97261488810181618</v>
      </c>
      <c r="C64">
        <f>1+YTDrtrns!D66</f>
        <v>0.99258875707164407</v>
      </c>
      <c r="D64">
        <f>1+YTDrtrns!E66</f>
        <v>0.98254619352519512</v>
      </c>
      <c r="E64">
        <f>1+YTDrtrns!F66</f>
        <v>0.98837336990982294</v>
      </c>
      <c r="F64">
        <f>1+YTDrtrns!G66</f>
        <v>1.0040958118624985</v>
      </c>
      <c r="G64">
        <f>1+YTDrtrns!H66</f>
        <v>1.0024700504727662</v>
      </c>
      <c r="H64">
        <f>1+YTDrtrns!I66</f>
        <v>1.0033095427788794</v>
      </c>
      <c r="I64">
        <f>1+YTDrtrns!J66</f>
        <v>0.98355419375002384</v>
      </c>
      <c r="J64">
        <f>1+YTDrtrns!K66</f>
        <v>0.97951087728142738</v>
      </c>
    </row>
    <row r="65" spans="1:10" x14ac:dyDescent="0.25">
      <c r="A65">
        <f>1+YTDrtrns!B67</f>
        <v>0.94411763176321983</v>
      </c>
      <c r="B65">
        <f>1+YTDrtrns!C67</f>
        <v>0.9981834280770272</v>
      </c>
      <c r="C65">
        <f>1+YTDrtrns!D67</f>
        <v>0.97603748738765717</v>
      </c>
      <c r="D65">
        <f>1+YTDrtrns!E67</f>
        <v>1.0015674340538681</v>
      </c>
      <c r="E65">
        <f>1+YTDrtrns!F67</f>
        <v>0.98685273434966803</v>
      </c>
      <c r="F65">
        <f>1+YTDrtrns!G67</f>
        <v>1.0053341723978519</v>
      </c>
      <c r="G65">
        <f>1+YTDrtrns!H67</f>
        <v>1.0120576834306121</v>
      </c>
      <c r="H65">
        <f>1+YTDrtrns!I67</f>
        <v>0.96804454922676086</v>
      </c>
      <c r="I65">
        <f>1+YTDrtrns!J67</f>
        <v>0.96144914627075195</v>
      </c>
      <c r="J65">
        <f>1+YTDrtrns!K67</f>
        <v>0.98448046203702688</v>
      </c>
    </row>
    <row r="66" spans="1:10" x14ac:dyDescent="0.25">
      <c r="A66">
        <f>1+YTDrtrns!B68</f>
        <v>1.00155759381596</v>
      </c>
      <c r="B66">
        <f>1+YTDrtrns!C68</f>
        <v>0.92902640998363495</v>
      </c>
      <c r="C66">
        <f>1+YTDrtrns!D68</f>
        <v>1.0001779422891559</v>
      </c>
      <c r="D66">
        <f>1+YTDrtrns!E68</f>
        <v>0.99113197345286608</v>
      </c>
      <c r="E66">
        <f>1+YTDrtrns!F68</f>
        <v>0.99485798226669431</v>
      </c>
      <c r="F66">
        <f>1+YTDrtrns!G68</f>
        <v>1.0212234798818827</v>
      </c>
      <c r="G66">
        <f>1+YTDrtrns!H68</f>
        <v>1.0006733469199389</v>
      </c>
      <c r="H66">
        <f>1+YTDrtrns!I68</f>
        <v>0.98818016611039639</v>
      </c>
      <c r="I66">
        <f>1+YTDrtrns!J68</f>
        <v>1.0173912402242422</v>
      </c>
      <c r="J66">
        <f>1+YTDrtrns!K68</f>
        <v>1.0075393868610263</v>
      </c>
    </row>
    <row r="67" spans="1:10" x14ac:dyDescent="0.25">
      <c r="A67">
        <f>1+YTDrtrns!B69</f>
        <v>1.0451010838150978</v>
      </c>
      <c r="B67">
        <f>1+YTDrtrns!C69</f>
        <v>1.0117531716823578</v>
      </c>
      <c r="C67">
        <f>1+YTDrtrns!D69</f>
        <v>1.0028459595050663</v>
      </c>
      <c r="D67">
        <f>1+YTDrtrns!E69</f>
        <v>1.0052631781436503</v>
      </c>
      <c r="E67">
        <f>1+YTDrtrns!F69</f>
        <v>0.99864914990030229</v>
      </c>
      <c r="F67">
        <f>1+YTDrtrns!G69</f>
        <v>0.99663812317885458</v>
      </c>
      <c r="G67">
        <f>1+YTDrtrns!H69</f>
        <v>0.99135522171854973</v>
      </c>
      <c r="H67">
        <f>1+YTDrtrns!I69</f>
        <v>0.99946117401123047</v>
      </c>
      <c r="I67">
        <f>1+YTDrtrns!J69</f>
        <v>1.0113960010930896</v>
      </c>
      <c r="J67">
        <f>1+YTDrtrns!K69</f>
        <v>1.0163265280425549</v>
      </c>
    </row>
    <row r="68" spans="1:10" x14ac:dyDescent="0.25">
      <c r="A68">
        <f>1+YTDrtrns!B70</f>
        <v>0.98363100364804268</v>
      </c>
      <c r="B68">
        <f>1+YTDrtrns!C70</f>
        <v>0.98935143649578094</v>
      </c>
      <c r="C68">
        <f>1+YTDrtrns!D70</f>
        <v>1.0012415696401149</v>
      </c>
      <c r="D68">
        <f>1+YTDrtrns!E70</f>
        <v>1.0261780098080635</v>
      </c>
      <c r="E68">
        <f>1+YTDrtrns!F70</f>
        <v>1.0241722092032433</v>
      </c>
      <c r="F68">
        <f>1+YTDrtrns!G70</f>
        <v>1.0159460417926311</v>
      </c>
      <c r="G68">
        <f>1+YTDrtrns!H70</f>
        <v>1.0122187435626984</v>
      </c>
      <c r="H68">
        <f>1+YTDrtrns!I70</f>
        <v>1.0162803456187248</v>
      </c>
      <c r="I68">
        <f>1+YTDrtrns!J70</f>
        <v>0.99342725845053792</v>
      </c>
      <c r="J68">
        <f>1+YTDrtrns!K70</f>
        <v>1.0047490266151726</v>
      </c>
    </row>
    <row r="69" spans="1:10" x14ac:dyDescent="0.25">
      <c r="A69">
        <f>1+YTDrtrns!B71</f>
        <v>0.97428137995302677</v>
      </c>
      <c r="B69">
        <f>1+YTDrtrns!C71</f>
        <v>0.9980430081486702</v>
      </c>
      <c r="C69">
        <f>1+YTDrtrns!D71</f>
        <v>1.0076173655688763</v>
      </c>
      <c r="D69">
        <f>1+YTDrtrns!E71</f>
        <v>0.98826532997190952</v>
      </c>
      <c r="E69">
        <f>1+YTDrtrns!F71</f>
        <v>1.0079246861860156</v>
      </c>
      <c r="F69">
        <f>1+YTDrtrns!G71</f>
        <v>1.0024146698415279</v>
      </c>
      <c r="G69">
        <f>1+YTDrtrns!H71</f>
        <v>1.0037142182700336</v>
      </c>
      <c r="H69">
        <f>1+YTDrtrns!I71</f>
        <v>1.0044557410292327</v>
      </c>
      <c r="I69">
        <f>1+YTDrtrns!J71</f>
        <v>1.0080340299755335</v>
      </c>
      <c r="J69">
        <f>1+YTDrtrns!K71</f>
        <v>0.98987166956067085</v>
      </c>
    </row>
    <row r="70" spans="1:10" x14ac:dyDescent="0.25">
      <c r="A70">
        <f>1+YTDrtrns!B72</f>
        <v>0.99378882581368089</v>
      </c>
      <c r="B70">
        <f>1+YTDrtrns!C72</f>
        <v>0.96862747892737389</v>
      </c>
      <c r="C70">
        <f>1+YTDrtrns!D72</f>
        <v>0.99490153091028333</v>
      </c>
      <c r="D70">
        <f>1+YTDrtrns!E72</f>
        <v>0.99019099026918411</v>
      </c>
      <c r="E70">
        <f>1+YTDrtrns!F72</f>
        <v>0.999715114798164</v>
      </c>
      <c r="F70">
        <f>1+YTDrtrns!G72</f>
        <v>0.96476970240473747</v>
      </c>
      <c r="G70">
        <f>1+YTDrtrns!H72</f>
        <v>1.0043685603886843</v>
      </c>
      <c r="H70">
        <f>1+YTDrtrns!I72</f>
        <v>1.0191169995814562</v>
      </c>
      <c r="I70">
        <f>1+YTDrtrns!J72</f>
        <v>0.98406000249087811</v>
      </c>
      <c r="J70">
        <f>1+YTDrtrns!K72</f>
        <v>0.99727148958481848</v>
      </c>
    </row>
    <row r="71" spans="1:10" x14ac:dyDescent="0.25">
      <c r="A71">
        <f>1+YTDrtrns!B73</f>
        <v>1.0374999642372131</v>
      </c>
      <c r="B71">
        <f>1+YTDrtrns!C73</f>
        <v>1.0435222983360291</v>
      </c>
      <c r="C71">
        <f>1+YTDrtrns!D73</f>
        <v>1.0021204971708357</v>
      </c>
      <c r="D71">
        <f>1+YTDrtrns!E73</f>
        <v>1</v>
      </c>
      <c r="E71">
        <f>1+YTDrtrns!F73</f>
        <v>0.99515583226457238</v>
      </c>
      <c r="F71">
        <f>1+YTDrtrns!G73</f>
        <v>0.96254679188132286</v>
      </c>
      <c r="G71">
        <f>1+YTDrtrns!H73</f>
        <v>1.0143792731687427</v>
      </c>
      <c r="H71">
        <f>1+YTDrtrns!I73</f>
        <v>1.0065292245708406</v>
      </c>
      <c r="I71">
        <f>1+YTDrtrns!J73</f>
        <v>0.99237732961773872</v>
      </c>
      <c r="J71">
        <f>1+YTDrtrns!K73</f>
        <v>1.0006840102141723</v>
      </c>
    </row>
    <row r="72" spans="1:10" x14ac:dyDescent="0.25">
      <c r="A72">
        <f>1+YTDrtrns!B74</f>
        <v>1.0135542405769229</v>
      </c>
      <c r="B72">
        <f>1+YTDrtrns!C74</f>
        <v>1.0019398160511628</v>
      </c>
      <c r="C72">
        <f>1+YTDrtrns!D74</f>
        <v>0.99171226564794779</v>
      </c>
      <c r="D72">
        <f>1+YTDrtrns!E74</f>
        <v>0.98800836596637964</v>
      </c>
      <c r="E72">
        <f>1+YTDrtrns!F74</f>
        <v>1.0123125026002526</v>
      </c>
      <c r="F72">
        <f>1+YTDrtrns!G74</f>
        <v>0.97243838012218475</v>
      </c>
      <c r="G72">
        <f>1+YTDrtrns!H74</f>
        <v>0.99984866680460982</v>
      </c>
      <c r="H72">
        <f>1+YTDrtrns!I74</f>
        <v>0.98290770500898361</v>
      </c>
      <c r="I72">
        <f>1+YTDrtrns!J74</f>
        <v>0.98079694621264935</v>
      </c>
      <c r="J72">
        <f>1+YTDrtrns!K74</f>
        <v>0.98906357865780592</v>
      </c>
    </row>
    <row r="73" spans="1:10" x14ac:dyDescent="0.25">
      <c r="A73">
        <f>1+YTDrtrns!B75</f>
        <v>1.0594353787600994</v>
      </c>
      <c r="B73">
        <f>1+YTDrtrns!C75</f>
        <v>1.005324327852577</v>
      </c>
      <c r="C73">
        <f>1+YTDrtrns!D75</f>
        <v>1.0170696843415499</v>
      </c>
      <c r="D73">
        <f>1+YTDrtrns!E75</f>
        <v>0.93931390717625618</v>
      </c>
      <c r="E73">
        <f>1+YTDrtrns!F75</f>
        <v>0.99932109308429062</v>
      </c>
      <c r="F73">
        <f>1+YTDrtrns!G75</f>
        <v>1.0080026602372527</v>
      </c>
      <c r="G73">
        <f>1+YTDrtrns!H75</f>
        <v>0.98960646986961365</v>
      </c>
      <c r="H73">
        <f>1+YTDrtrns!I75</f>
        <v>1.005447352770716</v>
      </c>
      <c r="I73">
        <f>1+YTDrtrns!J75</f>
        <v>1.0161527134478092</v>
      </c>
      <c r="J73">
        <f>1+YTDrtrns!K75</f>
        <v>1.0207325629889965</v>
      </c>
    </row>
    <row r="74" spans="1:10" x14ac:dyDescent="0.25">
      <c r="A74">
        <f>1+YTDrtrns!B76</f>
        <v>1.0322580672800541</v>
      </c>
      <c r="B74">
        <f>1+YTDrtrns!C76</f>
        <v>1.0091477427631617</v>
      </c>
      <c r="C74">
        <f>1+YTDrtrns!D76</f>
        <v>1.0054195378907025</v>
      </c>
      <c r="D74">
        <f>1+YTDrtrns!E76</f>
        <v>0.95505622029304504</v>
      </c>
      <c r="E74">
        <f>1+YTDrtrns!F76</f>
        <v>0.99020664673298597</v>
      </c>
      <c r="F74">
        <f>1+YTDrtrns!G76</f>
        <v>1.0006616095779464</v>
      </c>
      <c r="G74">
        <f>1+YTDrtrns!H76</f>
        <v>1.0009177522733808</v>
      </c>
      <c r="H74">
        <f>1+YTDrtrns!I76</f>
        <v>1.0132318874821067</v>
      </c>
      <c r="I74">
        <f>1+YTDrtrns!J76</f>
        <v>0.97928707674145699</v>
      </c>
      <c r="J74">
        <f>1+YTDrtrns!K76</f>
        <v>0.97359510324895382</v>
      </c>
    </row>
    <row r="75" spans="1:10" x14ac:dyDescent="0.25">
      <c r="A75">
        <f>1+YTDrtrns!B77</f>
        <v>1.004076050594449</v>
      </c>
      <c r="B75">
        <f>1+YTDrtrns!C77</f>
        <v>0.98377870954573154</v>
      </c>
      <c r="C75">
        <f>1+YTDrtrns!D77</f>
        <v>0.99965229275403544</v>
      </c>
      <c r="D75">
        <f>1+YTDrtrns!E77</f>
        <v>1.0329411439597607</v>
      </c>
      <c r="E75">
        <f>1+YTDrtrns!F77</f>
        <v>1.0199520103633404</v>
      </c>
      <c r="F75">
        <f>1+YTDrtrns!G77</f>
        <v>1.0290908813476563</v>
      </c>
      <c r="G75">
        <f>1+YTDrtrns!H77</f>
        <v>1.0090158358216286</v>
      </c>
      <c r="H75">
        <f>1+YTDrtrns!I77</f>
        <v>1.0092545142397285</v>
      </c>
      <c r="I75">
        <f>1+YTDrtrns!J77</f>
        <v>1.0398425720632076</v>
      </c>
      <c r="J75">
        <f>1+YTDrtrns!K77</f>
        <v>1.0076494892127812</v>
      </c>
    </row>
    <row r="76" spans="1:10" x14ac:dyDescent="0.25">
      <c r="A76">
        <f>1+YTDrtrns!B78</f>
        <v>1.0284167844802141</v>
      </c>
      <c r="B76">
        <f>1+YTDrtrns!C78</f>
        <v>0.99224045826122165</v>
      </c>
      <c r="C76">
        <f>1+YTDrtrns!D78</f>
        <v>0.99356405064463615</v>
      </c>
      <c r="D76">
        <f>1+YTDrtrns!E78</f>
        <v>0.99658317374996841</v>
      </c>
      <c r="E76">
        <f>1+YTDrtrns!F78</f>
        <v>1.0119948396459222</v>
      </c>
      <c r="F76">
        <f>1+YTDrtrns!G78</f>
        <v>0.99582399101927876</v>
      </c>
      <c r="G76">
        <f>1+YTDrtrns!H78</f>
        <v>1.0126710580661893</v>
      </c>
      <c r="H76">
        <f>1+YTDrtrns!I78</f>
        <v>1.0113092269748449</v>
      </c>
      <c r="I76">
        <f>1+YTDrtrns!J78</f>
        <v>0.99952695227693766</v>
      </c>
      <c r="J76">
        <f>1+YTDrtrns!K78</f>
        <v>0.99792962498031557</v>
      </c>
    </row>
    <row r="77" spans="1:10" x14ac:dyDescent="0.25">
      <c r="A77">
        <f>1+YTDrtrns!B79</f>
        <v>0.9421052560210228</v>
      </c>
      <c r="B77">
        <f>1+YTDrtrns!C79</f>
        <v>1.0361682176589966</v>
      </c>
      <c r="C77">
        <f>1+YTDrtrns!D79</f>
        <v>0.98809523228555918</v>
      </c>
      <c r="D77">
        <f>1+YTDrtrns!E79</f>
        <v>1.0217142384499311</v>
      </c>
      <c r="E77">
        <f>1+YTDrtrns!F79</f>
        <v>0.97712542302906513</v>
      </c>
      <c r="F77">
        <f>1+YTDrtrns!G79</f>
        <v>1.0006451760418713</v>
      </c>
      <c r="G77">
        <f>1+YTDrtrns!H79</f>
        <v>1.0179461147636175</v>
      </c>
      <c r="H77">
        <f>1+YTDrtrns!I79</f>
        <v>1.0020148796029389</v>
      </c>
      <c r="I77">
        <f>1+YTDrtrns!J79</f>
        <v>0.98201612941920757</v>
      </c>
      <c r="J77">
        <f>1+YTDrtrns!K79</f>
        <v>0.99515908071771264</v>
      </c>
    </row>
    <row r="78" spans="1:10" x14ac:dyDescent="0.25">
      <c r="A78">
        <f>1+YTDrtrns!B80</f>
        <v>1.0027932934463024</v>
      </c>
      <c r="B78">
        <f>1+YTDrtrns!C80</f>
        <v>0.94528302922844887</v>
      </c>
      <c r="C78">
        <f>1+YTDrtrns!D80</f>
        <v>1.0033664500806481</v>
      </c>
      <c r="D78">
        <f>1+YTDrtrns!E80</f>
        <v>0.97874724864959717</v>
      </c>
      <c r="E78">
        <f>1+YTDrtrns!F80</f>
        <v>1</v>
      </c>
      <c r="F78">
        <f>1+YTDrtrns!G80</f>
        <v>0.99258544342592359</v>
      </c>
      <c r="G78">
        <f>1+YTDrtrns!H80</f>
        <v>0.99358473252505064</v>
      </c>
      <c r="H78">
        <f>1+YTDrtrns!I80</f>
        <v>0.9915544306859374</v>
      </c>
      <c r="I78">
        <f>1+YTDrtrns!J80</f>
        <v>0.95855418592691422</v>
      </c>
      <c r="J78">
        <f>1+YTDrtrns!K80</f>
        <v>0.99652535165660083</v>
      </c>
    </row>
    <row r="79" spans="1:10" x14ac:dyDescent="0.25">
      <c r="A79">
        <f>1+YTDrtrns!B81</f>
        <v>1.0194986555725336</v>
      </c>
      <c r="B79">
        <f>1+YTDrtrns!C81</f>
        <v>0.94011972472071648</v>
      </c>
      <c r="C79">
        <f>1+YTDrtrns!D81</f>
        <v>0.99081758037209511</v>
      </c>
      <c r="D79">
        <f>1+YTDrtrns!E81</f>
        <v>0.96628570556640625</v>
      </c>
      <c r="E79">
        <f>1+YTDrtrns!F81</f>
        <v>0.97806373983621597</v>
      </c>
      <c r="F79">
        <f>1+YTDrtrns!G81</f>
        <v>0.984085688367486</v>
      </c>
      <c r="G79">
        <f>1+YTDrtrns!H81</f>
        <v>0.99009318090975285</v>
      </c>
      <c r="H79">
        <f>1+YTDrtrns!I81</f>
        <v>0.98996141273528337</v>
      </c>
      <c r="I79">
        <f>1+YTDrtrns!J81</f>
        <v>0.92357975989580154</v>
      </c>
      <c r="J79">
        <f>1+YTDrtrns!K81</f>
        <v>0.97280332446098328</v>
      </c>
    </row>
    <row r="80" spans="1:10" x14ac:dyDescent="0.25">
      <c r="A80">
        <f>1+YTDrtrns!B82</f>
        <v>0.96721308305859566</v>
      </c>
      <c r="B80">
        <f>1+YTDrtrns!C82</f>
        <v>1.0095541561022401</v>
      </c>
      <c r="C80">
        <f>1+YTDrtrns!D82</f>
        <v>0.99269292736425996</v>
      </c>
      <c r="D80">
        <f>1+YTDrtrns!E82</f>
        <v>1.0260201375931501</v>
      </c>
      <c r="E80">
        <f>1+YTDrtrns!F82</f>
        <v>0.95983768254518509</v>
      </c>
      <c r="F80">
        <f>1+YTDrtrns!G82</f>
        <v>0.99768977891653776</v>
      </c>
      <c r="G80">
        <f>1+YTDrtrns!H82</f>
        <v>0.9911389946937561</v>
      </c>
      <c r="H80">
        <f>1+YTDrtrns!I82</f>
        <v>0.96199939399957657</v>
      </c>
      <c r="I80">
        <f>1+YTDrtrns!J82</f>
        <v>0.98421334289014339</v>
      </c>
      <c r="J80">
        <f>1+YTDrtrns!K82</f>
        <v>1.0107527291402221</v>
      </c>
    </row>
    <row r="81" spans="1:10" x14ac:dyDescent="0.25">
      <c r="A81">
        <f>1+YTDrtrns!B83</f>
        <v>1.0141242807731032</v>
      </c>
      <c r="B81">
        <f>1+YTDrtrns!C83</f>
        <v>1</v>
      </c>
      <c r="C81">
        <f>1+YTDrtrns!D83</f>
        <v>1.0208258498460054</v>
      </c>
      <c r="D81">
        <f>1+YTDrtrns!E83</f>
        <v>1</v>
      </c>
      <c r="E81">
        <f>1+YTDrtrns!F83</f>
        <v>1.0268688108772039</v>
      </c>
      <c r="F81">
        <f>1+YTDrtrns!G83</f>
        <v>1.0344029404222965</v>
      </c>
      <c r="G81">
        <f>1+YTDrtrns!H83</f>
        <v>1.0132596651092172</v>
      </c>
      <c r="H81">
        <f>1+YTDrtrns!I83</f>
        <v>1.0564310401678085</v>
      </c>
      <c r="I81">
        <f>1+YTDrtrns!J83</f>
        <v>0.99391589546576142</v>
      </c>
      <c r="J81">
        <f>1+YTDrtrns!K83</f>
        <v>1.00141840451397</v>
      </c>
    </row>
    <row r="82" spans="1:10" x14ac:dyDescent="0.25">
      <c r="A82">
        <f>1+YTDrtrns!B84</f>
        <v>0.951253492385149</v>
      </c>
      <c r="B82">
        <f>1+YTDrtrns!C84</f>
        <v>1.0063090920448303</v>
      </c>
      <c r="C82">
        <f>1+YTDrtrns!D84</f>
        <v>1.0124867931008339</v>
      </c>
      <c r="D82">
        <f>1+YTDrtrns!E84</f>
        <v>1.0178674031049013</v>
      </c>
      <c r="E82">
        <f>1+YTDrtrns!F84</f>
        <v>1.0306931603699923</v>
      </c>
      <c r="F82">
        <f>1+YTDrtrns!G84</f>
        <v>0.97249758243560791</v>
      </c>
      <c r="G82">
        <f>1+YTDrtrns!H84</f>
        <v>1.0014374605379999</v>
      </c>
      <c r="H82">
        <f>1+YTDrtrns!I84</f>
        <v>0.9877040795981884</v>
      </c>
      <c r="I82">
        <f>1+YTDrtrns!J84</f>
        <v>0.98107956722378731</v>
      </c>
      <c r="J82">
        <f>1+YTDrtrns!K84</f>
        <v>0.98087822273373604</v>
      </c>
    </row>
    <row r="83" spans="1:10" x14ac:dyDescent="0.25">
      <c r="A83">
        <f>1+YTDrtrns!B85</f>
        <v>0.9970717451069504</v>
      </c>
      <c r="B83">
        <f>1+YTDrtrns!C85</f>
        <v>0.99791018757969141</v>
      </c>
      <c r="C83">
        <f>1+YTDrtrns!D85</f>
        <v>1.0444676280021667</v>
      </c>
      <c r="D83">
        <f>1+YTDrtrns!E85</f>
        <v>0.99943373561836779</v>
      </c>
      <c r="E83">
        <f>1+YTDrtrns!F85</f>
        <v>1.0067317471839488</v>
      </c>
      <c r="F83">
        <f>1+YTDrtrns!G85</f>
        <v>0.99868467578198761</v>
      </c>
      <c r="G83">
        <f>1+YTDrtrns!H85</f>
        <v>1.0133148664608598</v>
      </c>
      <c r="H83">
        <f>1+YTDrtrns!I85</f>
        <v>0.99887754477094859</v>
      </c>
      <c r="I83">
        <f>1+YTDrtrns!J85</f>
        <v>0.95972778648138046</v>
      </c>
      <c r="J83">
        <f>1+YTDrtrns!K85</f>
        <v>0.99277975596487522</v>
      </c>
    </row>
    <row r="84" spans="1:10" x14ac:dyDescent="0.25">
      <c r="A84">
        <f>1+YTDrtrns!B86</f>
        <v>0.96916298940777779</v>
      </c>
      <c r="B84">
        <f>1+YTDrtrns!C86</f>
        <v>0.92146597057580948</v>
      </c>
      <c r="C84">
        <f>1+YTDrtrns!D86</f>
        <v>0.98153998702764511</v>
      </c>
      <c r="D84">
        <f>1+YTDrtrns!E86</f>
        <v>0.96147307008504868</v>
      </c>
      <c r="E84">
        <f>1+YTDrtrns!F86</f>
        <v>0.9933699881657958</v>
      </c>
      <c r="F84">
        <f>1+YTDrtrns!G86</f>
        <v>0.97036544233560562</v>
      </c>
      <c r="G84">
        <f>1+YTDrtrns!H86</f>
        <v>1.0006838578847237</v>
      </c>
      <c r="H84">
        <f>1+YTDrtrns!I86</f>
        <v>1.0025538869667798</v>
      </c>
      <c r="I84">
        <f>1+YTDrtrns!J86</f>
        <v>0.89657210558652878</v>
      </c>
      <c r="J84">
        <f>1+YTDrtrns!K86</f>
        <v>1.0021817986853421</v>
      </c>
    </row>
    <row r="85" spans="1:10" x14ac:dyDescent="0.25">
      <c r="A85">
        <f>1+YTDrtrns!B87</f>
        <v>0.97121211141347885</v>
      </c>
      <c r="B85">
        <f>1+YTDrtrns!C87</f>
        <v>0.92500001937150955</v>
      </c>
      <c r="C85">
        <f>1+YTDrtrns!D87</f>
        <v>0.98983391560614109</v>
      </c>
      <c r="D85">
        <f>1+YTDrtrns!E87</f>
        <v>0.99116089381277561</v>
      </c>
      <c r="E85">
        <f>1+YTDrtrns!F87</f>
        <v>0.99794637411832809</v>
      </c>
      <c r="F85">
        <f>1+YTDrtrns!G87</f>
        <v>0.99287414038553834</v>
      </c>
      <c r="G85">
        <f>1+YTDrtrns!H87</f>
        <v>1.0217709988355637</v>
      </c>
      <c r="H85">
        <f>1+YTDrtrns!I87</f>
        <v>0.99398821732029319</v>
      </c>
      <c r="I85">
        <f>1+YTDrtrns!J87</f>
        <v>0.96638099849224091</v>
      </c>
      <c r="J85">
        <f>1+YTDrtrns!K87</f>
        <v>0.99854865716770291</v>
      </c>
    </row>
    <row r="86" spans="1:10" x14ac:dyDescent="0.25">
      <c r="A86">
        <f>1+YTDrtrns!B88</f>
        <v>0.90483624488115311</v>
      </c>
      <c r="B86">
        <f>1+YTDrtrns!C88</f>
        <v>0.98157241195440292</v>
      </c>
      <c r="C86">
        <f>1+YTDrtrns!D88</f>
        <v>0.99418013775721192</v>
      </c>
      <c r="D86">
        <f>1+YTDrtrns!E88</f>
        <v>0.99881091213319451</v>
      </c>
      <c r="E86">
        <f>1+YTDrtrns!F88</f>
        <v>1.0001714803802315</v>
      </c>
      <c r="F86">
        <f>1+YTDrtrns!G88</f>
        <v>1.009227629750967</v>
      </c>
      <c r="G86">
        <f>1+YTDrtrns!H88</f>
        <v>0.98619331885129213</v>
      </c>
      <c r="H86">
        <f>1+YTDrtrns!I88</f>
        <v>0.98698099236935377</v>
      </c>
      <c r="I86">
        <f>1+YTDrtrns!J88</f>
        <v>0.95975442230701447</v>
      </c>
      <c r="J86">
        <f>1+YTDrtrns!K88</f>
        <v>0.98255815729498863</v>
      </c>
    </row>
    <row r="87" spans="1:10" x14ac:dyDescent="0.25">
      <c r="A87">
        <f>1+YTDrtrns!B89</f>
        <v>1.1215517073869705</v>
      </c>
      <c r="B87">
        <f>1+YTDrtrns!C89</f>
        <v>1.0012515931157395</v>
      </c>
      <c r="C87">
        <f>1+YTDrtrns!D89</f>
        <v>1.00929747056216</v>
      </c>
      <c r="D87">
        <f>1+YTDrtrns!E89</f>
        <v>1.0178572125732899</v>
      </c>
      <c r="E87">
        <f>1+YTDrtrns!F89</f>
        <v>1.0237183161079884</v>
      </c>
      <c r="F87">
        <f>1+YTDrtrns!G89</f>
        <v>0.99966135359136388</v>
      </c>
      <c r="G87">
        <f>1+YTDrtrns!H89</f>
        <v>1.0121591333299875</v>
      </c>
      <c r="H87">
        <f>1+YTDrtrns!I89</f>
        <v>1.0724969208240509</v>
      </c>
      <c r="I87">
        <f>1+YTDrtrns!J89</f>
        <v>1.0535456389188766</v>
      </c>
      <c r="J87">
        <f>1+YTDrtrns!K89</f>
        <v>1.026627192273736</v>
      </c>
    </row>
    <row r="88" spans="1:10" x14ac:dyDescent="0.25">
      <c r="A88">
        <f>1+YTDrtrns!B90</f>
        <v>1.0837817192077637</v>
      </c>
      <c r="B88">
        <f>1+YTDrtrns!C90</f>
        <v>1.0049999952316284</v>
      </c>
      <c r="C88">
        <f>1+YTDrtrns!D90</f>
        <v>1.0032412563450634</v>
      </c>
      <c r="D88">
        <f>1+YTDrtrns!E90</f>
        <v>0.979532141238451</v>
      </c>
      <c r="E88">
        <f>1+YTDrtrns!F90</f>
        <v>0.99536622455343604</v>
      </c>
      <c r="F88">
        <f>1+YTDrtrns!G90</f>
        <v>1.0040650041773915</v>
      </c>
      <c r="G88">
        <f>1+YTDrtrns!H90</f>
        <v>1.0009571979753673</v>
      </c>
      <c r="H88">
        <f>1+YTDrtrns!I90</f>
        <v>0.93889206647872925</v>
      </c>
      <c r="I88">
        <f>1+YTDrtrns!J90</f>
        <v>0.9945054342970252</v>
      </c>
      <c r="J88">
        <f>1+YTDrtrns!K90</f>
        <v>1.0021613640710711</v>
      </c>
    </row>
    <row r="89" spans="1:10" x14ac:dyDescent="0.25">
      <c r="A89">
        <f>1+YTDrtrns!B91</f>
        <v>1.0340425185859203</v>
      </c>
      <c r="B89">
        <f>1+YTDrtrns!C91</f>
        <v>0.99004976078867912</v>
      </c>
      <c r="C89">
        <f>1+YTDrtrns!D91</f>
        <v>0.99676921544596553</v>
      </c>
      <c r="D89">
        <f>1+YTDrtrns!E91</f>
        <v>0.99701497098430991</v>
      </c>
      <c r="E89">
        <f>1+YTDrtrns!F91</f>
        <v>0.98665101919323206</v>
      </c>
      <c r="F89">
        <f>1+YTDrtrns!G91</f>
        <v>1.0077598332427442</v>
      </c>
      <c r="G89">
        <f>1+YTDrtrns!H91</f>
        <v>1.0009084940538742</v>
      </c>
      <c r="H89">
        <f>1+YTDrtrns!I91</f>
        <v>0.99721509381197393</v>
      </c>
      <c r="I89">
        <f>1+YTDrtrns!J91</f>
        <v>1.0055249226279557</v>
      </c>
      <c r="J89">
        <f>1+YTDrtrns!K91</f>
        <v>0.99712437367998064</v>
      </c>
    </row>
    <row r="90" spans="1:10" x14ac:dyDescent="0.25">
      <c r="A90">
        <f>1+YTDrtrns!B92</f>
        <v>1.0438957698643208</v>
      </c>
      <c r="B90">
        <f>1+YTDrtrns!C92</f>
        <v>1.0113065522164106</v>
      </c>
      <c r="C90">
        <f>1+YTDrtrns!D92</f>
        <v>0.99778237356804311</v>
      </c>
      <c r="D90">
        <f>1+YTDrtrns!E92</f>
        <v>1.0005987018812448</v>
      </c>
      <c r="E90">
        <f>1+YTDrtrns!F92</f>
        <v>1.0039792903698981</v>
      </c>
      <c r="F90">
        <f>1+YTDrtrns!G92</f>
        <v>0.99497818807139993</v>
      </c>
      <c r="G90">
        <f>1+YTDrtrns!H92</f>
        <v>1.0347298718988895</v>
      </c>
      <c r="H90">
        <f>1+YTDrtrns!I92</f>
        <v>1.0047579547390342</v>
      </c>
      <c r="I90">
        <f>1+YTDrtrns!J92</f>
        <v>0.98763734195381403</v>
      </c>
      <c r="J90">
        <f>1+YTDrtrns!K92</f>
        <v>0.98197548650205135</v>
      </c>
    </row>
    <row r="91" spans="1:10" x14ac:dyDescent="0.25">
      <c r="A91">
        <f>1+YTDrtrns!B93</f>
        <v>1.0512483380734921</v>
      </c>
      <c r="B91">
        <f>1+YTDrtrns!C93</f>
        <v>0.96521736681461334</v>
      </c>
      <c r="C91">
        <f>1+YTDrtrns!D93</f>
        <v>0.99846127291675657</v>
      </c>
      <c r="D91">
        <f>1+YTDrtrns!E93</f>
        <v>1.0053860056214035</v>
      </c>
      <c r="E91">
        <f>1+YTDrtrns!F93</f>
        <v>1.0008493047789671</v>
      </c>
      <c r="F91">
        <f>1+YTDrtrns!G93</f>
        <v>0.99461642513051629</v>
      </c>
      <c r="G91">
        <f>1+YTDrtrns!H93</f>
        <v>1.0013849851675332</v>
      </c>
      <c r="H91">
        <f>1+YTDrtrns!I93</f>
        <v>0.98610254842787981</v>
      </c>
      <c r="I91">
        <f>1+YTDrtrns!J93</f>
        <v>1.0041724247857928</v>
      </c>
      <c r="J91">
        <f>1+YTDrtrns!K93</f>
        <v>0.97723939269781113</v>
      </c>
    </row>
    <row r="92" spans="1:10" x14ac:dyDescent="0.25">
      <c r="A92">
        <f>1+YTDrtrns!B94</f>
        <v>0.99374997615814209</v>
      </c>
      <c r="B92">
        <f>1+YTDrtrns!C94</f>
        <v>1.0296010319143534</v>
      </c>
      <c r="C92">
        <f>1+YTDrtrns!D94</f>
        <v>1.0018835067749023</v>
      </c>
      <c r="D92">
        <f>1+YTDrtrns!E94</f>
        <v>0.98988102469593287</v>
      </c>
      <c r="E92">
        <f>1+YTDrtrns!F94</f>
        <v>0.99812860472593457</v>
      </c>
      <c r="F92">
        <f>1+YTDrtrns!G94</f>
        <v>0.99932345905108377</v>
      </c>
      <c r="G92">
        <f>1+YTDrtrns!H94</f>
        <v>1.0102812862023711</v>
      </c>
      <c r="H92">
        <f>1+YTDrtrns!I94</f>
        <v>0.98851656261831522</v>
      </c>
      <c r="I92">
        <f>1+YTDrtrns!J94</f>
        <v>1.0263157989829779</v>
      </c>
      <c r="J92">
        <f>1+YTDrtrns!K94</f>
        <v>1</v>
      </c>
    </row>
    <row r="93" spans="1:10" x14ac:dyDescent="0.25">
      <c r="A93">
        <f>1+YTDrtrns!B95</f>
        <v>1.0251572094857693</v>
      </c>
      <c r="B93">
        <f>1+YTDrtrns!C95</f>
        <v>1.0062500238418579</v>
      </c>
      <c r="C93">
        <f>1+YTDrtrns!D95</f>
        <v>0.99777820450253785</v>
      </c>
      <c r="D93">
        <f>1+YTDrtrns!E95</f>
        <v>1.0139224901795387</v>
      </c>
      <c r="E93">
        <f>1+YTDrtrns!F95</f>
        <v>0.99732969026081264</v>
      </c>
      <c r="F93">
        <f>1+YTDrtrns!G95</f>
        <v>1.0199728589504957</v>
      </c>
      <c r="G93">
        <f>1+YTDrtrns!H95</f>
        <v>1.0087162340059876</v>
      </c>
      <c r="H93">
        <f>1+YTDrtrns!I95</f>
        <v>0.99772939109243453</v>
      </c>
      <c r="I93">
        <f>1+YTDrtrns!J95</f>
        <v>1.0371120236814022</v>
      </c>
      <c r="J93">
        <f>1+YTDrtrns!K95</f>
        <v>0.98647631146013737</v>
      </c>
    </row>
    <row r="94" spans="1:10" x14ac:dyDescent="0.25">
      <c r="A94">
        <f>1+YTDrtrns!B96</f>
        <v>0.90920247882604599</v>
      </c>
      <c r="B94">
        <f>1+YTDrtrns!C96</f>
        <v>1.0049689393490553</v>
      </c>
      <c r="C94">
        <f>1+YTDrtrns!D96</f>
        <v>0.99057897832244635</v>
      </c>
      <c r="D94">
        <f>1+YTDrtrns!E96</f>
        <v>1</v>
      </c>
      <c r="E94">
        <f>1+YTDrtrns!F96</f>
        <v>0.97430787980556488</v>
      </c>
      <c r="F94">
        <f>1+YTDrtrns!G96</f>
        <v>1.009624988771975</v>
      </c>
      <c r="G94">
        <f>1+YTDrtrns!H96</f>
        <v>0.97670107707381248</v>
      </c>
      <c r="H94">
        <f>1+YTDrtrns!I96</f>
        <v>0.96745174005627632</v>
      </c>
      <c r="I94">
        <f>1+YTDrtrns!J96</f>
        <v>1.0006506330100819</v>
      </c>
      <c r="J94">
        <f>1+YTDrtrns!K96</f>
        <v>1.0007616320508532</v>
      </c>
    </row>
    <row r="95" spans="1:10" x14ac:dyDescent="0.25">
      <c r="A95">
        <f>1+YTDrtrns!B97</f>
        <v>1.05533067882061</v>
      </c>
      <c r="B95">
        <f>1+YTDrtrns!C97</f>
        <v>1.0321384705603123</v>
      </c>
      <c r="C95">
        <f>1+YTDrtrns!D97</f>
        <v>1.0070897429250181</v>
      </c>
      <c r="D95">
        <f>1+YTDrtrns!E97</f>
        <v>1.0047761150635779</v>
      </c>
      <c r="E95">
        <f>1+YTDrtrns!F97</f>
        <v>1.0063731293193996</v>
      </c>
      <c r="F95">
        <f>1+YTDrtrns!G97</f>
        <v>1.0115056009963155</v>
      </c>
      <c r="G95">
        <f>1+YTDrtrns!H97</f>
        <v>0.95845105871558189</v>
      </c>
      <c r="H95">
        <f>1+YTDrtrns!I97</f>
        <v>1.0008752935682423</v>
      </c>
      <c r="I95">
        <f>1+YTDrtrns!J97</f>
        <v>1.1079324334859848</v>
      </c>
      <c r="J95">
        <f>1+YTDrtrns!K97</f>
        <v>1.048706192523241</v>
      </c>
    </row>
    <row r="96" spans="1:10" x14ac:dyDescent="0.25">
      <c r="A96">
        <f>1+YTDrtrns!B98</f>
        <v>1.0166239943355322</v>
      </c>
      <c r="B96">
        <f>1+YTDrtrns!C98</f>
        <v>0.98802390694618225</v>
      </c>
      <c r="C96">
        <f>1+YTDrtrns!D98</f>
        <v>1.0108172604814172</v>
      </c>
      <c r="D96">
        <f>1+YTDrtrns!E98</f>
        <v>0.99702915991656482</v>
      </c>
      <c r="E96">
        <f>1+YTDrtrns!F98</f>
        <v>0.99169188551604748</v>
      </c>
      <c r="F96">
        <f>1+YTDrtrns!G98</f>
        <v>1.0094247320666909</v>
      </c>
      <c r="G96">
        <f>1+YTDrtrns!H98</f>
        <v>0.99308915203437209</v>
      </c>
      <c r="H96">
        <f>1+YTDrtrns!I98</f>
        <v>1.0002185903140344</v>
      </c>
      <c r="I96">
        <f>1+YTDrtrns!J98</f>
        <v>1.0017604916356504</v>
      </c>
      <c r="J96">
        <f>1+YTDrtrns!K98</f>
        <v>0.99854865716770291</v>
      </c>
    </row>
    <row r="97" spans="1:10" x14ac:dyDescent="0.25">
      <c r="A97">
        <f>1+YTDrtrns!B99</f>
        <v>1.0201257672160864</v>
      </c>
      <c r="B97">
        <f>1+YTDrtrns!C99</f>
        <v>0.97212126851081848</v>
      </c>
      <c r="C97">
        <f>1+YTDrtrns!D99</f>
        <v>0.99881094449665397</v>
      </c>
      <c r="D97">
        <f>1+YTDrtrns!E99</f>
        <v>0.99284857977181673</v>
      </c>
      <c r="E97">
        <f>1+YTDrtrns!F99</f>
        <v>0.98640806600451469</v>
      </c>
      <c r="F97">
        <f>1+YTDrtrns!G99</f>
        <v>0.99452672014012933</v>
      </c>
      <c r="G97">
        <f>1+YTDrtrns!H99</f>
        <v>0.99941597948782146</v>
      </c>
      <c r="H97">
        <f>1+YTDrtrns!I99</f>
        <v>0.99912566307466477</v>
      </c>
      <c r="I97">
        <f>1+YTDrtrns!J99</f>
        <v>0.96367903053760529</v>
      </c>
      <c r="J97">
        <f>1+YTDrtrns!K99</f>
        <v>0.98183139599859715</v>
      </c>
    </row>
    <row r="98" spans="1:10" x14ac:dyDescent="0.25">
      <c r="A98">
        <f>1+YTDrtrns!B100</f>
        <v>1.0172626823186874</v>
      </c>
      <c r="B98">
        <f>1+YTDrtrns!C100</f>
        <v>1.051122173666954</v>
      </c>
      <c r="C98">
        <f>1+YTDrtrns!D100</f>
        <v>0.9979592019226402</v>
      </c>
      <c r="D98">
        <f>1+YTDrtrns!E100</f>
        <v>1.0450180061161518</v>
      </c>
      <c r="E98">
        <f>1+YTDrtrns!F100</f>
        <v>1.0028509295079857</v>
      </c>
      <c r="F98">
        <f>1+YTDrtrns!G100</f>
        <v>1.0100356545299292</v>
      </c>
      <c r="G98">
        <f>1+YTDrtrns!H100</f>
        <v>0.9935238747857511</v>
      </c>
      <c r="H98">
        <f>1+YTDrtrns!I100</f>
        <v>0.99070226959884167</v>
      </c>
      <c r="I98">
        <f>1+YTDrtrns!J100</f>
        <v>1.0419452041387558</v>
      </c>
      <c r="J98">
        <f>1+YTDrtrns!K100</f>
        <v>1.01480383425951</v>
      </c>
    </row>
    <row r="99" spans="1:10" x14ac:dyDescent="0.25">
      <c r="A99">
        <f>1+YTDrtrns!B101</f>
        <v>0.98303026147186756</v>
      </c>
      <c r="B99">
        <f>1+YTDrtrns!C101</f>
        <v>0.98932382557541132</v>
      </c>
      <c r="C99">
        <f>1+YTDrtrns!D101</f>
        <v>0.98794307373464108</v>
      </c>
      <c r="D99">
        <f>1+YTDrtrns!E101</f>
        <v>1</v>
      </c>
      <c r="E99">
        <f>1+YTDrtrns!F101</f>
        <v>1.0159312225878239</v>
      </c>
      <c r="F99">
        <f>1+YTDrtrns!G101</f>
        <v>0.97756407782435417</v>
      </c>
      <c r="G99">
        <f>1+YTDrtrns!H101</f>
        <v>0.98990395199507475</v>
      </c>
      <c r="H99">
        <f>1+YTDrtrns!I101</f>
        <v>0.99271286278963089</v>
      </c>
      <c r="I99">
        <f>1+YTDrtrns!J101</f>
        <v>1.0536756180226803</v>
      </c>
      <c r="J99">
        <f>1+YTDrtrns!K101</f>
        <v>1.0021881642751396</v>
      </c>
    </row>
    <row r="100" spans="1:10" x14ac:dyDescent="0.25">
      <c r="A100">
        <f>1+YTDrtrns!B102</f>
        <v>1.0086313998326659</v>
      </c>
      <c r="B100">
        <f>1+YTDrtrns!C102</f>
        <v>0.97122304886579514</v>
      </c>
      <c r="C100">
        <f>1+YTDrtrns!D102</f>
        <v>0.98722152132540941</v>
      </c>
      <c r="D100">
        <f>1+YTDrtrns!E102</f>
        <v>0.97185526788234711</v>
      </c>
      <c r="E100">
        <f>1+YTDrtrns!F102</f>
        <v>0.98082083836197853</v>
      </c>
      <c r="F100">
        <f>1+YTDrtrns!G102</f>
        <v>0.97147538140416145</v>
      </c>
      <c r="G100">
        <f>1+YTDrtrns!H102</f>
        <v>0.98905836511403322</v>
      </c>
      <c r="H100">
        <f>1+YTDrtrns!I102</f>
        <v>0.9795350469648838</v>
      </c>
      <c r="I100">
        <f>1+YTDrtrns!J102</f>
        <v>0.96899227611720562</v>
      </c>
      <c r="J100">
        <f>1+YTDrtrns!K102</f>
        <v>0.99927218130324036</v>
      </c>
    </row>
    <row r="101" spans="1:10" x14ac:dyDescent="0.25">
      <c r="A101">
        <f>1+YTDrtrns!B103</f>
        <v>0.98533008806407452</v>
      </c>
      <c r="B101">
        <f>1+YTDrtrns!C103</f>
        <v>0.93827154859900475</v>
      </c>
      <c r="C101">
        <f>1+YTDrtrns!D103</f>
        <v>0.99667660263366997</v>
      </c>
      <c r="D101">
        <f>1+YTDrtrns!E103</f>
        <v>0.98404252529144287</v>
      </c>
      <c r="E101">
        <f>1+YTDrtrns!F103</f>
        <v>1.0161664262413979</v>
      </c>
      <c r="F101">
        <f>1+YTDrtrns!G103</f>
        <v>0.99932505731703714</v>
      </c>
      <c r="G101">
        <f>1+YTDrtrns!H103</f>
        <v>1.0094107706099749</v>
      </c>
      <c r="H101">
        <f>1+YTDrtrns!I103</f>
        <v>1.0208925176411867</v>
      </c>
      <c r="I101">
        <f>1+YTDrtrns!J103</f>
        <v>0.98571428563445807</v>
      </c>
      <c r="J101">
        <f>1+YTDrtrns!K103</f>
        <v>0.9949016971513629</v>
      </c>
    </row>
    <row r="102" spans="1:10" x14ac:dyDescent="0.25">
      <c r="A102">
        <f>1+YTDrtrns!B104</f>
        <v>1.0111661534756422</v>
      </c>
      <c r="B102">
        <f>1+YTDrtrns!C104</f>
        <v>1.0328947380185127</v>
      </c>
      <c r="C102">
        <f>1+YTDrtrns!D104</f>
        <v>1.0022815209813416</v>
      </c>
      <c r="D102">
        <f>1+YTDrtrns!E104</f>
        <v>0.99159162770956755</v>
      </c>
      <c r="E102">
        <f>1+YTDrtrns!F104</f>
        <v>0.99590573227033019</v>
      </c>
      <c r="F102">
        <f>1+YTDrtrns!G104</f>
        <v>0.99797361111268401</v>
      </c>
      <c r="G102">
        <f>1+YTDrtrns!H104</f>
        <v>0.9710389468818903</v>
      </c>
      <c r="H102">
        <f>1+YTDrtrns!I104</f>
        <v>1.0031142116058618</v>
      </c>
      <c r="I102">
        <f>1+YTDrtrns!J104</f>
        <v>0.99826082971412688</v>
      </c>
      <c r="J102">
        <f>1+YTDrtrns!K104</f>
        <v>0.99853590747807175</v>
      </c>
    </row>
    <row r="103" spans="1:10" x14ac:dyDescent="0.25">
      <c r="A103">
        <f>1+YTDrtrns!B105</f>
        <v>1.003681065980345</v>
      </c>
      <c r="B103">
        <f>1+YTDrtrns!C105</f>
        <v>0.98343947529792786</v>
      </c>
      <c r="C103">
        <f>1+YTDrtrns!D105</f>
        <v>1.0050779357552528</v>
      </c>
      <c r="D103">
        <f>1+YTDrtrns!E105</f>
        <v>1.0024227139074355</v>
      </c>
      <c r="E103">
        <f>1+YTDrtrns!F105</f>
        <v>1.0057555395178497</v>
      </c>
      <c r="F103">
        <f>1+YTDrtrns!G105</f>
        <v>1.0236886888742447</v>
      </c>
      <c r="G103">
        <f>1+YTDrtrns!H105</f>
        <v>0.9828916247934103</v>
      </c>
      <c r="H103">
        <f>1+YTDrtrns!I105</f>
        <v>0.97970948182046413</v>
      </c>
      <c r="I103">
        <f>1+YTDrtrns!J105</f>
        <v>0.977351950481534</v>
      </c>
      <c r="J103">
        <f>1+YTDrtrns!K105</f>
        <v>1.0102638844400644</v>
      </c>
    </row>
    <row r="104" spans="1:10" x14ac:dyDescent="0.25">
      <c r="A104">
        <f>1+YTDrtrns!B106</f>
        <v>0.93031782656908035</v>
      </c>
      <c r="B104">
        <f>1+YTDrtrns!C106</f>
        <v>1.0621761716902256</v>
      </c>
      <c r="C104">
        <f>1+YTDrtrns!D106</f>
        <v>0.97560973092913628</v>
      </c>
      <c r="D104">
        <f>1+YTDrtrns!E106</f>
        <v>0.98429013043642044</v>
      </c>
      <c r="E104">
        <f>1+YTDrtrns!F106</f>
        <v>0.9750073067843914</v>
      </c>
      <c r="F104">
        <f>1+YTDrtrns!G106</f>
        <v>0.99206612352281809</v>
      </c>
      <c r="G104">
        <f>1+YTDrtrns!H106</f>
        <v>1.015483713708818</v>
      </c>
      <c r="H104">
        <f>1+YTDrtrns!I106</f>
        <v>0.98019465804100037</v>
      </c>
      <c r="I104">
        <f>1+YTDrtrns!J106</f>
        <v>0.96078432351350784</v>
      </c>
      <c r="J104">
        <f>1+YTDrtrns!K106</f>
        <v>0.98113212734460831</v>
      </c>
    </row>
    <row r="105" spans="1:10" x14ac:dyDescent="0.25">
      <c r="A105">
        <f>1+YTDrtrns!B107</f>
        <v>0.97766096331179142</v>
      </c>
      <c r="B105">
        <f>1+YTDrtrns!C107</f>
        <v>1.0378049314022064</v>
      </c>
      <c r="C105">
        <f>1+YTDrtrns!D107</f>
        <v>1.0069642746821046</v>
      </c>
      <c r="D105">
        <f>1+YTDrtrns!E107</f>
        <v>1.0018415455706418</v>
      </c>
      <c r="E105">
        <f>1+YTDrtrns!F107</f>
        <v>1.0141342794522643</v>
      </c>
      <c r="F105">
        <f>1+YTDrtrns!G107</f>
        <v>0.98833720851689577</v>
      </c>
      <c r="G105">
        <f>1+YTDrtrns!H107</f>
        <v>0.99861848005093634</v>
      </c>
      <c r="H105">
        <f>1+YTDrtrns!I107</f>
        <v>1.0122387427836657</v>
      </c>
      <c r="I105">
        <f>1+YTDrtrns!J107</f>
        <v>1.0303030163049698</v>
      </c>
      <c r="J105">
        <f>1+YTDrtrns!K107</f>
        <v>1.0340236015617847</v>
      </c>
    </row>
    <row r="106" spans="1:10" x14ac:dyDescent="0.25">
      <c r="A106">
        <f>1+YTDrtrns!B108</f>
        <v>1.0766129270195961</v>
      </c>
      <c r="B106">
        <f>1+YTDrtrns!C108</f>
        <v>1.0317273214459419</v>
      </c>
      <c r="C106">
        <f>1+YTDrtrns!D108</f>
        <v>1.0289058536291122</v>
      </c>
      <c r="D106">
        <f>1+YTDrtrns!E108</f>
        <v>1.0018382774433121</v>
      </c>
      <c r="E106">
        <f>1+YTDrtrns!F108</f>
        <v>1.0192523151636124</v>
      </c>
      <c r="F106">
        <f>1+YTDrtrns!G108</f>
        <v>1.020566439256072</v>
      </c>
      <c r="G106">
        <f>1+YTDrtrns!H108</f>
        <v>1.0478556975722313</v>
      </c>
      <c r="H106">
        <f>1+YTDrtrns!I108</f>
        <v>1.0445991083979607</v>
      </c>
      <c r="I106">
        <f>1+YTDrtrns!J108</f>
        <v>1.0840335935354233</v>
      </c>
      <c r="J106">
        <f>1+YTDrtrns!K108</f>
        <v>1.044349130243063</v>
      </c>
    </row>
    <row r="107" spans="1:10" x14ac:dyDescent="0.25">
      <c r="A107">
        <f>1+YTDrtrns!B109</f>
        <v>0.98751555848866701</v>
      </c>
      <c r="B107">
        <f>1+YTDrtrns!C109</f>
        <v>0.96241458505392075</v>
      </c>
      <c r="C107">
        <f>1+YTDrtrns!D109</f>
        <v>1.0077559594064951</v>
      </c>
      <c r="D107">
        <f>1+YTDrtrns!E109</f>
        <v>1.0085626533254981</v>
      </c>
      <c r="E107">
        <f>1+YTDrtrns!F109</f>
        <v>0.98209631815552711</v>
      </c>
      <c r="F107">
        <f>1+YTDrtrns!G109</f>
        <v>0.97324078716337681</v>
      </c>
      <c r="G107">
        <f>1+YTDrtrns!H109</f>
        <v>0.97574694827198982</v>
      </c>
      <c r="H107">
        <f>1+YTDrtrns!I109</f>
        <v>0.99541386589407921</v>
      </c>
      <c r="I107">
        <f>1+YTDrtrns!J109</f>
        <v>0.97563684172928333</v>
      </c>
      <c r="J107">
        <f>1+YTDrtrns!K109</f>
        <v>1.0020547760650516</v>
      </c>
    </row>
    <row r="108" spans="1:10" x14ac:dyDescent="0.25">
      <c r="A108">
        <f>1+YTDrtrns!B110</f>
        <v>1.0183312837034464</v>
      </c>
      <c r="B108">
        <f>1+YTDrtrns!C110</f>
        <v>1.0769231468439102</v>
      </c>
      <c r="C108">
        <f>1+YTDrtrns!D110</f>
        <v>1.0027364434208721</v>
      </c>
      <c r="D108">
        <f>1+YTDrtrns!E110</f>
        <v>1</v>
      </c>
      <c r="E108">
        <f>1+YTDrtrns!F110</f>
        <v>1.0120944129303098</v>
      </c>
      <c r="F108">
        <f>1+YTDrtrns!G110</f>
        <v>1.0281738582998514</v>
      </c>
      <c r="G108">
        <f>1+YTDrtrns!H110</f>
        <v>1.0166875552386045</v>
      </c>
      <c r="H108">
        <f>1+YTDrtrns!I110</f>
        <v>1.0207327697426081</v>
      </c>
      <c r="I108">
        <f>1+YTDrtrns!J110</f>
        <v>1.0238365530967712</v>
      </c>
      <c r="J108">
        <f>1+YTDrtrns!K110</f>
        <v>1.0403281040489674</v>
      </c>
    </row>
    <row r="109" spans="1:10" x14ac:dyDescent="0.25">
      <c r="A109">
        <f>1+YTDrtrns!B111</f>
        <v>1.0142768174409866</v>
      </c>
      <c r="B109">
        <f>1+YTDrtrns!C111</f>
        <v>1.0010988214053214</v>
      </c>
      <c r="C109">
        <f>1+YTDrtrns!D111</f>
        <v>1.0185911674052477</v>
      </c>
      <c r="D109">
        <f>1+YTDrtrns!E111</f>
        <v>1.0200121235102415</v>
      </c>
      <c r="E109">
        <f>1+YTDrtrns!F111</f>
        <v>1.022150993347168</v>
      </c>
      <c r="F109">
        <f>1+YTDrtrns!G111</f>
        <v>1.0330141969025135</v>
      </c>
      <c r="G109">
        <f>1+YTDrtrns!H111</f>
        <v>1.0159207191318274</v>
      </c>
      <c r="H109">
        <f>1+YTDrtrns!I111</f>
        <v>1.0271896682679653</v>
      </c>
      <c r="I109">
        <f>1+YTDrtrns!J111</f>
        <v>1.0515520162880421</v>
      </c>
      <c r="J109">
        <f>1+YTDrtrns!K111</f>
        <v>1.0157687105238438</v>
      </c>
    </row>
    <row r="110" spans="1:10" x14ac:dyDescent="0.25">
      <c r="A110">
        <f>1+YTDrtrns!B112</f>
        <v>1.0048959562554955</v>
      </c>
      <c r="B110">
        <f>1+YTDrtrns!C112</f>
        <v>0.94621297717094421</v>
      </c>
      <c r="C110">
        <f>1+YTDrtrns!D112</f>
        <v>0.99330205097794533</v>
      </c>
      <c r="D110">
        <f>1+YTDrtrns!E112</f>
        <v>1.0160523466765881</v>
      </c>
      <c r="E110">
        <f>1+YTDrtrns!F112</f>
        <v>0.98226404003798962</v>
      </c>
      <c r="F110">
        <f>1+YTDrtrns!G112</f>
        <v>0.98050493560731411</v>
      </c>
      <c r="G110">
        <f>1+YTDrtrns!H112</f>
        <v>0.98913198988884687</v>
      </c>
      <c r="H110">
        <f>1+YTDrtrns!I112</f>
        <v>0.99654734693467617</v>
      </c>
      <c r="I110">
        <f>1+YTDrtrns!J112</f>
        <v>1.0216130651533604</v>
      </c>
      <c r="J110">
        <f>1+YTDrtrns!K112</f>
        <v>0.99094435013830662</v>
      </c>
    </row>
    <row r="111" spans="1:10" x14ac:dyDescent="0.25">
      <c r="A111">
        <f>1+YTDrtrns!B113</f>
        <v>0.9926917883567512</v>
      </c>
      <c r="B111">
        <f>1+YTDrtrns!C113</f>
        <v>0.9860788993537426</v>
      </c>
      <c r="C111">
        <f>1+YTDrtrns!D113</f>
        <v>1.0003371621423867</v>
      </c>
      <c r="D111">
        <f>1+YTDrtrns!E113</f>
        <v>1.0035107936710119</v>
      </c>
      <c r="E111">
        <f>1+YTDrtrns!F113</f>
        <v>0.9872270543128252</v>
      </c>
      <c r="F111">
        <f>1+YTDrtrns!G113</f>
        <v>0.97066494077444077</v>
      </c>
      <c r="G111">
        <f>1+YTDrtrns!H113</f>
        <v>0.98263602517545223</v>
      </c>
      <c r="H111">
        <f>1+YTDrtrns!I113</f>
        <v>1.0040996465831995</v>
      </c>
      <c r="I111">
        <f>1+YTDrtrns!J113</f>
        <v>0.98710010293871164</v>
      </c>
      <c r="J111">
        <f>1+YTDrtrns!K113</f>
        <v>0.98433421738445759</v>
      </c>
    </row>
    <row r="112" spans="1:10" x14ac:dyDescent="0.25">
      <c r="A112">
        <f>1+YTDrtrns!B114</f>
        <v>1.0184049792587757</v>
      </c>
      <c r="B112">
        <f>1+YTDrtrns!C114</f>
        <v>1.0164706278592348</v>
      </c>
      <c r="C112">
        <f>1+YTDrtrns!D114</f>
        <v>0.99224807741120458</v>
      </c>
      <c r="D112">
        <f>1+YTDrtrns!E114</f>
        <v>0.99241987382993102</v>
      </c>
      <c r="E112">
        <f>1+YTDrtrns!F114</f>
        <v>0.99347212025895715</v>
      </c>
      <c r="F112">
        <f>1+YTDrtrns!G114</f>
        <v>0.99764937534928322</v>
      </c>
      <c r="G112">
        <f>1+YTDrtrns!H114</f>
        <v>0.99440924916416407</v>
      </c>
      <c r="H112">
        <f>1+YTDrtrns!I114</f>
        <v>0.9963358617387712</v>
      </c>
      <c r="I112">
        <f>1+YTDrtrns!J114</f>
        <v>0.99268168350681663</v>
      </c>
      <c r="J112">
        <f>1+YTDrtrns!K114</f>
        <v>1.0053050345741212</v>
      </c>
    </row>
    <row r="113" spans="1:10" x14ac:dyDescent="0.25">
      <c r="A113">
        <f>1+YTDrtrns!B115</f>
        <v>1.0018071553204209</v>
      </c>
      <c r="B113">
        <f>1+YTDrtrns!C115</f>
        <v>1.0798610597848892</v>
      </c>
      <c r="C113">
        <f>1+YTDrtrns!D115</f>
        <v>1.0062839491292834</v>
      </c>
      <c r="D113">
        <f>1+YTDrtrns!E115</f>
        <v>1.0305523183196783</v>
      </c>
      <c r="E113">
        <f>1+YTDrtrns!F115</f>
        <v>1.0049132886342704</v>
      </c>
      <c r="F113">
        <f>1+YTDrtrns!G115</f>
        <v>1.0006731894682162</v>
      </c>
      <c r="G113">
        <f>1+YTDrtrns!H115</f>
        <v>0.98574362974613905</v>
      </c>
      <c r="H113">
        <f>1+YTDrtrns!I115</f>
        <v>1.0156562514603138</v>
      </c>
      <c r="I113">
        <f>1+YTDrtrns!J115</f>
        <v>1.0221169088035822</v>
      </c>
      <c r="J113">
        <f>1+YTDrtrns!K115</f>
        <v>1.0112137254327536</v>
      </c>
    </row>
    <row r="114" spans="1:10" x14ac:dyDescent="0.25">
      <c r="A114">
        <f>1+YTDrtrns!B116</f>
        <v>0.97534576803445816</v>
      </c>
      <c r="B114">
        <f>1+YTDrtrns!C116</f>
        <v>0.9849946042522788</v>
      </c>
      <c r="C114">
        <f>1+YTDrtrns!D116</f>
        <v>0.98092825151979923</v>
      </c>
      <c r="D114">
        <f>1+YTDrtrns!E116</f>
        <v>1.0404788516461849</v>
      </c>
      <c r="E114">
        <f>1+YTDrtrns!F116</f>
        <v>1.027273828163743</v>
      </c>
      <c r="F114">
        <f>1+YTDrtrns!G116</f>
        <v>0.99083416908979416</v>
      </c>
      <c r="G114">
        <f>1+YTDrtrns!H116</f>
        <v>0.97606560587882996</v>
      </c>
      <c r="H114">
        <f>1+YTDrtrns!I116</f>
        <v>0.97868813201785088</v>
      </c>
      <c r="I114">
        <f>1+YTDrtrns!J116</f>
        <v>0.9696032889187336</v>
      </c>
      <c r="J114">
        <f>1+YTDrtrns!K116</f>
        <v>0.9902152894064784</v>
      </c>
    </row>
    <row r="115" spans="1:10" x14ac:dyDescent="0.25">
      <c r="A115">
        <f>1+YTDrtrns!B117</f>
        <v>1.0221948605030775</v>
      </c>
      <c r="B115">
        <f>1+YTDrtrns!C117</f>
        <v>1.0337323658168316</v>
      </c>
      <c r="C115">
        <f>1+YTDrtrns!D117</f>
        <v>1.012388183735311</v>
      </c>
      <c r="D115">
        <f>1+YTDrtrns!E117</f>
        <v>1.0410958901047707</v>
      </c>
      <c r="E115">
        <f>1+YTDrtrns!F117</f>
        <v>1.0145650170743465</v>
      </c>
      <c r="F115">
        <f>1+YTDrtrns!G117</f>
        <v>0.99691145657561719</v>
      </c>
      <c r="G115">
        <f>1+YTDrtrns!H117</f>
        <v>0.9998434873559745</v>
      </c>
      <c r="H115">
        <f>1+YTDrtrns!I117</f>
        <v>0.99207188189029694</v>
      </c>
      <c r="I115">
        <f>1+YTDrtrns!J117</f>
        <v>1.0286929290741682</v>
      </c>
      <c r="J115">
        <f>1+YTDrtrns!K117</f>
        <v>1</v>
      </c>
    </row>
    <row r="116" spans="1:10" x14ac:dyDescent="0.25">
      <c r="A116">
        <f>1+YTDrtrns!B118</f>
        <v>0.98431844264268875</v>
      </c>
      <c r="B116">
        <f>1+YTDrtrns!C118</f>
        <v>0.98526312131434679</v>
      </c>
      <c r="C116">
        <f>1+YTDrtrns!D118</f>
        <v>0.99541127728298306</v>
      </c>
      <c r="D116">
        <f>1+YTDrtrns!E118</f>
        <v>1.0352631621062756</v>
      </c>
      <c r="E116">
        <f>1+YTDrtrns!F118</f>
        <v>0.99858701170887798</v>
      </c>
      <c r="F116">
        <f>1+YTDrtrns!G118</f>
        <v>1.0540448054671288</v>
      </c>
      <c r="G116">
        <f>1+YTDrtrns!H118</f>
        <v>1.0014089139876887</v>
      </c>
      <c r="H116">
        <f>1+YTDrtrns!I118</f>
        <v>1.0207778867334127</v>
      </c>
      <c r="I116">
        <f>1+YTDrtrns!J118</f>
        <v>1.0010329829528928</v>
      </c>
      <c r="J116">
        <f>1+YTDrtrns!K118</f>
        <v>0.98484845273196697</v>
      </c>
    </row>
    <row r="117" spans="1:10" x14ac:dyDescent="0.25">
      <c r="A117">
        <f>1+YTDrtrns!B119</f>
        <v>0.98529413156211376</v>
      </c>
      <c r="B117">
        <f>1+YTDrtrns!C119</f>
        <v>0.98076929897069931</v>
      </c>
      <c r="C117">
        <f>1+YTDrtrns!D119</f>
        <v>0.99180468637496233</v>
      </c>
      <c r="D117">
        <f>1+YTDrtrns!E119</f>
        <v>0.93441785126924515</v>
      </c>
      <c r="E117">
        <f>1+YTDrtrns!F119</f>
        <v>0.9844917906448245</v>
      </c>
      <c r="F117">
        <f>1+YTDrtrns!G119</f>
        <v>1.0068582324311137</v>
      </c>
      <c r="G117">
        <f>1+YTDrtrns!H119</f>
        <v>1.020426232367754</v>
      </c>
      <c r="H117">
        <f>1+YTDrtrns!I119</f>
        <v>1.0129436096176505</v>
      </c>
      <c r="I117">
        <f>1+YTDrtrns!J119</f>
        <v>0.99071215651929379</v>
      </c>
      <c r="J117">
        <f>1+YTDrtrns!K119</f>
        <v>0.97926425002515316</v>
      </c>
    </row>
    <row r="118" spans="1:10" x14ac:dyDescent="0.25">
      <c r="A118">
        <f>1+YTDrtrns!B120</f>
        <v>1.0522388145327568</v>
      </c>
      <c r="B118">
        <f>1+YTDrtrns!C120</f>
        <v>0.99237465718761086</v>
      </c>
      <c r="C118">
        <f>1+YTDrtrns!D120</f>
        <v>1.0024100427981466</v>
      </c>
      <c r="D118">
        <f>1+YTDrtrns!E120</f>
        <v>1.0065016932785511</v>
      </c>
      <c r="E118">
        <f>1+YTDrtrns!F120</f>
        <v>1.01391283236444</v>
      </c>
      <c r="F118">
        <f>1+YTDrtrns!G120</f>
        <v>1.013947463594377</v>
      </c>
      <c r="G118">
        <f>1+YTDrtrns!H120</f>
        <v>1.0038298524450511</v>
      </c>
      <c r="H118">
        <f>1+YTDrtrns!I120</f>
        <v>1.0310181584209204</v>
      </c>
      <c r="I118">
        <f>1+YTDrtrns!J120</f>
        <v>0.99947915476514027</v>
      </c>
      <c r="J118">
        <f>1+YTDrtrns!K120</f>
        <v>0.98565573524683714</v>
      </c>
    </row>
    <row r="119" spans="1:10" x14ac:dyDescent="0.25">
      <c r="A119">
        <f>1+YTDrtrns!B121</f>
        <v>0.97990542836487293</v>
      </c>
      <c r="B119">
        <f>1+YTDrtrns!C121</f>
        <v>1.0032931601163</v>
      </c>
      <c r="C119">
        <f>1+YTDrtrns!D121</f>
        <v>0.99982829604414292</v>
      </c>
      <c r="D119">
        <f>1+YTDrtrns!E121</f>
        <v>0.99353494448587298</v>
      </c>
      <c r="E119">
        <f>1+YTDrtrns!F121</f>
        <v>1.0012474553659558</v>
      </c>
      <c r="F119">
        <f>1+YTDrtrns!G121</f>
        <v>1.0175943449139595</v>
      </c>
      <c r="G119">
        <f>1+YTDrtrns!H121</f>
        <v>1.0195340123027563</v>
      </c>
      <c r="H119">
        <f>1+YTDrtrns!I121</f>
        <v>0.97171412594616413</v>
      </c>
      <c r="I119">
        <f>1+YTDrtrns!J121</f>
        <v>0.98019796423614025</v>
      </c>
      <c r="J119">
        <f>1+YTDrtrns!K121</f>
        <v>1.0041579669341445</v>
      </c>
    </row>
    <row r="120" spans="1:10" x14ac:dyDescent="0.25">
      <c r="A120">
        <f>1+YTDrtrns!B122</f>
        <v>0.96019301190972328</v>
      </c>
      <c r="B120">
        <f>1+YTDrtrns!C122</f>
        <v>0.97702406719326973</v>
      </c>
      <c r="C120">
        <f>1+YTDrtrns!D122</f>
        <v>0.99450361216440797</v>
      </c>
      <c r="D120">
        <f>1+YTDrtrns!E122</f>
        <v>0.97388993576169014</v>
      </c>
      <c r="E120">
        <f>1+YTDrtrns!F122</f>
        <v>0.99207153078168631</v>
      </c>
      <c r="F120">
        <f>1+YTDrtrns!G122</f>
        <v>0.96227604895830154</v>
      </c>
      <c r="G120">
        <f>1+YTDrtrns!H122</f>
        <v>0.99910192255629227</v>
      </c>
      <c r="H120">
        <f>1+YTDrtrns!I122</f>
        <v>0.98066236451268196</v>
      </c>
      <c r="I120">
        <f>1+YTDrtrns!J122</f>
        <v>1.0122276162728667</v>
      </c>
      <c r="J120">
        <f>1+YTDrtrns!K122</f>
        <v>1.0048309625126421</v>
      </c>
    </row>
    <row r="121" spans="1:10" x14ac:dyDescent="0.25">
      <c r="A121">
        <f>1+YTDrtrns!B123</f>
        <v>1.0138190519064665</v>
      </c>
      <c r="B121">
        <f>1+YTDrtrns!C123</f>
        <v>0.98432246968150139</v>
      </c>
      <c r="C121">
        <f>1+YTDrtrns!D123</f>
        <v>1.0072538540698588</v>
      </c>
      <c r="D121">
        <f>1+YTDrtrns!E123</f>
        <v>0.9854748472571373</v>
      </c>
      <c r="E121">
        <f>1+YTDrtrns!F123</f>
        <v>1.007763447239995</v>
      </c>
      <c r="F121">
        <f>1+YTDrtrns!G123</f>
        <v>1.0026135223452002</v>
      </c>
      <c r="G121">
        <f>1+YTDrtrns!H123</f>
        <v>0.96074710041284561</v>
      </c>
      <c r="H121">
        <f>1+YTDrtrns!I123</f>
        <v>1.0026221943553537</v>
      </c>
      <c r="I121">
        <f>1+YTDrtrns!J123</f>
        <v>0.97373949736356735</v>
      </c>
      <c r="J121">
        <f>1+YTDrtrns!K123</f>
        <v>0.9917581845074892</v>
      </c>
    </row>
    <row r="122" spans="1:10" x14ac:dyDescent="0.25">
      <c r="A122">
        <f>1+YTDrtrns!B124</f>
        <v>0.98017350025475025</v>
      </c>
      <c r="B122">
        <f>1+YTDrtrns!C124</f>
        <v>1.0273037292063236</v>
      </c>
      <c r="C122">
        <f>1+YTDrtrns!D124</f>
        <v>1.0108024878427386</v>
      </c>
      <c r="D122">
        <f>1+YTDrtrns!E124</f>
        <v>1.031179204583168</v>
      </c>
      <c r="E122">
        <f>1+YTDrtrns!F124</f>
        <v>1.0126317609101534</v>
      </c>
      <c r="F122">
        <f>1+YTDrtrns!G124</f>
        <v>0.99315734812989831</v>
      </c>
      <c r="G122">
        <f>1+YTDrtrns!H124</f>
        <v>1.014918364584446</v>
      </c>
      <c r="H122">
        <f>1+YTDrtrns!I124</f>
        <v>1.0083691086620092</v>
      </c>
      <c r="I122">
        <f>1+YTDrtrns!J124</f>
        <v>1.0010786703787744</v>
      </c>
      <c r="J122">
        <f>1+YTDrtrns!K124</f>
        <v>1.0006925366469659</v>
      </c>
    </row>
    <row r="123" spans="1:10" x14ac:dyDescent="0.25">
      <c r="A123">
        <f>1+YTDrtrns!B125</f>
        <v>0.99115048069506884</v>
      </c>
      <c r="B123">
        <f>1+YTDrtrns!C125</f>
        <v>1.0265781544148922</v>
      </c>
      <c r="C123">
        <f>1+YTDrtrns!D125</f>
        <v>0.98761663213372231</v>
      </c>
      <c r="D123">
        <f>1+YTDrtrns!E125</f>
        <v>1.0043980167247355</v>
      </c>
      <c r="E123">
        <f>1+YTDrtrns!F125</f>
        <v>1.0004475126042962</v>
      </c>
      <c r="F123">
        <f>1+YTDrtrns!G125</f>
        <v>0.96948817931115627</v>
      </c>
      <c r="G123">
        <f>1+YTDrtrns!H125</f>
        <v>0.99052493646740913</v>
      </c>
      <c r="H123">
        <f>1+YTDrtrns!I125</f>
        <v>0.98806928563863039</v>
      </c>
      <c r="I123">
        <f>1+YTDrtrns!J125</f>
        <v>0.97090522572398186</v>
      </c>
      <c r="J123">
        <f>1+YTDrtrns!K125</f>
        <v>1.0062283845618367</v>
      </c>
    </row>
    <row r="124" spans="1:10" x14ac:dyDescent="0.25">
      <c r="A124">
        <f>1+YTDrtrns!B126</f>
        <v>1.0535714365541935</v>
      </c>
      <c r="B124">
        <f>1+YTDrtrns!C126</f>
        <v>0.9741099551320076</v>
      </c>
      <c r="C124">
        <f>1+YTDrtrns!D126</f>
        <v>1.0152868321165442</v>
      </c>
      <c r="D124">
        <f>1+YTDrtrns!E126</f>
        <v>0.98467429261654615</v>
      </c>
      <c r="E124">
        <f>1+YTDrtrns!F126</f>
        <v>1.0202403962612152</v>
      </c>
      <c r="F124">
        <f>1+YTDrtrns!G126</f>
        <v>1.036886639893055</v>
      </c>
      <c r="G124">
        <f>1+YTDrtrns!H126</f>
        <v>1.0061013856902719</v>
      </c>
      <c r="H124">
        <f>1+YTDrtrns!I126</f>
        <v>1.0031499690376222</v>
      </c>
      <c r="I124">
        <f>1+YTDrtrns!J126</f>
        <v>1.017203077673912</v>
      </c>
      <c r="J124">
        <f>1+YTDrtrns!K126</f>
        <v>1.0116918897256255</v>
      </c>
    </row>
    <row r="125" spans="1:10" x14ac:dyDescent="0.25">
      <c r="A125">
        <f>1+YTDrtrns!B127</f>
        <v>1.0024212473072112</v>
      </c>
      <c r="B125">
        <f>1+YTDrtrns!C127</f>
        <v>1.0343300588428974</v>
      </c>
      <c r="C125">
        <f>1+YTDrtrns!D127</f>
        <v>1.0045677628368139</v>
      </c>
      <c r="D125">
        <f>1+YTDrtrns!E127</f>
        <v>1.0055586649104953</v>
      </c>
      <c r="E125">
        <f>1+YTDrtrns!F127</f>
        <v>0.99210827890783548</v>
      </c>
      <c r="F125">
        <f>1+YTDrtrns!G127</f>
        <v>0.98792431689798832</v>
      </c>
      <c r="G125">
        <f>1+YTDrtrns!H127</f>
        <v>0.99444957450032234</v>
      </c>
      <c r="H125">
        <f>1+YTDrtrns!I127</f>
        <v>0.99235918605700135</v>
      </c>
      <c r="I125">
        <f>1+YTDrtrns!J127</f>
        <v>0.96399345993995667</v>
      </c>
      <c r="J125">
        <f>1+YTDrtrns!K127</f>
        <v>0.98504416923969984</v>
      </c>
    </row>
    <row r="126" spans="1:10" x14ac:dyDescent="0.25">
      <c r="A126">
        <f>1+YTDrtrns!B128</f>
        <v>1.0314009934663773</v>
      </c>
      <c r="B126">
        <f>1+YTDrtrns!C128</f>
        <v>0.97751605696976185</v>
      </c>
      <c r="C126">
        <f>1+YTDrtrns!D128</f>
        <v>1.0057258359156549</v>
      </c>
      <c r="D126">
        <f>1+YTDrtrns!E128</f>
        <v>0.97954666428267956</v>
      </c>
      <c r="E126">
        <f>1+YTDrtrns!F128</f>
        <v>1.0076230727136135</v>
      </c>
      <c r="F126">
        <f>1+YTDrtrns!G128</f>
        <v>0.99933926470112056</v>
      </c>
      <c r="G126">
        <f>1+YTDrtrns!H128</f>
        <v>1.0125064505264163</v>
      </c>
      <c r="H126">
        <f>1+YTDrtrns!I128</f>
        <v>1.0106529071927071</v>
      </c>
      <c r="I126">
        <f>1+YTDrtrns!J128</f>
        <v>1.0186757165938616</v>
      </c>
      <c r="J126">
        <f>1+YTDrtrns!K128</f>
        <v>1.0103520061820745</v>
      </c>
    </row>
    <row r="127" spans="1:10" x14ac:dyDescent="0.25">
      <c r="A127">
        <f>1+YTDrtrns!B129</f>
        <v>1.0163934826850891</v>
      </c>
      <c r="B127">
        <f>1+YTDrtrns!C129</f>
        <v>0.97918942756950855</v>
      </c>
      <c r="C127">
        <f>1+YTDrtrns!D129</f>
        <v>0.99916270846733823</v>
      </c>
      <c r="D127">
        <f>1+YTDrtrns!E129</f>
        <v>1.0163657404482365</v>
      </c>
      <c r="E127">
        <f>1+YTDrtrns!F129</f>
        <v>0.98399211652576923</v>
      </c>
      <c r="F127">
        <f>1+YTDrtrns!G129</f>
        <v>0.96859501674771309</v>
      </c>
      <c r="G127">
        <f>1+YTDrtrns!H129</f>
        <v>0.99377296213060617</v>
      </c>
      <c r="H127">
        <f>1+YTDrtrns!I129</f>
        <v>0.97411810234189034</v>
      </c>
      <c r="I127">
        <f>1+YTDrtrns!J129</f>
        <v>0.98944441508501768</v>
      </c>
      <c r="J127">
        <f>1+YTDrtrns!K129</f>
        <v>1.0034152483567595</v>
      </c>
    </row>
    <row r="128" spans="1:10" x14ac:dyDescent="0.25">
      <c r="A128">
        <f>1+YTDrtrns!B130</f>
        <v>0.98502302914857864</v>
      </c>
      <c r="B128">
        <f>1+YTDrtrns!C130</f>
        <v>0.96756152436137199</v>
      </c>
      <c r="C128">
        <f>1+YTDrtrns!D130</f>
        <v>1.0048600793816149</v>
      </c>
      <c r="D128">
        <f>1+YTDrtrns!E130</f>
        <v>1.0038867127150297</v>
      </c>
      <c r="E128">
        <f>1+YTDrtrns!F130</f>
        <v>0.99749282863922417</v>
      </c>
      <c r="F128">
        <f>1+YTDrtrns!G130</f>
        <v>0.9849829813465476</v>
      </c>
      <c r="G128">
        <f>1+YTDrtrns!H130</f>
        <v>1.0009758728556335</v>
      </c>
      <c r="H128">
        <f>1+YTDrtrns!I130</f>
        <v>0.98875085171312094</v>
      </c>
      <c r="I128">
        <f>1+YTDrtrns!J130</f>
        <v>0.97697923332452774</v>
      </c>
      <c r="J128">
        <f>1+YTDrtrns!K130</f>
        <v>0.99251193599775434</v>
      </c>
    </row>
    <row r="129" spans="1:10" x14ac:dyDescent="0.25">
      <c r="A129">
        <f>1+YTDrtrns!B131</f>
        <v>1.0187134314328432</v>
      </c>
      <c r="B129">
        <f>1+YTDrtrns!C131</f>
        <v>1.0543352924287319</v>
      </c>
      <c r="C129">
        <f>1+YTDrtrns!D131</f>
        <v>1.0081721432507038</v>
      </c>
      <c r="D129">
        <f>1+YTDrtrns!E131</f>
        <v>0.99612833536230028</v>
      </c>
      <c r="E129">
        <f>1+YTDrtrns!F131</f>
        <v>1.0031836871057749</v>
      </c>
      <c r="F129">
        <f>1+YTDrtrns!G131</f>
        <v>1.0131669836118817</v>
      </c>
      <c r="G129">
        <f>1+YTDrtrns!H131</f>
        <v>0.97803889960050583</v>
      </c>
      <c r="H129">
        <f>1+YTDrtrns!I131</f>
        <v>1.0232961475849152</v>
      </c>
      <c r="I129">
        <f>1+YTDrtrns!J131</f>
        <v>1.0109195709228516</v>
      </c>
      <c r="J129">
        <f>1+YTDrtrns!K131</f>
        <v>1.0075445715337992</v>
      </c>
    </row>
    <row r="130" spans="1:10" x14ac:dyDescent="0.25">
      <c r="A130">
        <f>1+YTDrtrns!B132</f>
        <v>0.99196329526603222</v>
      </c>
      <c r="B130">
        <f>1+YTDrtrns!C132</f>
        <v>0.9956140392459929</v>
      </c>
      <c r="C130">
        <f>1+YTDrtrns!D132</f>
        <v>0.98494623880833387</v>
      </c>
      <c r="D130">
        <f>1+YTDrtrns!E132</f>
        <v>1.0022209333255887</v>
      </c>
      <c r="E130">
        <f>1+YTDrtrns!F132</f>
        <v>1.0067368559539318</v>
      </c>
      <c r="F130">
        <f>1+YTDrtrns!G132</f>
        <v>0.98768807761371136</v>
      </c>
      <c r="G130">
        <f>1+YTDrtrns!H132</f>
        <v>1.0108598293736577</v>
      </c>
      <c r="H130">
        <f>1+YTDrtrns!I132</f>
        <v>1.0078356396406889</v>
      </c>
      <c r="I130">
        <f>1+YTDrtrns!J132</f>
        <v>0.98237637989223003</v>
      </c>
      <c r="J130">
        <f>1+YTDrtrns!K132</f>
        <v>0.99654933111742139</v>
      </c>
    </row>
    <row r="131" spans="1:10" x14ac:dyDescent="0.25">
      <c r="A131">
        <f>1+YTDrtrns!B133</f>
        <v>1.0150463087484241</v>
      </c>
      <c r="B131">
        <f>1+YTDrtrns!C133</f>
        <v>1.1244493499398232</v>
      </c>
      <c r="C131">
        <f>1+YTDrtrns!D133</f>
        <v>1.0167954321950674</v>
      </c>
      <c r="D131">
        <f>1+YTDrtrns!E133</f>
        <v>0.9977839884813875</v>
      </c>
      <c r="E131">
        <f>1+YTDrtrns!F133</f>
        <v>1.0251630768179893</v>
      </c>
      <c r="F131">
        <f>1+YTDrtrns!G133</f>
        <v>0.98441832140088081</v>
      </c>
      <c r="G131">
        <f>1+YTDrtrns!H133</f>
        <v>1.0063836984336376</v>
      </c>
      <c r="H131">
        <f>1+YTDrtrns!I133</f>
        <v>0.99936964112566784</v>
      </c>
      <c r="I131">
        <f>1+YTDrtrns!J133</f>
        <v>1.0179397836327553</v>
      </c>
      <c r="J131">
        <f>1+YTDrtrns!K133</f>
        <v>1.0103878518566489</v>
      </c>
    </row>
    <row r="132" spans="1:10" x14ac:dyDescent="0.25">
      <c r="A132">
        <f>1+YTDrtrns!B134</f>
        <v>1.0034207219723612</v>
      </c>
      <c r="B132">
        <f>1+YTDrtrns!C134</f>
        <v>1.0137120801955462</v>
      </c>
      <c r="C132">
        <f>1+YTDrtrns!D134</f>
        <v>0.99851337703876197</v>
      </c>
      <c r="D132">
        <f>1+YTDrtrns!E134</f>
        <v>1.0161021109670401</v>
      </c>
      <c r="E132">
        <f>1+YTDrtrns!F134</f>
        <v>0.99633170035667717</v>
      </c>
      <c r="F132">
        <f>1+YTDrtrns!G134</f>
        <v>1.0478368140757084</v>
      </c>
      <c r="G132">
        <f>1+YTDrtrns!H134</f>
        <v>1.002062781015411</v>
      </c>
      <c r="H132">
        <f>1+YTDrtrns!I134</f>
        <v>1.0196593254804611</v>
      </c>
      <c r="I132">
        <f>1+YTDrtrns!J134</f>
        <v>1.0244457256048918</v>
      </c>
      <c r="J132">
        <f>1+YTDrtrns!K134</f>
        <v>1.0061686187982559</v>
      </c>
    </row>
    <row r="133" spans="1:10" x14ac:dyDescent="0.25">
      <c r="A133">
        <f>1+YTDrtrns!B135</f>
        <v>1.0113635715097189</v>
      </c>
      <c r="B133">
        <f>1+YTDrtrns!C135</f>
        <v>1.0405797176063061</v>
      </c>
      <c r="C133">
        <f>1+YTDrtrns!D135</f>
        <v>1.0006617190083489</v>
      </c>
      <c r="D133">
        <f>1+YTDrtrns!E135</f>
        <v>0.99453560216352344</v>
      </c>
      <c r="E133">
        <f>1+YTDrtrns!F135</f>
        <v>0.9966430498752743</v>
      </c>
      <c r="F133">
        <f>1+YTDrtrns!G135</f>
        <v>0.98053031787276268</v>
      </c>
      <c r="G133">
        <f>1+YTDrtrns!H135</f>
        <v>1.0024188216775656</v>
      </c>
      <c r="H133">
        <f>1+YTDrtrns!I135</f>
        <v>1.0042272778227925</v>
      </c>
      <c r="I133">
        <f>1+YTDrtrns!J135</f>
        <v>1.0133185219019651</v>
      </c>
      <c r="J133">
        <f>1+YTDrtrns!K135</f>
        <v>1.0006811495404691</v>
      </c>
    </row>
    <row r="134" spans="1:10" x14ac:dyDescent="0.25">
      <c r="A134">
        <f>1+YTDrtrns!B136</f>
        <v>1.0022472424898297</v>
      </c>
      <c r="B134">
        <f>1+YTDrtrns!C136</f>
        <v>0.99814294732641429</v>
      </c>
      <c r="C134">
        <f>1+YTDrtrns!D136</f>
        <v>0.98264170810580254</v>
      </c>
      <c r="D134">
        <f>1+YTDrtrns!E136</f>
        <v>0.98351642116904259</v>
      </c>
      <c r="E134">
        <f>1+YTDrtrns!F136</f>
        <v>0.99581678584218025</v>
      </c>
      <c r="F134">
        <f>1+YTDrtrns!G136</f>
        <v>0.98288257420063019</v>
      </c>
      <c r="G134">
        <f>1+YTDrtrns!H136</f>
        <v>1.0352192260324955</v>
      </c>
      <c r="H134">
        <f>1+YTDrtrns!I136</f>
        <v>1.021047180518508</v>
      </c>
      <c r="I134">
        <f>1+YTDrtrns!J136</f>
        <v>0.98685652948915958</v>
      </c>
      <c r="J134">
        <f>1+YTDrtrns!K136</f>
        <v>0.98638530913740396</v>
      </c>
    </row>
    <row r="135" spans="1:10" x14ac:dyDescent="0.25">
      <c r="A135">
        <f>1+YTDrtrns!B137</f>
        <v>1.0112108048051596</v>
      </c>
      <c r="B135">
        <f>1+YTDrtrns!C137</f>
        <v>1.0139534529298544</v>
      </c>
      <c r="C135">
        <f>1+YTDrtrns!D137</f>
        <v>1.0112719042226672</v>
      </c>
      <c r="D135">
        <f>1+YTDrtrns!E137</f>
        <v>1.0055866134352982</v>
      </c>
      <c r="E135">
        <f>1+YTDrtrns!F137</f>
        <v>1.0004364529740997</v>
      </c>
      <c r="F135">
        <f>1+YTDrtrns!G137</f>
        <v>1.0156740080565214</v>
      </c>
      <c r="G135">
        <f>1+YTDrtrns!H137</f>
        <v>1.033078745007515</v>
      </c>
      <c r="H135">
        <f>1+YTDrtrns!I137</f>
        <v>1.0439417064189911</v>
      </c>
      <c r="I135">
        <f>1+YTDrtrns!J137</f>
        <v>1.0144284255802631</v>
      </c>
      <c r="J135">
        <f>1+YTDrtrns!K137</f>
        <v>1.0062111909501255</v>
      </c>
    </row>
    <row r="136" spans="1:10" x14ac:dyDescent="0.25">
      <c r="A136">
        <f>1+YTDrtrns!B138</f>
        <v>1.009977737441659</v>
      </c>
      <c r="B136">
        <f>1+YTDrtrns!C138</f>
        <v>0.98073394037783146</v>
      </c>
      <c r="C136">
        <f>1+YTDrtrns!D138</f>
        <v>1.0038263108581305</v>
      </c>
      <c r="D136">
        <f>1+YTDrtrns!E138</f>
        <v>1.0127777522429824</v>
      </c>
      <c r="E136">
        <f>1+YTDrtrns!F138</f>
        <v>1.0261205863207579</v>
      </c>
      <c r="F136">
        <f>1+YTDrtrns!G138</f>
        <v>1.0133744645863771</v>
      </c>
      <c r="G136">
        <f>1+YTDrtrns!H138</f>
        <v>1.0050405794754624</v>
      </c>
      <c r="H136">
        <f>1+YTDrtrns!I138</f>
        <v>1.0104026375338435</v>
      </c>
      <c r="I136">
        <f>1+YTDrtrns!J138</f>
        <v>1.0508751831948757</v>
      </c>
      <c r="J136">
        <f>1+YTDrtrns!K138</f>
        <v>1.0130315870046616</v>
      </c>
    </row>
    <row r="137" spans="1:10" x14ac:dyDescent="0.25">
      <c r="A137">
        <f>1+YTDrtrns!B139</f>
        <v>1.0043907752260566</v>
      </c>
      <c r="B137">
        <f>1+YTDrtrns!C139</f>
        <v>0.98877456597983837</v>
      </c>
      <c r="C137">
        <f>1+YTDrtrns!D139</f>
        <v>1.0049718138761818</v>
      </c>
      <c r="D137">
        <f>1+YTDrtrns!E139</f>
        <v>0.99972577285370789</v>
      </c>
      <c r="E137">
        <f>1+YTDrtrns!F139</f>
        <v>1.0375192500650883</v>
      </c>
      <c r="F137">
        <f>1+YTDrtrns!G139</f>
        <v>1.0077834674157202</v>
      </c>
      <c r="G137">
        <f>1+YTDrtrns!H139</f>
        <v>0.97907907515764236</v>
      </c>
      <c r="H137">
        <f>1+YTDrtrns!I139</f>
        <v>0.98684456758201122</v>
      </c>
      <c r="I137">
        <f>1+YTDrtrns!J139</f>
        <v>1.0510151758790016</v>
      </c>
      <c r="J137">
        <f>1+YTDrtrns!K139</f>
        <v>1.0169262010604143</v>
      </c>
    </row>
    <row r="138" spans="1:10" x14ac:dyDescent="0.25">
      <c r="A138">
        <f>1+YTDrtrns!B140</f>
        <v>0.9912568386644125</v>
      </c>
      <c r="B138">
        <f>1+YTDrtrns!C140</f>
        <v>0.97161785699427128</v>
      </c>
      <c r="C138">
        <f>1+YTDrtrns!D140</f>
        <v>1.0194591078907251</v>
      </c>
      <c r="D138">
        <f>1+YTDrtrns!E140</f>
        <v>1.0348422601819038</v>
      </c>
      <c r="E138">
        <f>1+YTDrtrns!F140</f>
        <v>0.98371155746281147</v>
      </c>
      <c r="F138">
        <f>1+YTDrtrns!G140</f>
        <v>1.0224983226507902</v>
      </c>
      <c r="G138">
        <f>1+YTDrtrns!H140</f>
        <v>1.032539751380682</v>
      </c>
      <c r="H138">
        <f>1+YTDrtrns!I140</f>
        <v>0.98889109399169683</v>
      </c>
      <c r="I138">
        <f>1+YTDrtrns!J140</f>
        <v>0.99603764619678259</v>
      </c>
      <c r="J138">
        <f>1+YTDrtrns!K140</f>
        <v>0.99733682326041162</v>
      </c>
    </row>
    <row r="139" spans="1:10" x14ac:dyDescent="0.25">
      <c r="A139">
        <f>1+YTDrtrns!B141</f>
        <v>1.0022051222622395</v>
      </c>
      <c r="B139">
        <f>1+YTDrtrns!C141</f>
        <v>0.98052573017776012</v>
      </c>
      <c r="C139">
        <f>1+YTDrtrns!D141</f>
        <v>0.99482368677854538</v>
      </c>
      <c r="D139">
        <f>1+YTDrtrns!E141</f>
        <v>0.98091195151209831</v>
      </c>
      <c r="E139">
        <f>1+YTDrtrns!F141</f>
        <v>1.0184326637536287</v>
      </c>
      <c r="F139">
        <f>1+YTDrtrns!G141</f>
        <v>0.99802951165474951</v>
      </c>
      <c r="G139">
        <f>1+YTDrtrns!H141</f>
        <v>1.0091660879552364</v>
      </c>
      <c r="H139">
        <f>1+YTDrtrns!I141</f>
        <v>0.98700789455324411</v>
      </c>
      <c r="I139">
        <f>1+YTDrtrns!J141</f>
        <v>0.97513674944639206</v>
      </c>
      <c r="J139">
        <f>1+YTDrtrns!K141</f>
        <v>0.99465955095365644</v>
      </c>
    </row>
    <row r="140" spans="1:10" x14ac:dyDescent="0.25">
      <c r="A140">
        <f>1+YTDrtrns!B142</f>
        <v>1.033003319054842</v>
      </c>
      <c r="B140">
        <f>1+YTDrtrns!C142</f>
        <v>0.98609737865626812</v>
      </c>
      <c r="C140">
        <f>1+YTDrtrns!D142</f>
        <v>0.99967478931648657</v>
      </c>
      <c r="D140">
        <f>1+YTDrtrns!E142</f>
        <v>0.98972970061004162</v>
      </c>
      <c r="E140">
        <f>1+YTDrtrns!F142</f>
        <v>1.0140600241720676</v>
      </c>
      <c r="F140">
        <f>1+YTDrtrns!G142</f>
        <v>1.0108588328585029</v>
      </c>
      <c r="G140">
        <f>1+YTDrtrns!H142</f>
        <v>0.98595439828932285</v>
      </c>
      <c r="H140">
        <f>1+YTDrtrns!I142</f>
        <v>1.0084124943241477</v>
      </c>
      <c r="I140">
        <f>1+YTDrtrns!J142</f>
        <v>1.0367159247398376</v>
      </c>
      <c r="J140">
        <f>1+YTDrtrns!K142</f>
        <v>1.0114094009622931</v>
      </c>
    </row>
    <row r="141" spans="1:10" x14ac:dyDescent="0.25">
      <c r="A141">
        <f>1+YTDrtrns!B143</f>
        <v>1.0053247320465744</v>
      </c>
      <c r="B141">
        <f>1+YTDrtrns!C143</f>
        <v>0.99697878281585872</v>
      </c>
      <c r="C141">
        <f>1+YTDrtrns!D143</f>
        <v>0.99219259014353156</v>
      </c>
      <c r="D141">
        <f>1+YTDrtrns!E143</f>
        <v>0.99344626255333424</v>
      </c>
      <c r="E141">
        <f>1+YTDrtrns!F143</f>
        <v>1.0071594142355025</v>
      </c>
      <c r="F141">
        <f>1+YTDrtrns!G143</f>
        <v>0.99967447170638479</v>
      </c>
      <c r="G141">
        <f>1+YTDrtrns!H143</f>
        <v>1.0137708783149719</v>
      </c>
      <c r="H141">
        <f>1+YTDrtrns!I143</f>
        <v>0.99293354386463761</v>
      </c>
      <c r="I141">
        <f>1+YTDrtrns!J143</f>
        <v>0.95966553315520287</v>
      </c>
      <c r="J141">
        <f>1+YTDrtrns!K143</f>
        <v>0.97810219414532185</v>
      </c>
    </row>
    <row r="142" spans="1:10" x14ac:dyDescent="0.25">
      <c r="A142">
        <f>1+YTDrtrns!B144</f>
        <v>1.01694923825562</v>
      </c>
      <c r="B142">
        <f>1+YTDrtrns!C144</f>
        <v>1.0383838526904583</v>
      </c>
      <c r="C142">
        <f>1+YTDrtrns!D144</f>
        <v>1.0103278867900372</v>
      </c>
      <c r="D142">
        <f>1+YTDrtrns!E144</f>
        <v>1.008796033449471</v>
      </c>
      <c r="E142">
        <f>1+YTDrtrns!F144</f>
        <v>1.0153684793040156</v>
      </c>
      <c r="F142">
        <f>1+YTDrtrns!G144</f>
        <v>1.020840160548687</v>
      </c>
      <c r="G142">
        <f>1+YTDrtrns!H144</f>
        <v>0.96763312816619873</v>
      </c>
      <c r="H142">
        <f>1+YTDrtrns!I144</f>
        <v>0.99920923361787573</v>
      </c>
      <c r="I142">
        <f>1+YTDrtrns!J144</f>
        <v>1.0579189732670784</v>
      </c>
      <c r="J142">
        <f>1+YTDrtrns!K144</f>
        <v>0.96268655359745026</v>
      </c>
    </row>
    <row r="143" spans="1:10" x14ac:dyDescent="0.25">
      <c r="A143">
        <f>1+YTDrtrns!B145</f>
        <v>1.0187499318271875</v>
      </c>
      <c r="B143">
        <f>1+YTDrtrns!C145</f>
        <v>0.98249033465981483</v>
      </c>
      <c r="C143">
        <f>1+YTDrtrns!D145</f>
        <v>1.0066526015289128</v>
      </c>
      <c r="D143">
        <f>1+YTDrtrns!E145</f>
        <v>0.99291547341272235</v>
      </c>
      <c r="E143">
        <f>1+YTDrtrns!F145</f>
        <v>0.98658974934369326</v>
      </c>
      <c r="F143">
        <f>1+YTDrtrns!G145</f>
        <v>0.99553424911573529</v>
      </c>
      <c r="G143">
        <f>1+YTDrtrns!H145</f>
        <v>0.99840254709124565</v>
      </c>
      <c r="H143">
        <f>1+YTDrtrns!I145</f>
        <v>0.9894153755158186</v>
      </c>
      <c r="I143">
        <f>1+YTDrtrns!J145</f>
        <v>1.010174467228353</v>
      </c>
      <c r="J143">
        <f>1+YTDrtrns!K145</f>
        <v>1.0021142133045942</v>
      </c>
    </row>
    <row r="144" spans="1:10" x14ac:dyDescent="0.25">
      <c r="A144">
        <f>1+YTDrtrns!B146</f>
        <v>1.0010225182631984</v>
      </c>
      <c r="B144">
        <f>1+YTDrtrns!C146</f>
        <v>1.0257425010204315</v>
      </c>
      <c r="C144">
        <f>1+YTDrtrns!D146</f>
        <v>1.0024177581071854</v>
      </c>
      <c r="D144">
        <f>1+YTDrtrns!E146</f>
        <v>1.0054884953424335</v>
      </c>
      <c r="E144">
        <f>1+YTDrtrns!F146</f>
        <v>1.0271350387483835</v>
      </c>
      <c r="F144">
        <f>1+YTDrtrns!G146</f>
        <v>1.0214674808084965</v>
      </c>
      <c r="G144">
        <f>1+YTDrtrns!H146</f>
        <v>0.98991514276713133</v>
      </c>
      <c r="H144">
        <f>1+YTDrtrns!I146</f>
        <v>1.0299940016120672</v>
      </c>
      <c r="I144">
        <f>1+YTDrtrns!J146</f>
        <v>1.0076738535426557</v>
      </c>
      <c r="J144">
        <f>1+YTDrtrns!K146</f>
        <v>0.99367087567225099</v>
      </c>
    </row>
    <row r="145" spans="1:10" x14ac:dyDescent="0.25">
      <c r="A145">
        <f>1+YTDrtrns!B147</f>
        <v>0.98672113195061684</v>
      </c>
      <c r="B145">
        <f>1+YTDrtrns!C147</f>
        <v>1.0067568197846413</v>
      </c>
      <c r="C145">
        <f>1+YTDrtrns!D147</f>
        <v>1.0073967343196273</v>
      </c>
      <c r="D145">
        <f>1+YTDrtrns!E147</f>
        <v>1.0060044000856578</v>
      </c>
      <c r="E145">
        <f>1+YTDrtrns!F147</f>
        <v>0.99221567157655954</v>
      </c>
      <c r="F145">
        <f>1+YTDrtrns!G147</f>
        <v>1.0094103245064616</v>
      </c>
      <c r="G145">
        <f>1+YTDrtrns!H147</f>
        <v>1.001910169958137</v>
      </c>
      <c r="H145">
        <f>1+YTDrtrns!I147</f>
        <v>1.021743405610323</v>
      </c>
      <c r="I145">
        <f>1+YTDrtrns!J147</f>
        <v>0.99857207585591823</v>
      </c>
      <c r="J145">
        <f>1+YTDrtrns!K147</f>
        <v>0.98726112488657236</v>
      </c>
    </row>
    <row r="146" spans="1:10" x14ac:dyDescent="0.25">
      <c r="A146">
        <f>1+YTDrtrns!B148</f>
        <v>0.99689443758688867</v>
      </c>
      <c r="B146">
        <f>1+YTDrtrns!C148</f>
        <v>0.96069033071398735</v>
      </c>
      <c r="C146">
        <f>1+YTDrtrns!D148</f>
        <v>1.0049480856396258</v>
      </c>
      <c r="D146">
        <f>1+YTDrtrns!E148</f>
        <v>0.98860548064112663</v>
      </c>
      <c r="E146">
        <f>1+YTDrtrns!F148</f>
        <v>0.99965672587859444</v>
      </c>
      <c r="F146">
        <f>1+YTDrtrns!G148</f>
        <v>0.98353012092411518</v>
      </c>
      <c r="G146">
        <f>1+YTDrtrns!H148</f>
        <v>1.0039108479395509</v>
      </c>
      <c r="H146">
        <f>1+YTDrtrns!I148</f>
        <v>1.0115903588011861</v>
      </c>
      <c r="I146">
        <f>1+YTDrtrns!J148</f>
        <v>0.9980934695340693</v>
      </c>
      <c r="J146">
        <f>1+YTDrtrns!K148</f>
        <v>0.98207885213196278</v>
      </c>
    </row>
    <row r="147" spans="1:10" x14ac:dyDescent="0.25">
      <c r="A147">
        <f>1+YTDrtrns!B149</f>
        <v>1.0342679060995579</v>
      </c>
      <c r="B147">
        <f>1+YTDrtrns!C149</f>
        <v>0.99500996107235551</v>
      </c>
      <c r="C147">
        <f>1+YTDrtrns!D149</f>
        <v>0.99857051856815815</v>
      </c>
      <c r="D147">
        <f>1+YTDrtrns!E149</f>
        <v>1.0142700457945466</v>
      </c>
      <c r="E147">
        <f>1+YTDrtrns!F149</f>
        <v>1.0050032092258334</v>
      </c>
      <c r="F147">
        <f>1+YTDrtrns!G149</f>
        <v>0.96240124478936195</v>
      </c>
      <c r="G147">
        <f>1+YTDrtrns!H149</f>
        <v>1.0550740025937557</v>
      </c>
      <c r="H147">
        <f>1+YTDrtrns!I149</f>
        <v>1.0005634631379507</v>
      </c>
      <c r="I147">
        <f>1+YTDrtrns!J149</f>
        <v>0.99904486833838746</v>
      </c>
      <c r="J147">
        <f>1+YTDrtrns!K149</f>
        <v>1.0029197053518146</v>
      </c>
    </row>
    <row r="148" spans="1:10" x14ac:dyDescent="0.25">
      <c r="A148">
        <f>1+YTDrtrns!B150</f>
        <v>0.9809237364679575</v>
      </c>
      <c r="B148">
        <f>1+YTDrtrns!C150</f>
        <v>1.4423269629478455</v>
      </c>
      <c r="C148">
        <f>1+YTDrtrns!D150</f>
        <v>1.0071576391346753</v>
      </c>
      <c r="D148">
        <f>1+YTDrtrns!E150</f>
        <v>1.0156926903873682</v>
      </c>
      <c r="E148">
        <f>1+YTDrtrns!F150</f>
        <v>1.0184001475572586</v>
      </c>
      <c r="F148">
        <f>1+YTDrtrns!G150</f>
        <v>1.0193696711212397</v>
      </c>
      <c r="G148">
        <f>1+YTDrtrns!H150</f>
        <v>0.97323116660118103</v>
      </c>
      <c r="H148">
        <f>1+YTDrtrns!I150</f>
        <v>0.97733244858682156</v>
      </c>
      <c r="I148">
        <f>1+YTDrtrns!J150</f>
        <v>1.028680706396699</v>
      </c>
      <c r="J148">
        <f>1+YTDrtrns!K150</f>
        <v>0.99927218130324036</v>
      </c>
    </row>
    <row r="149" spans="1:10" x14ac:dyDescent="0.25">
      <c r="A149">
        <f>1+YTDrtrns!B151</f>
        <v>0.98157622292637825</v>
      </c>
      <c r="B149">
        <f>1+YTDrtrns!C151</f>
        <v>1.0292072370648384</v>
      </c>
      <c r="C149">
        <f>1+YTDrtrns!D151</f>
        <v>0.99368285667151213</v>
      </c>
      <c r="D149">
        <f>1+YTDrtrns!E151</f>
        <v>0.98508254252374172</v>
      </c>
      <c r="E149">
        <f>1+YTDrtrns!F151</f>
        <v>0.99164423067122698</v>
      </c>
      <c r="F149">
        <f>1+YTDrtrns!G151</f>
        <v>0.983252864331007</v>
      </c>
      <c r="G149">
        <f>1+YTDrtrns!H151</f>
        <v>1.0126144243404269</v>
      </c>
      <c r="H149">
        <f>1+YTDrtrns!I151</f>
        <v>0.94117647036910057</v>
      </c>
      <c r="I149">
        <f>1+YTDrtrns!J151</f>
        <v>1.0108133303001523</v>
      </c>
      <c r="J149">
        <f>1+YTDrtrns!K151</f>
        <v>0.99781502294354141</v>
      </c>
    </row>
    <row r="150" spans="1:10" x14ac:dyDescent="0.25">
      <c r="A150">
        <f>1+YTDrtrns!B152</f>
        <v>1.0333680585026741</v>
      </c>
      <c r="B150">
        <f>1+YTDrtrns!C152</f>
        <v>0.97905402630567551</v>
      </c>
      <c r="C150">
        <f>1+YTDrtrns!D152</f>
        <v>1.0092180836945772</v>
      </c>
      <c r="D150">
        <f>1+YTDrtrns!E152</f>
        <v>0.99567334121093154</v>
      </c>
      <c r="E150">
        <f>1+YTDrtrns!F152</f>
        <v>1.0030023977160454</v>
      </c>
      <c r="F150">
        <f>1+YTDrtrns!G152</f>
        <v>1.0298067424446344</v>
      </c>
      <c r="G150">
        <f>1+YTDrtrns!H152</f>
        <v>1.0088512124493718</v>
      </c>
      <c r="H150">
        <f>1+YTDrtrns!I152</f>
        <v>0.96377547830343246</v>
      </c>
      <c r="I150">
        <f>1+YTDrtrns!J152</f>
        <v>1.0023255459964275</v>
      </c>
      <c r="J150">
        <f>1+YTDrtrns!K152</f>
        <v>1.0065693543292582</v>
      </c>
    </row>
    <row r="151" spans="1:10" x14ac:dyDescent="0.25">
      <c r="A151">
        <f>1+YTDrtrns!B153</f>
        <v>1.0161452926695347</v>
      </c>
      <c r="B151">
        <f>1+YTDrtrns!C153</f>
        <v>0.98826776538044214</v>
      </c>
      <c r="C151">
        <f>1+YTDrtrns!D153</f>
        <v>1.0017322930507362</v>
      </c>
      <c r="D151">
        <f>1+YTDrtrns!E153</f>
        <v>1.0038022648077458</v>
      </c>
      <c r="E151">
        <f>1+YTDrtrns!F153</f>
        <v>0.99024725239723921</v>
      </c>
      <c r="F151">
        <f>1+YTDrtrns!G153</f>
        <v>0.99332057917490602</v>
      </c>
      <c r="G151">
        <f>1+YTDrtrns!H153</f>
        <v>0.99962862394750118</v>
      </c>
      <c r="H151">
        <f>1+YTDrtrns!I153</f>
        <v>1.0205399952828884</v>
      </c>
      <c r="I151">
        <f>1+YTDrtrns!J153</f>
        <v>1.005568484775722</v>
      </c>
      <c r="J151">
        <f>1+YTDrtrns!K153</f>
        <v>0.97679480165243149</v>
      </c>
    </row>
    <row r="152" spans="1:10" x14ac:dyDescent="0.25">
      <c r="A152">
        <f>1+YTDrtrns!B154</f>
        <v>0.96325720846652985</v>
      </c>
      <c r="B152">
        <f>1+YTDrtrns!C154</f>
        <v>0.98673187289386988</v>
      </c>
      <c r="C152">
        <f>1+YTDrtrns!D154</f>
        <v>0.99308281019330025</v>
      </c>
      <c r="D152">
        <f>1+YTDrtrns!E154</f>
        <v>1.0503246933221817</v>
      </c>
      <c r="E152">
        <f>1+YTDrtrns!F154</f>
        <v>0.99185756500810385</v>
      </c>
      <c r="F152">
        <f>1+YTDrtrns!G154</f>
        <v>0.99871921201702207</v>
      </c>
      <c r="G152">
        <f>1+YTDrtrns!H154</f>
        <v>1.0264697559177876</v>
      </c>
      <c r="H152">
        <f>1+YTDrtrns!I154</f>
        <v>0.98381577432155609</v>
      </c>
      <c r="I152">
        <f>1+YTDrtrns!J154</f>
        <v>0.98384862020611763</v>
      </c>
      <c r="J152">
        <f>1+YTDrtrns!K154</f>
        <v>0.99406088190153241</v>
      </c>
    </row>
    <row r="153" spans="1:10" x14ac:dyDescent="0.25">
      <c r="A153">
        <f>1+YTDrtrns!B155</f>
        <v>1</v>
      </c>
      <c r="B153">
        <f>1+YTDrtrns!C155</f>
        <v>1.004246246535331</v>
      </c>
      <c r="C153">
        <f>1+YTDrtrns!D155</f>
        <v>0.99635903839953244</v>
      </c>
      <c r="D153">
        <f>1+YTDrtrns!E155</f>
        <v>0.97217934019863605</v>
      </c>
      <c r="E153">
        <f>1+YTDrtrns!F155</f>
        <v>0.9950351738370955</v>
      </c>
      <c r="F153">
        <f>1+YTDrtrns!G155</f>
        <v>0.99935875419760123</v>
      </c>
      <c r="G153">
        <f>1+YTDrtrns!H155</f>
        <v>1.005519368685782</v>
      </c>
      <c r="H153">
        <f>1+YTDrtrns!I155</f>
        <v>0.99493827531114221</v>
      </c>
      <c r="I153">
        <f>1+YTDrtrns!J155</f>
        <v>0.97936207614839077</v>
      </c>
      <c r="J153">
        <f>1+YTDrtrns!K155</f>
        <v>0.98655710928142071</v>
      </c>
    </row>
    <row r="154" spans="1:10" x14ac:dyDescent="0.25">
      <c r="A154">
        <f>1+YTDrtrns!B156</f>
        <v>1.0020619030110538</v>
      </c>
      <c r="B154">
        <f>1+YTDrtrns!C156</f>
        <v>1.0098661277443171</v>
      </c>
      <c r="C154">
        <f>1+YTDrtrns!D156</f>
        <v>1.0076263034716249</v>
      </c>
      <c r="D154">
        <f>1+YTDrtrns!E156</f>
        <v>1.0169581174850464</v>
      </c>
      <c r="E154">
        <f>1+YTDrtrns!F156</f>
        <v>1.003655792446807</v>
      </c>
      <c r="F154">
        <f>1+YTDrtrns!G156</f>
        <v>0.99935834272764623</v>
      </c>
      <c r="G154">
        <f>1+YTDrtrns!H156</f>
        <v>0.9990101627772674</v>
      </c>
      <c r="H154">
        <f>1+YTDrtrns!I156</f>
        <v>1.0028617305215448</v>
      </c>
      <c r="I154">
        <f>1+YTDrtrns!J156</f>
        <v>1.0330460034310818</v>
      </c>
      <c r="J154">
        <f>1+YTDrtrns!K156</f>
        <v>0.99545795470476151</v>
      </c>
    </row>
    <row r="155" spans="1:10" x14ac:dyDescent="0.25">
      <c r="A155">
        <f>1+YTDrtrns!B157</f>
        <v>0.99588477751240134</v>
      </c>
      <c r="B155">
        <f>1+YTDrtrns!C157</f>
        <v>0.96650386974215508</v>
      </c>
      <c r="C155">
        <f>1+YTDrtrns!D157</f>
        <v>0.9924314166419208</v>
      </c>
      <c r="D155">
        <f>1+YTDrtrns!E157</f>
        <v>0.97602919861674309</v>
      </c>
      <c r="E155">
        <f>1+YTDrtrns!F157</f>
        <v>0.9959637364372611</v>
      </c>
      <c r="F155">
        <f>1+YTDrtrns!G157</f>
        <v>0.99454253353178501</v>
      </c>
      <c r="G155">
        <f>1+YTDrtrns!H157</f>
        <v>0.9897766662761569</v>
      </c>
      <c r="H155">
        <f>1+YTDrtrns!I157</f>
        <v>1.0171210635453463</v>
      </c>
      <c r="I155">
        <f>1+YTDrtrns!J157</f>
        <v>0.98191936127841473</v>
      </c>
      <c r="J155">
        <f>1+YTDrtrns!K157</f>
        <v>0.99619777663610876</v>
      </c>
    </row>
    <row r="156" spans="1:10" x14ac:dyDescent="0.25">
      <c r="A156">
        <f>1+YTDrtrns!B158</f>
        <v>0.96177687123417854</v>
      </c>
      <c r="B156">
        <f>1+YTDrtrns!C158</f>
        <v>1.0310468841344118</v>
      </c>
      <c r="C156">
        <f>1+YTDrtrns!D158</f>
        <v>0.9916189992800355</v>
      </c>
      <c r="D156">
        <f>1+YTDrtrns!E158</f>
        <v>0.98174005746841431</v>
      </c>
      <c r="E156">
        <f>1+YTDrtrns!F158</f>
        <v>0.98616189043968916</v>
      </c>
      <c r="F156">
        <f>1+YTDrtrns!G158</f>
        <v>0.96642998605966568</v>
      </c>
      <c r="G156">
        <f>1+YTDrtrns!H158</f>
        <v>1.0227965340018272</v>
      </c>
      <c r="H156">
        <f>1+YTDrtrns!I158</f>
        <v>0.98192022182047367</v>
      </c>
      <c r="I156">
        <f>1+YTDrtrns!J158</f>
        <v>0.97497636079788208</v>
      </c>
      <c r="J156">
        <f>1+YTDrtrns!K158</f>
        <v>0.96335874125361443</v>
      </c>
    </row>
    <row r="157" spans="1:10" x14ac:dyDescent="0.25">
      <c r="A157">
        <f>1+YTDrtrns!B159</f>
        <v>1</v>
      </c>
      <c r="B157">
        <f>1+YTDrtrns!C159</f>
        <v>0.97689076140522957</v>
      </c>
      <c r="C157">
        <f>1+YTDrtrns!D159</f>
        <v>1.0014434667536989</v>
      </c>
      <c r="D157">
        <f>1+YTDrtrns!E159</f>
        <v>1.0109408563002944</v>
      </c>
      <c r="E157">
        <f>1+YTDrtrns!F159</f>
        <v>0.96572117507457733</v>
      </c>
      <c r="F157">
        <f>1+YTDrtrns!G159</f>
        <v>1.008350033313036</v>
      </c>
      <c r="G157">
        <f>1+YTDrtrns!H159</f>
        <v>1.0072515564970672</v>
      </c>
      <c r="H157">
        <f>1+YTDrtrns!I159</f>
        <v>1.0007407375378534</v>
      </c>
      <c r="I157">
        <f>1+YTDrtrns!J159</f>
        <v>0.9801452849060297</v>
      </c>
      <c r="J157">
        <f>1+YTDrtrns!K159</f>
        <v>0.98335974290966988</v>
      </c>
    </row>
    <row r="158" spans="1:10" x14ac:dyDescent="0.25">
      <c r="A158">
        <f>1+YTDrtrns!B160</f>
        <v>1.0257787071168423</v>
      </c>
      <c r="B158">
        <f>1+YTDrtrns!C160</f>
        <v>0.98781361430883408</v>
      </c>
      <c r="C158">
        <f>1+YTDrtrns!D160</f>
        <v>0.98670727014541626</v>
      </c>
      <c r="D158">
        <f>1+YTDrtrns!E160</f>
        <v>0.9788961373269558</v>
      </c>
      <c r="E158">
        <f>1+YTDrtrns!F160</f>
        <v>0.9862480852752924</v>
      </c>
      <c r="F158">
        <f>1+YTDrtrns!G160</f>
        <v>0.99171911273151636</v>
      </c>
      <c r="G158">
        <f>1+YTDrtrns!H160</f>
        <v>1.0007949855062179</v>
      </c>
      <c r="H158">
        <f>1+YTDrtrns!I160</f>
        <v>0.96468224376440048</v>
      </c>
      <c r="I158">
        <f>1+YTDrtrns!J160</f>
        <v>1.0039525656029582</v>
      </c>
      <c r="J158">
        <f>1+YTDrtrns!K160</f>
        <v>1.0241740681231022</v>
      </c>
    </row>
    <row r="159" spans="1:10" x14ac:dyDescent="0.25">
      <c r="A159">
        <f>1+YTDrtrns!B161</f>
        <v>0.98638742323964834</v>
      </c>
      <c r="B159">
        <f>1+YTDrtrns!C161</f>
        <v>1.0087082646787167</v>
      </c>
      <c r="C159">
        <f>1+YTDrtrns!D161</f>
        <v>0.99967536993790418</v>
      </c>
      <c r="D159">
        <f>1+YTDrtrns!E161</f>
        <v>0.99447206314653158</v>
      </c>
      <c r="E159">
        <f>1+YTDrtrns!F161</f>
        <v>1.0050512570887804</v>
      </c>
      <c r="F159">
        <f>1+YTDrtrns!G161</f>
        <v>0.96593184769153595</v>
      </c>
      <c r="G159">
        <f>1+YTDrtrns!H161</f>
        <v>0.97731585986912251</v>
      </c>
      <c r="H159">
        <f>1+YTDrtrns!I161</f>
        <v>1.0152910277247429</v>
      </c>
      <c r="I159">
        <f>1+YTDrtrns!J161</f>
        <v>0.96801183000206947</v>
      </c>
      <c r="J159">
        <f>1+YTDrtrns!K161</f>
        <v>0.99606607481837273</v>
      </c>
    </row>
    <row r="160" spans="1:10" x14ac:dyDescent="0.25">
      <c r="A160">
        <f>1+YTDrtrns!B162</f>
        <v>1.00849256105721</v>
      </c>
      <c r="B160">
        <f>1+YTDrtrns!C162</f>
        <v>1.0136691033840179</v>
      </c>
      <c r="C160">
        <f>1+YTDrtrns!D162</f>
        <v>1.0017860141815618</v>
      </c>
      <c r="D160">
        <f>1+YTDrtrns!E162</f>
        <v>0.98943854682147503</v>
      </c>
      <c r="E160">
        <f>1+YTDrtrns!F162</f>
        <v>1.0031935533042997</v>
      </c>
      <c r="F160">
        <f>1+YTDrtrns!G162</f>
        <v>0.99757954035885632</v>
      </c>
      <c r="G160">
        <f>1+YTDrtrns!H162</f>
        <v>0.98853017203509808</v>
      </c>
      <c r="H160">
        <f>1+YTDrtrns!I162</f>
        <v>1.003562772879377</v>
      </c>
      <c r="I160">
        <f>1+YTDrtrns!J162</f>
        <v>0.97915608249604702</v>
      </c>
      <c r="J160">
        <f>1+YTDrtrns!K162</f>
        <v>0.9826224111020565</v>
      </c>
    </row>
    <row r="161" spans="1:10" x14ac:dyDescent="0.25">
      <c r="A161">
        <f>1+YTDrtrns!B163</f>
        <v>0.97684207744896412</v>
      </c>
      <c r="B161">
        <f>1+YTDrtrns!C163</f>
        <v>1.0198722314089537</v>
      </c>
      <c r="C161">
        <f>1+YTDrtrns!D163</f>
        <v>0.99481361918151379</v>
      </c>
      <c r="D161">
        <f>1+YTDrtrns!E163</f>
        <v>1.0033708638511598</v>
      </c>
      <c r="E161">
        <f>1+YTDrtrns!F163</f>
        <v>0.99384201690554619</v>
      </c>
      <c r="F161">
        <f>1+YTDrtrns!G163</f>
        <v>0.99064123164862394</v>
      </c>
      <c r="G161">
        <f>1+YTDrtrns!H163</f>
        <v>0.99259965121746063</v>
      </c>
      <c r="H161">
        <f>1+YTDrtrns!I163</f>
        <v>0.96482168510556221</v>
      </c>
      <c r="I161">
        <f>1+YTDrtrns!J163</f>
        <v>0.9771546982228756</v>
      </c>
      <c r="J161">
        <f>1+YTDrtrns!K163</f>
        <v>0.98954990599304438</v>
      </c>
    </row>
    <row r="162" spans="1:10" x14ac:dyDescent="0.25">
      <c r="A162">
        <f>1+YTDrtrns!B164</f>
        <v>1.0129310227930546</v>
      </c>
      <c r="B162">
        <f>1+YTDrtrns!C164</f>
        <v>1.082115538418293</v>
      </c>
      <c r="C162">
        <f>1+YTDrtrns!D164</f>
        <v>1.0094492994248867</v>
      </c>
      <c r="D162">
        <f>1+YTDrtrns!E164</f>
        <v>1.01567742228508</v>
      </c>
      <c r="E162">
        <f>1+YTDrtrns!F164</f>
        <v>1.0005776129546575</v>
      </c>
      <c r="F162">
        <f>1+YTDrtrns!G164</f>
        <v>0.99895029084291309</v>
      </c>
      <c r="G162">
        <f>1+YTDrtrns!H164</f>
        <v>1.0074094557203352</v>
      </c>
      <c r="H162">
        <f>1+YTDrtrns!I164</f>
        <v>1.0301053561270237</v>
      </c>
      <c r="I162">
        <f>1+YTDrtrns!J164</f>
        <v>1</v>
      </c>
      <c r="J162">
        <f>1+YTDrtrns!K164</f>
        <v>0.99756290134973824</v>
      </c>
    </row>
    <row r="163" spans="1:10" x14ac:dyDescent="0.25">
      <c r="A163">
        <f>1+YTDrtrns!B165</f>
        <v>0.97925535030663013</v>
      </c>
      <c r="B163">
        <f>1+YTDrtrns!C165</f>
        <v>0.94855304434895515</v>
      </c>
      <c r="C163">
        <f>1+YTDrtrns!D165</f>
        <v>1.0020981451962143</v>
      </c>
      <c r="D163">
        <f>1+YTDrtrns!E165</f>
        <v>0.99117972142994404</v>
      </c>
      <c r="E163">
        <f>1+YTDrtrns!F165</f>
        <v>0.99375490704551339</v>
      </c>
      <c r="F163">
        <f>1+YTDrtrns!G165</f>
        <v>1.0122592076659203</v>
      </c>
      <c r="G163">
        <f>1+YTDrtrns!H165</f>
        <v>0.97460028529167175</v>
      </c>
      <c r="H163">
        <f>1+YTDrtrns!I165</f>
        <v>0.97418411821126938</v>
      </c>
      <c r="I163">
        <f>1+YTDrtrns!J165</f>
        <v>1.003719431348145</v>
      </c>
      <c r="J163">
        <f>1+YTDrtrns!K165</f>
        <v>1.0130293034017086</v>
      </c>
    </row>
    <row r="164" spans="1:10" x14ac:dyDescent="0.25">
      <c r="A164">
        <f>1+YTDrtrns!B166</f>
        <v>1.0309614185243845</v>
      </c>
      <c r="B164">
        <f>1+YTDrtrns!C166</f>
        <v>1</v>
      </c>
      <c r="C164">
        <f>1+YTDrtrns!D166</f>
        <v>0.99951685007545166</v>
      </c>
      <c r="D164">
        <f>1+YTDrtrns!E166</f>
        <v>1.002224744996056</v>
      </c>
      <c r="E164">
        <f>1+YTDrtrns!F166</f>
        <v>0.99102240707725286</v>
      </c>
      <c r="F164">
        <f>1+YTDrtrns!G166</f>
        <v>1.0096886055544019</v>
      </c>
      <c r="G164">
        <f>1+YTDrtrns!H166</f>
        <v>1.0248898360878229</v>
      </c>
      <c r="H164">
        <f>1+YTDrtrns!I166</f>
        <v>1.0116666797548532</v>
      </c>
      <c r="I164">
        <f>1+YTDrtrns!J166</f>
        <v>0.98782426957041025</v>
      </c>
      <c r="J164">
        <f>1+YTDrtrns!K166</f>
        <v>1.0016077539185062</v>
      </c>
    </row>
    <row r="165" spans="1:10" x14ac:dyDescent="0.25">
      <c r="A165">
        <f>1+YTDrtrns!B167</f>
        <v>0.98840888775885105</v>
      </c>
      <c r="B165">
        <f>1+YTDrtrns!C167</f>
        <v>0.95661014690995216</v>
      </c>
      <c r="C165">
        <f>1+YTDrtrns!D167</f>
        <v>1.0027392550837249</v>
      </c>
      <c r="D165">
        <f>1+YTDrtrns!E167</f>
        <v>1.0105437636375427</v>
      </c>
      <c r="E165">
        <f>1+YTDrtrns!F167</f>
        <v>0.99552383925765753</v>
      </c>
      <c r="F165">
        <f>1+YTDrtrns!G167</f>
        <v>0.9924605474807322</v>
      </c>
      <c r="G165">
        <f>1+YTDrtrns!H167</f>
        <v>0.98902358114719391</v>
      </c>
      <c r="H165">
        <f>1+YTDrtrns!I167</f>
        <v>1.0013179244706407</v>
      </c>
      <c r="I165">
        <f>1+YTDrtrns!J167</f>
        <v>1.0133976424112916</v>
      </c>
      <c r="J165">
        <f>1+YTDrtrns!K167</f>
        <v>1.0064205396920443</v>
      </c>
    </row>
    <row r="166" spans="1:10" x14ac:dyDescent="0.25">
      <c r="A166">
        <f>1+YTDrtrns!B168</f>
        <v>1.0127931647002697</v>
      </c>
      <c r="B166">
        <f>1+YTDrtrns!C168</f>
        <v>1.0240963976830244</v>
      </c>
      <c r="C166">
        <f>1+YTDrtrns!D168</f>
        <v>1.0006427915068343</v>
      </c>
      <c r="D166">
        <f>1+YTDrtrns!E168</f>
        <v>0.98984077572822571</v>
      </c>
      <c r="E166">
        <f>1+YTDrtrns!F168</f>
        <v>1.0119900982826948</v>
      </c>
      <c r="F166">
        <f>1+YTDrtrns!G168</f>
        <v>1.0051796110346913</v>
      </c>
      <c r="G166">
        <f>1+YTDrtrns!H168</f>
        <v>1.0034219906665385</v>
      </c>
      <c r="H166">
        <f>1+YTDrtrns!I168</f>
        <v>1.032576497644186</v>
      </c>
      <c r="I166">
        <f>1+YTDrtrns!J168</f>
        <v>1.0042305616661906</v>
      </c>
      <c r="J166">
        <f>1+YTDrtrns!K168</f>
        <v>1.003189789596945</v>
      </c>
    </row>
    <row r="167" spans="1:10" x14ac:dyDescent="0.25">
      <c r="A167">
        <f>1+YTDrtrns!B169</f>
        <v>1.0094737000763416</v>
      </c>
      <c r="B167">
        <f>1+YTDrtrns!C169</f>
        <v>1.035294134169817</v>
      </c>
      <c r="C167">
        <f>1+YTDrtrns!D169</f>
        <v>0.99662760435603559</v>
      </c>
      <c r="D167">
        <f>1+YTDrtrns!E169</f>
        <v>0.99251038953661919</v>
      </c>
      <c r="E167">
        <f>1+YTDrtrns!F169</f>
        <v>1.0050248438492417</v>
      </c>
      <c r="F167">
        <f>1+YTDrtrns!G169</f>
        <v>1.0072139841504395</v>
      </c>
      <c r="G167">
        <f>1+YTDrtrns!H169</f>
        <v>1.0070510101504624</v>
      </c>
      <c r="H167">
        <f>1+YTDrtrns!I169</f>
        <v>1.0003186816175003</v>
      </c>
      <c r="I167">
        <f>1+YTDrtrns!J169</f>
        <v>0.98051611706614494</v>
      </c>
      <c r="J167">
        <f>1+YTDrtrns!K169</f>
        <v>0.98966612759977579</v>
      </c>
    </row>
    <row r="168" spans="1:10" x14ac:dyDescent="0.25">
      <c r="A168">
        <f>1+YTDrtrns!B170</f>
        <v>1.0239832680672407</v>
      </c>
      <c r="B168">
        <f>1+YTDrtrns!C170</f>
        <v>0.98997328709810972</v>
      </c>
      <c r="C168">
        <f>1+YTDrtrns!D170</f>
        <v>1.0004833834827878</v>
      </c>
      <c r="D168">
        <f>1+YTDrtrns!E170</f>
        <v>1.0111794732511044</v>
      </c>
      <c r="E168">
        <f>1+YTDrtrns!F170</f>
        <v>0.98879011813551188</v>
      </c>
      <c r="F168">
        <f>1+YTDrtrns!G170</f>
        <v>0.97578447870910168</v>
      </c>
      <c r="G168">
        <f>1+YTDrtrns!H170</f>
        <v>0.99052714928984642</v>
      </c>
      <c r="H168">
        <f>1+YTDrtrns!I170</f>
        <v>1.0044600605033338</v>
      </c>
      <c r="I168">
        <f>1+YTDrtrns!J170</f>
        <v>1.0107410764321685</v>
      </c>
      <c r="J168">
        <f>1+YTDrtrns!K170</f>
        <v>0.9967871515545994</v>
      </c>
    </row>
    <row r="169" spans="1:10" x14ac:dyDescent="0.25">
      <c r="A169">
        <f>1+YTDrtrns!B171</f>
        <v>1.0091649852693081</v>
      </c>
      <c r="B169">
        <f>1+YTDrtrns!C171</f>
        <v>1.0101282652467489</v>
      </c>
      <c r="C169">
        <f>1+YTDrtrns!D171</f>
        <v>1.0033821724355221</v>
      </c>
      <c r="D169">
        <f>1+YTDrtrns!E171</f>
        <v>1.0088446568697691</v>
      </c>
      <c r="E169">
        <f>1+YTDrtrns!F171</f>
        <v>1.0204917546361685</v>
      </c>
      <c r="F169">
        <f>1+YTDrtrns!G171</f>
        <v>1.0020971500780433</v>
      </c>
      <c r="G169">
        <f>1+YTDrtrns!H171</f>
        <v>0.95712636038661003</v>
      </c>
      <c r="H169">
        <f>1+YTDrtrns!I171</f>
        <v>1.0412306077778339</v>
      </c>
      <c r="I169">
        <f>1+YTDrtrns!J171</f>
        <v>1.0249734986573458</v>
      </c>
      <c r="J169">
        <f>1+YTDrtrns!K171</f>
        <v>1.0354553200304508</v>
      </c>
    </row>
    <row r="170" spans="1:10" x14ac:dyDescent="0.25">
      <c r="A170">
        <f>1+YTDrtrns!B172</f>
        <v>1.011099960654974</v>
      </c>
      <c r="B170">
        <f>1+YTDrtrns!C172</f>
        <v>0.99598927656188607</v>
      </c>
      <c r="C170">
        <f>1+YTDrtrns!D172</f>
        <v>0.99085072707384825</v>
      </c>
      <c r="D170">
        <f>1+YTDrtrns!E172</f>
        <v>0.99726031580939889</v>
      </c>
      <c r="E170">
        <f>1+YTDrtrns!F172</f>
        <v>0.97590363956987858</v>
      </c>
      <c r="F170">
        <f>1+YTDrtrns!G172</f>
        <v>0.97279383800923824</v>
      </c>
      <c r="G170">
        <f>1+YTDrtrns!H172</f>
        <v>0.98098178952932358</v>
      </c>
      <c r="H170">
        <f>1+YTDrtrns!I172</f>
        <v>0.97989632561802864</v>
      </c>
      <c r="I170">
        <f>1+YTDrtrns!J172</f>
        <v>0.99533436261117458</v>
      </c>
      <c r="J170">
        <f>1+YTDrtrns!K172</f>
        <v>0.96887155249714851</v>
      </c>
    </row>
    <row r="171" spans="1:10" x14ac:dyDescent="0.25">
      <c r="A171">
        <f>1+YTDrtrns!B173</f>
        <v>0.99600789276883006</v>
      </c>
      <c r="B171">
        <f>1+YTDrtrns!C173</f>
        <v>0.99463087739422917</v>
      </c>
      <c r="C171">
        <f>1+YTDrtrns!D173</f>
        <v>0.99983803140639793</v>
      </c>
      <c r="D171">
        <f>1+YTDrtrns!E173</f>
        <v>0.99175815843045712</v>
      </c>
      <c r="E171">
        <f>1+YTDrtrns!F173</f>
        <v>0.99182299803942442</v>
      </c>
      <c r="F171">
        <f>1+YTDrtrns!G173</f>
        <v>0.99856582970824093</v>
      </c>
      <c r="G171">
        <f>1+YTDrtrns!H173</f>
        <v>1.0180091708898544</v>
      </c>
      <c r="H171">
        <f>1+YTDrtrns!I173</f>
        <v>1.0142991272732615</v>
      </c>
      <c r="I171">
        <f>1+YTDrtrns!J173</f>
        <v>0.96458331868052483</v>
      </c>
      <c r="J171">
        <f>1+YTDrtrns!K173</f>
        <v>0.97831329330801964</v>
      </c>
    </row>
    <row r="172" spans="1:10" x14ac:dyDescent="0.25">
      <c r="A172">
        <f>1+YTDrtrns!B174</f>
        <v>0.99599198764190078</v>
      </c>
      <c r="B172">
        <f>1+YTDrtrns!C174</f>
        <v>0.97638330422341824</v>
      </c>
      <c r="C172">
        <f>1+YTDrtrns!D174</f>
        <v>1.0053466949611902</v>
      </c>
      <c r="D172">
        <f>1+YTDrtrns!E174</f>
        <v>1.0193906035274267</v>
      </c>
      <c r="E172">
        <f>1+YTDrtrns!F174</f>
        <v>1.0025864625349641</v>
      </c>
      <c r="F172">
        <f>1+YTDrtrns!G174</f>
        <v>1.0104128904640675</v>
      </c>
      <c r="G172">
        <f>1+YTDrtrns!H174</f>
        <v>0.98825466353446245</v>
      </c>
      <c r="H172">
        <f>1+YTDrtrns!I174</f>
        <v>1.0079680476337671</v>
      </c>
      <c r="I172">
        <f>1+YTDrtrns!J174</f>
        <v>1.0086393002420664</v>
      </c>
      <c r="J172">
        <f>1+YTDrtrns!K174</f>
        <v>1.0041050277650356</v>
      </c>
    </row>
    <row r="173" spans="1:10" x14ac:dyDescent="0.25">
      <c r="A173">
        <f>1+YTDrtrns!B175</f>
        <v>1.0010060592321679</v>
      </c>
      <c r="B173">
        <f>1+YTDrtrns!C175</f>
        <v>0.98894265107810497</v>
      </c>
      <c r="C173">
        <f>1+YTDrtrns!D175</f>
        <v>1.006124110892415</v>
      </c>
      <c r="D173">
        <f>1+YTDrtrns!E175</f>
        <v>1.0081521533429623</v>
      </c>
      <c r="E173">
        <f>1+YTDrtrns!F175</f>
        <v>0.99231434660032392</v>
      </c>
      <c r="F173">
        <f>1+YTDrtrns!G175</f>
        <v>0.99822319694794714</v>
      </c>
      <c r="G173">
        <f>1+YTDrtrns!H175</f>
        <v>0.99334832932800055</v>
      </c>
      <c r="H173">
        <f>1+YTDrtrns!I175</f>
        <v>0.9980213507078588</v>
      </c>
      <c r="I173">
        <f>1+YTDrtrns!J175</f>
        <v>1.0117772649973631</v>
      </c>
      <c r="J173">
        <f>1+YTDrtrns!K175</f>
        <v>1.0065413638949394</v>
      </c>
    </row>
    <row r="174" spans="1:10" x14ac:dyDescent="0.25">
      <c r="A174">
        <f>1+YTDrtrns!B176</f>
        <v>0.99095475859940052</v>
      </c>
      <c r="B174">
        <f>1+YTDrtrns!C176</f>
        <v>0.99720475473441184</v>
      </c>
      <c r="C174">
        <f>1+YTDrtrns!D176</f>
        <v>1.0073682377114892</v>
      </c>
      <c r="D174">
        <f>1+YTDrtrns!E176</f>
        <v>0.98436662927269936</v>
      </c>
      <c r="E174">
        <f>1+YTDrtrns!F176</f>
        <v>0.99750849418342113</v>
      </c>
      <c r="F174">
        <f>1+YTDrtrns!G176</f>
        <v>1.0192238874733448</v>
      </c>
      <c r="G174">
        <f>1+YTDrtrns!H176</f>
        <v>0.99295909469947219</v>
      </c>
      <c r="H174">
        <f>1+YTDrtrns!I176</f>
        <v>0.98718931898474693</v>
      </c>
      <c r="I174">
        <f>1+YTDrtrns!J176</f>
        <v>1.0063492506742477</v>
      </c>
      <c r="J174">
        <f>1+YTDrtrns!K176</f>
        <v>0.99431351386010647</v>
      </c>
    </row>
    <row r="175" spans="1:10" x14ac:dyDescent="0.25">
      <c r="A175">
        <f>1+YTDrtrns!B177</f>
        <v>0.98884384799748659</v>
      </c>
      <c r="B175">
        <f>1+YTDrtrns!C177</f>
        <v>0.95935523137450218</v>
      </c>
      <c r="C175">
        <f>1+YTDrtrns!D177</f>
        <v>1.0178089160472155</v>
      </c>
      <c r="D175">
        <f>1+YTDrtrns!E177</f>
        <v>1.0043811569921672</v>
      </c>
      <c r="E175">
        <f>1+YTDrtrns!F177</f>
        <v>0.98772875871509314</v>
      </c>
      <c r="F175">
        <f>1+YTDrtrns!G177</f>
        <v>1.020258467644453</v>
      </c>
      <c r="G175">
        <f>1+YTDrtrns!H177</f>
        <v>0.98249616287648678</v>
      </c>
      <c r="H175">
        <f>1+YTDrtrns!I177</f>
        <v>0.9723465982824564</v>
      </c>
      <c r="I175">
        <f>1+YTDrtrns!J177</f>
        <v>1.003680320456624</v>
      </c>
      <c r="J175">
        <f>1+YTDrtrns!K177</f>
        <v>1</v>
      </c>
    </row>
    <row r="176" spans="1:10" x14ac:dyDescent="0.25">
      <c r="A176">
        <f>1+YTDrtrns!B178</f>
        <v>1.0215384662151337</v>
      </c>
      <c r="B176">
        <f>1+YTDrtrns!C178</f>
        <v>0.97735577262938023</v>
      </c>
      <c r="C176">
        <f>1+YTDrtrns!D178</f>
        <v>0.99687547632493079</v>
      </c>
      <c r="D176">
        <f>1+YTDrtrns!E178</f>
        <v>0.99345687916502357</v>
      </c>
      <c r="E176">
        <f>1+YTDrtrns!F178</f>
        <v>1.040899358689785</v>
      </c>
      <c r="F176">
        <f>1+YTDrtrns!G178</f>
        <v>1.0095002055168152</v>
      </c>
      <c r="G176">
        <f>1+YTDrtrns!H178</f>
        <v>0.99495306331664324</v>
      </c>
      <c r="H176">
        <f>1+YTDrtrns!I178</f>
        <v>0.97283128090202808</v>
      </c>
      <c r="I176">
        <f>1+YTDrtrns!J178</f>
        <v>0.98533259890973568</v>
      </c>
      <c r="J176">
        <f>1+YTDrtrns!K178</f>
        <v>0.9861111044883728</v>
      </c>
    </row>
    <row r="177" spans="1:10" x14ac:dyDescent="0.25">
      <c r="A177">
        <f>1+YTDrtrns!B179</f>
        <v>1.0040160603821278</v>
      </c>
      <c r="B177">
        <f>1+YTDrtrns!C179</f>
        <v>1.005979067645967</v>
      </c>
      <c r="C177">
        <f>1+YTDrtrns!D179</f>
        <v>1.0114402053877711</v>
      </c>
      <c r="D177">
        <f>1+YTDrtrns!E179</f>
        <v>1.0301866717636585</v>
      </c>
      <c r="E177">
        <f>1+YTDrtrns!F179</f>
        <v>1.0070239584892988</v>
      </c>
      <c r="F177">
        <f>1+YTDrtrns!G179</f>
        <v>1.0065135597251356</v>
      </c>
      <c r="G177">
        <f>1+YTDrtrns!H179</f>
        <v>1.0092827528715134</v>
      </c>
      <c r="H177">
        <f>1+YTDrtrns!I179</f>
        <v>0.99526374461129308</v>
      </c>
      <c r="I177">
        <f>1+YTDrtrns!J179</f>
        <v>1.0122276162728667</v>
      </c>
      <c r="J177">
        <f>1+YTDrtrns!K179</f>
        <v>1.0231980700045824</v>
      </c>
    </row>
    <row r="178" spans="1:10" x14ac:dyDescent="0.25">
      <c r="A178">
        <f>1+YTDrtrns!B180</f>
        <v>0.96800003200769424</v>
      </c>
      <c r="B178">
        <f>1+YTDrtrns!C180</f>
        <v>0.98142644949257374</v>
      </c>
      <c r="C178">
        <f>1+YTDrtrns!D180</f>
        <v>0.99550664843991399</v>
      </c>
      <c r="D178">
        <f>1+YTDrtrns!E180</f>
        <v>0.9898774353787303</v>
      </c>
      <c r="E178">
        <f>1+YTDrtrns!F180</f>
        <v>1.019299391657114</v>
      </c>
      <c r="F178">
        <f>1+YTDrtrns!G180</f>
        <v>0.98739779181778431</v>
      </c>
      <c r="G178">
        <f>1+YTDrtrns!H180</f>
        <v>1.002613480668515</v>
      </c>
      <c r="H178">
        <f>1+YTDrtrns!I180</f>
        <v>0.99901546502951533</v>
      </c>
      <c r="I178">
        <f>1+YTDrtrns!J180</f>
        <v>0.97584028542041779</v>
      </c>
      <c r="J178">
        <f>1+YTDrtrns!K180</f>
        <v>0.9789473507553339</v>
      </c>
    </row>
    <row r="179" spans="1:10" x14ac:dyDescent="0.25">
      <c r="A179">
        <f>1+YTDrtrns!B181</f>
        <v>0.99070246424525976</v>
      </c>
      <c r="B179">
        <f>1+YTDrtrns!C181</f>
        <v>0.95079488307237625</v>
      </c>
      <c r="C179">
        <f>1+YTDrtrns!D181</f>
        <v>1.0048248646780849</v>
      </c>
      <c r="D179">
        <f>1+YTDrtrns!E181</f>
        <v>1.011840651743114</v>
      </c>
      <c r="E179">
        <f>1+YTDrtrns!F181</f>
        <v>0.99989707618806278</v>
      </c>
      <c r="F179">
        <f>1+YTDrtrns!G181</f>
        <v>0.98171781003475189</v>
      </c>
      <c r="G179">
        <f>1+YTDrtrns!H181</f>
        <v>1.0008019870729186</v>
      </c>
      <c r="H179">
        <f>1+YTDrtrns!I181</f>
        <v>0.99983570736367255</v>
      </c>
      <c r="I179">
        <f>1+YTDrtrns!J181</f>
        <v>1</v>
      </c>
      <c r="J179">
        <f>1+YTDrtrns!K181</f>
        <v>0.97932175360620022</v>
      </c>
    </row>
    <row r="180" spans="1:10" x14ac:dyDescent="0.25">
      <c r="A180">
        <f>1+YTDrtrns!B182</f>
        <v>0.99582899268716574</v>
      </c>
      <c r="B180">
        <f>1+YTDrtrns!C182</f>
        <v>1.0063694203272462</v>
      </c>
      <c r="C180">
        <f>1+YTDrtrns!D182</f>
        <v>1.0080545898526907</v>
      </c>
      <c r="D180">
        <f>1+YTDrtrns!E182</f>
        <v>0.98404259234666824</v>
      </c>
      <c r="E180">
        <f>1+YTDrtrns!F182</f>
        <v>0.99027477949857712</v>
      </c>
      <c r="F180">
        <f>1+YTDrtrns!G182</f>
        <v>0.99543221481144428</v>
      </c>
      <c r="G180">
        <f>1+YTDrtrns!H182</f>
        <v>0.9848735835403204</v>
      </c>
      <c r="H180">
        <f>1+YTDrtrns!I182</f>
        <v>1.0147856343537569</v>
      </c>
      <c r="I180">
        <f>1+YTDrtrns!J182</f>
        <v>1.0010764509206638</v>
      </c>
      <c r="J180">
        <f>1+YTDrtrns!K182</f>
        <v>0.99239863594993949</v>
      </c>
    </row>
    <row r="181" spans="1:10" x14ac:dyDescent="0.25">
      <c r="A181">
        <f>1+YTDrtrns!B183</f>
        <v>1.0125654330477118</v>
      </c>
      <c r="B181">
        <f>1+YTDrtrns!C183</f>
        <v>0.99604428885504603</v>
      </c>
      <c r="C181">
        <f>1+YTDrtrns!D183</f>
        <v>0.99830976326484233</v>
      </c>
      <c r="D181">
        <f>1+YTDrtrns!E183</f>
        <v>0.99513512710109353</v>
      </c>
      <c r="E181">
        <f>1+YTDrtrns!F183</f>
        <v>1.0063912482000887</v>
      </c>
      <c r="F181">
        <f>1+YTDrtrns!G183</f>
        <v>0.99682315019890666</v>
      </c>
      <c r="G181">
        <f>1+YTDrtrns!H183</f>
        <v>1.0108833815902472</v>
      </c>
      <c r="H181">
        <f>1+YTDrtrns!I183</f>
        <v>0.9910960141569376</v>
      </c>
      <c r="I181">
        <f>1+YTDrtrns!J183</f>
        <v>1</v>
      </c>
      <c r="J181">
        <f>1+YTDrtrns!K183</f>
        <v>0.99148932937532663</v>
      </c>
    </row>
    <row r="182" spans="1:10" x14ac:dyDescent="0.25">
      <c r="A182">
        <f>1+YTDrtrns!B184</f>
        <v>1.0217166524380445</v>
      </c>
      <c r="B182">
        <f>1+YTDrtrns!C184</f>
        <v>0.92374900728464127</v>
      </c>
      <c r="C182">
        <f>1+YTDrtrns!D184</f>
        <v>0.98799447808414698</v>
      </c>
      <c r="D182">
        <f>1+YTDrtrns!E184</f>
        <v>0.9940249533392489</v>
      </c>
      <c r="E182">
        <f>1+YTDrtrns!F184</f>
        <v>0.98079313337802887</v>
      </c>
      <c r="F182">
        <f>1+YTDrtrns!G184</f>
        <v>0.99327193573117256</v>
      </c>
      <c r="G182">
        <f>1+YTDrtrns!H184</f>
        <v>0.96181510388851166</v>
      </c>
      <c r="H182">
        <f>1+YTDrtrns!I184</f>
        <v>0.92584121227264404</v>
      </c>
      <c r="I182">
        <f>1+YTDrtrns!J184</f>
        <v>0.99462363542988896</v>
      </c>
      <c r="J182">
        <f>1+YTDrtrns!K184</f>
        <v>1.0060086394660175</v>
      </c>
    </row>
    <row r="183" spans="1:10" x14ac:dyDescent="0.25">
      <c r="A183">
        <f>1+YTDrtrns!B185</f>
        <v>1.0101213995367289</v>
      </c>
      <c r="B183">
        <f>1+YTDrtrns!C185</f>
        <v>0.98366289399564266</v>
      </c>
      <c r="C183">
        <f>1+YTDrtrns!D185</f>
        <v>1.0048293746076524</v>
      </c>
      <c r="D183">
        <f>1+YTDrtrns!E185</f>
        <v>0.99939892458496615</v>
      </c>
      <c r="E183">
        <f>1+YTDrtrns!F185</f>
        <v>0.9975257886108011</v>
      </c>
      <c r="F183">
        <f>1+YTDrtrns!G185</f>
        <v>1.0085562095046043</v>
      </c>
      <c r="G183">
        <f>1+YTDrtrns!H185</f>
        <v>0.99769857106730342</v>
      </c>
      <c r="H183">
        <f>1+YTDrtrns!I185</f>
        <v>1.0047635929659009</v>
      </c>
      <c r="I183">
        <f>1+YTDrtrns!J185</f>
        <v>0.98864869773387909</v>
      </c>
      <c r="J183">
        <f>1+YTDrtrns!K185</f>
        <v>0.98122864589095116</v>
      </c>
    </row>
    <row r="184" spans="1:10" x14ac:dyDescent="0.25">
      <c r="A184">
        <f>1+YTDrtrns!B186</f>
        <v>0.99899806862231344</v>
      </c>
      <c r="B184">
        <f>1+YTDrtrns!C186</f>
        <v>1.0069930837489665</v>
      </c>
      <c r="C184">
        <f>1+YTDrtrns!D186</f>
        <v>1.0029457742348313</v>
      </c>
      <c r="D184">
        <f>1+YTDrtrns!E186</f>
        <v>0.99239980615675449</v>
      </c>
      <c r="E184">
        <f>1+YTDrtrns!F186</f>
        <v>1.0051190098747611</v>
      </c>
      <c r="F184">
        <f>1+YTDrtrns!G186</f>
        <v>1.0028278515674174</v>
      </c>
      <c r="G184">
        <f>1+YTDrtrns!H186</f>
        <v>1.0034601467195898</v>
      </c>
      <c r="H184">
        <f>1+YTDrtrns!I186</f>
        <v>1.0024582860060036</v>
      </c>
      <c r="I184">
        <f>1+YTDrtrns!J186</f>
        <v>1.0054673850536346</v>
      </c>
      <c r="J184">
        <f>1+YTDrtrns!K186</f>
        <v>1.0086956853047013</v>
      </c>
    </row>
    <row r="185" spans="1:10" x14ac:dyDescent="0.25">
      <c r="A185">
        <f>1+YTDrtrns!B187</f>
        <v>0.96790364757180214</v>
      </c>
      <c r="B185">
        <f>1+YTDrtrns!C187</f>
        <v>0.9782986119389534</v>
      </c>
      <c r="C185">
        <f>1+YTDrtrns!D187</f>
        <v>0.98809701297432184</v>
      </c>
      <c r="D185">
        <f>1+YTDrtrns!E187</f>
        <v>0.99283751146867871</v>
      </c>
      <c r="E185">
        <f>1+YTDrtrns!F187</f>
        <v>0.97910316661000252</v>
      </c>
      <c r="F185">
        <f>1+YTDrtrns!G187</f>
        <v>0.98907291609793901</v>
      </c>
      <c r="G185">
        <f>1+YTDrtrns!H187</f>
        <v>0.99900738149881363</v>
      </c>
      <c r="H185">
        <f>1+YTDrtrns!I187</f>
        <v>0.97267469950020313</v>
      </c>
      <c r="I185">
        <f>1+YTDrtrns!J187</f>
        <v>0.98694944102317095</v>
      </c>
      <c r="J185">
        <f>1+YTDrtrns!K187</f>
        <v>0.96293101087212563</v>
      </c>
    </row>
    <row r="186" spans="1:10" x14ac:dyDescent="0.25">
      <c r="A186">
        <f>1+YTDrtrns!B188</f>
        <v>0.97720214352011681</v>
      </c>
      <c r="B186">
        <f>1+YTDrtrns!C188</f>
        <v>1.0008872470934875</v>
      </c>
      <c r="C186">
        <f>1+YTDrtrns!D188</f>
        <v>0.99812266998924315</v>
      </c>
      <c r="D186">
        <f>1+YTDrtrns!E188</f>
        <v>1.0066592078655958</v>
      </c>
      <c r="E186">
        <f>1+YTDrtrns!F188</f>
        <v>0.99522737320512533</v>
      </c>
      <c r="F186">
        <f>1+YTDrtrns!G188</f>
        <v>0.9885958768427372</v>
      </c>
      <c r="G186">
        <f>1+YTDrtrns!H188</f>
        <v>1.0246325582265854</v>
      </c>
      <c r="H186">
        <f>1+YTDrtrns!I188</f>
        <v>1.02413110435009</v>
      </c>
      <c r="I186">
        <f>1+YTDrtrns!J188</f>
        <v>1</v>
      </c>
      <c r="J186">
        <f>1+YTDrtrns!K188</f>
        <v>0.99283796548843384</v>
      </c>
    </row>
    <row r="187" spans="1:10" x14ac:dyDescent="0.25">
      <c r="A187">
        <f>1+YTDrtrns!B189</f>
        <v>1.0180275794118643</v>
      </c>
      <c r="B187">
        <f>1+YTDrtrns!C189</f>
        <v>1.0195035710930824</v>
      </c>
      <c r="C187">
        <f>1+YTDrtrns!D189</f>
        <v>1.0014106606831774</v>
      </c>
      <c r="D187">
        <f>1+YTDrtrns!E189</f>
        <v>0.99228228256106377</v>
      </c>
      <c r="E187">
        <f>1+YTDrtrns!F189</f>
        <v>1.0042567411437631</v>
      </c>
      <c r="F187">
        <f>1+YTDrtrns!G189</f>
        <v>1.0295601915568113</v>
      </c>
      <c r="G187">
        <f>1+YTDrtrns!H189</f>
        <v>1.0148020070046186</v>
      </c>
      <c r="H187">
        <f>1+YTDrtrns!I189</f>
        <v>1.0110779162496328</v>
      </c>
      <c r="I187">
        <f>1+YTDrtrns!J189</f>
        <v>1</v>
      </c>
      <c r="J187">
        <f>1+YTDrtrns!K189</f>
        <v>0.99819653225131333</v>
      </c>
    </row>
    <row r="188" spans="1:10" x14ac:dyDescent="0.25">
      <c r="A188">
        <f>1+YTDrtrns!B190</f>
        <v>1.0093749165534973</v>
      </c>
      <c r="B188">
        <f>1+YTDrtrns!C190</f>
        <v>0.98782605677843094</v>
      </c>
      <c r="C188">
        <f>1+YTDrtrns!D190</f>
        <v>0.99092192761600018</v>
      </c>
      <c r="D188">
        <f>1+YTDrtrns!E190</f>
        <v>1.0083333123475313</v>
      </c>
      <c r="E188">
        <f>1+YTDrtrns!F190</f>
        <v>1.0114819146692753</v>
      </c>
      <c r="F188">
        <f>1+YTDrtrns!G190</f>
        <v>0.98144261911511421</v>
      </c>
      <c r="G188">
        <f>1+YTDrtrns!H190</f>
        <v>0.98908553831279278</v>
      </c>
      <c r="H188">
        <f>1+YTDrtrns!I190</f>
        <v>0.9890434592962265</v>
      </c>
      <c r="I188">
        <f>1+YTDrtrns!J190</f>
        <v>1.0071625933051109</v>
      </c>
      <c r="J188">
        <f>1+YTDrtrns!K190</f>
        <v>0.9891599016264081</v>
      </c>
    </row>
    <row r="189" spans="1:10" x14ac:dyDescent="0.25">
      <c r="A189">
        <f>1+YTDrtrns!B191</f>
        <v>0.97110425680875778</v>
      </c>
      <c r="B189">
        <f>1+YTDrtrns!C191</f>
        <v>1.0211268253624439</v>
      </c>
      <c r="C189">
        <f>1+YTDrtrns!D191</f>
        <v>0.98404671996831894</v>
      </c>
      <c r="D189">
        <f>1+YTDrtrns!E191</f>
        <v>0.99063360411673784</v>
      </c>
      <c r="E189">
        <f>1+YTDrtrns!F191</f>
        <v>0.99416504288092256</v>
      </c>
      <c r="F189">
        <f>1+YTDrtrns!G191</f>
        <v>0.99179445393383503</v>
      </c>
      <c r="G189">
        <f>1+YTDrtrns!H191</f>
        <v>1.0068650199100375</v>
      </c>
      <c r="H189">
        <f>1+YTDrtrns!I191</f>
        <v>1.0028134314343333</v>
      </c>
      <c r="I189">
        <f>1+YTDrtrns!J191</f>
        <v>0.99562363652512431</v>
      </c>
      <c r="J189">
        <f>1+YTDrtrns!K191</f>
        <v>0.98356170207262039</v>
      </c>
    </row>
    <row r="190" spans="1:10" x14ac:dyDescent="0.25">
      <c r="A190">
        <f>1+YTDrtrns!B192</f>
        <v>0.98724762070924044</v>
      </c>
      <c r="B190">
        <f>1+YTDrtrns!C192</f>
        <v>0.94051719829440117</v>
      </c>
      <c r="C190">
        <f>1+YTDrtrns!D192</f>
        <v>0.99229535227641463</v>
      </c>
      <c r="D190">
        <f>1+YTDrtrns!E192</f>
        <v>1.001112372498028</v>
      </c>
      <c r="E190">
        <f>1+YTDrtrns!F192</f>
        <v>0.99674527463503182</v>
      </c>
      <c r="F190">
        <f>1+YTDrtrns!G192</f>
        <v>1.0017986024031416</v>
      </c>
      <c r="G190">
        <f>1+YTDrtrns!H192</f>
        <v>0.98489896208047867</v>
      </c>
      <c r="H190">
        <f>1+YTDrtrns!I192</f>
        <v>0.97229531779885292</v>
      </c>
      <c r="I190">
        <f>1+YTDrtrns!J192</f>
        <v>0.98351642116904259</v>
      </c>
      <c r="J190">
        <f>1+YTDrtrns!K192</f>
        <v>0.97028777748346329</v>
      </c>
    </row>
    <row r="191" spans="1:10" x14ac:dyDescent="0.25">
      <c r="A191">
        <f>1+YTDrtrns!B193</f>
        <v>1.0129171032458544</v>
      </c>
      <c r="B191">
        <f>1+YTDrtrns!C193</f>
        <v>1</v>
      </c>
      <c r="C191">
        <f>1+YTDrtrns!D193</f>
        <v>1.0119702629745007</v>
      </c>
      <c r="D191">
        <f>1+YTDrtrns!E193</f>
        <v>0.99055555090308189</v>
      </c>
      <c r="E191">
        <f>1+YTDrtrns!F193</f>
        <v>1.0027300987858325</v>
      </c>
      <c r="F191">
        <f>1+YTDrtrns!G193</f>
        <v>0.99461401719599962</v>
      </c>
      <c r="G191">
        <f>1+YTDrtrns!H193</f>
        <v>1.0073842494748533</v>
      </c>
      <c r="H191">
        <f>1+YTDrtrns!I193</f>
        <v>1.0142470858991146</v>
      </c>
      <c r="I191">
        <f>1+YTDrtrns!J193</f>
        <v>1.0078213019296527</v>
      </c>
      <c r="J191">
        <f>1+YTDrtrns!K193</f>
        <v>1.0028707878664136</v>
      </c>
    </row>
    <row r="192" spans="1:10" x14ac:dyDescent="0.25">
      <c r="A192">
        <f>1+YTDrtrns!B194</f>
        <v>1.0063762404024601</v>
      </c>
      <c r="B192">
        <f>1+YTDrtrns!C194</f>
        <v>0.98533456958830357</v>
      </c>
      <c r="C192">
        <f>1+YTDrtrns!D194</f>
        <v>1.0041559832170606</v>
      </c>
      <c r="D192">
        <f>1+YTDrtrns!E194</f>
        <v>0.99158723372966051</v>
      </c>
      <c r="E192">
        <f>1+YTDrtrns!F194</f>
        <v>0.99348707450553775</v>
      </c>
      <c r="F192">
        <f>1+YTDrtrns!G194</f>
        <v>1.0166064649820328</v>
      </c>
      <c r="G192">
        <f>1+YTDrtrns!H194</f>
        <v>1.0034105277154595</v>
      </c>
      <c r="H192">
        <f>1+YTDrtrns!I194</f>
        <v>0.99591032462194562</v>
      </c>
      <c r="I192">
        <f>1+YTDrtrns!J194</f>
        <v>1.0016629034653306</v>
      </c>
      <c r="J192">
        <f>1+YTDrtrns!K194</f>
        <v>1.0219466499984264</v>
      </c>
    </row>
    <row r="193" spans="1:10" x14ac:dyDescent="0.25">
      <c r="A193">
        <f>1+YTDrtrns!B195</f>
        <v>0.99894400965422392</v>
      </c>
      <c r="B193">
        <f>1+YTDrtrns!C195</f>
        <v>1.0334883406758308</v>
      </c>
      <c r="C193">
        <f>1+YTDrtrns!D195</f>
        <v>1.0071633360348642</v>
      </c>
      <c r="D193">
        <f>1+YTDrtrns!E195</f>
        <v>1.0096153886988759</v>
      </c>
      <c r="E193">
        <f>1+YTDrtrns!F195</f>
        <v>1.0028479245956987</v>
      </c>
      <c r="F193">
        <f>1+YTDrtrns!G195</f>
        <v>1.0081675974652171</v>
      </c>
      <c r="G193">
        <f>1+YTDrtrns!H195</f>
        <v>1.0278510842472315</v>
      </c>
      <c r="H193">
        <f>1+YTDrtrns!I195</f>
        <v>1.0226745307445526</v>
      </c>
      <c r="I193">
        <f>1+YTDrtrns!J195</f>
        <v>0.99612619285471737</v>
      </c>
      <c r="J193">
        <f>1+YTDrtrns!K195</f>
        <v>1.0113636255264282</v>
      </c>
    </row>
    <row r="194" spans="1:10" x14ac:dyDescent="0.25">
      <c r="A194">
        <f>1+YTDrtrns!B196</f>
        <v>0.99682878097519279</v>
      </c>
      <c r="B194">
        <f>1+YTDrtrns!C196</f>
        <v>1.0027003318537027</v>
      </c>
      <c r="C194">
        <f>1+YTDrtrns!D196</f>
        <v>1.0063220751471817</v>
      </c>
      <c r="D194">
        <f>1+YTDrtrns!E196</f>
        <v>0.99215679056942463</v>
      </c>
      <c r="E194">
        <f>1+YTDrtrns!F196</f>
        <v>1.0167175438255072</v>
      </c>
      <c r="F194">
        <f>1+YTDrtrns!G196</f>
        <v>1.0123282987624407</v>
      </c>
      <c r="G194">
        <f>1+YTDrtrns!H196</f>
        <v>0.99945708201266825</v>
      </c>
      <c r="H194">
        <f>1+YTDrtrns!I196</f>
        <v>1.0076816068030894</v>
      </c>
      <c r="I194">
        <f>1+YTDrtrns!J196</f>
        <v>0.99611112801358104</v>
      </c>
      <c r="J194">
        <f>1+YTDrtrns!K196</f>
        <v>1.0177902225404978</v>
      </c>
    </row>
    <row r="195" spans="1:10" x14ac:dyDescent="0.25">
      <c r="A195">
        <f>1+YTDrtrns!B197</f>
        <v>1.0243901945650578</v>
      </c>
      <c r="B195">
        <f>1+YTDrtrns!C197</f>
        <v>1.033213634043932</v>
      </c>
      <c r="C195">
        <f>1+YTDrtrns!D197</f>
        <v>0.99764413828961551</v>
      </c>
      <c r="D195">
        <f>1+YTDrtrns!E197</f>
        <v>1.0022586628329009</v>
      </c>
      <c r="E195">
        <f>1+YTDrtrns!F197</f>
        <v>1.0093807578086853</v>
      </c>
      <c r="F195">
        <f>1+YTDrtrns!G197</f>
        <v>0.99512876151129603</v>
      </c>
      <c r="G195">
        <f>1+YTDrtrns!H197</f>
        <v>1.0129876788705587</v>
      </c>
      <c r="H195">
        <f>1+YTDrtrns!I197</f>
        <v>1.0136867128312588</v>
      </c>
      <c r="I195">
        <f>1+YTDrtrns!J197</f>
        <v>1.0156162176281214</v>
      </c>
      <c r="J195">
        <f>1+YTDrtrns!K197</f>
        <v>0.99908001575386152</v>
      </c>
    </row>
    <row r="196" spans="1:10" x14ac:dyDescent="0.25">
      <c r="A196">
        <f>1+YTDrtrns!B198</f>
        <v>0.95445138961076736</v>
      </c>
      <c r="B196">
        <f>1+YTDrtrns!C198</f>
        <v>0.99565593479201198</v>
      </c>
      <c r="C196">
        <f>1+YTDrtrns!D198</f>
        <v>1.0121221737936139</v>
      </c>
      <c r="D196">
        <f>1+YTDrtrns!E198</f>
        <v>1.0084506822749972</v>
      </c>
      <c r="E196">
        <f>1+YTDrtrns!F198</f>
        <v>1.0116430623456836</v>
      </c>
      <c r="F196">
        <f>1+YTDrtrns!G198</f>
        <v>1.0094405757263303</v>
      </c>
      <c r="G196">
        <f>1+YTDrtrns!H198</f>
        <v>0.97123770788311958</v>
      </c>
      <c r="H196">
        <f>1+YTDrtrns!I198</f>
        <v>1.0094001553952694</v>
      </c>
      <c r="I196">
        <f>1+YTDrtrns!J198</f>
        <v>1.0027458071708679</v>
      </c>
      <c r="J196">
        <f>1+YTDrtrns!K198</f>
        <v>0.98618787992745638</v>
      </c>
    </row>
    <row r="197" spans="1:10" x14ac:dyDescent="0.25">
      <c r="A197">
        <f>1+YTDrtrns!B199</f>
        <v>0.99891537649091333</v>
      </c>
      <c r="B197">
        <f>1+YTDrtrns!C199</f>
        <v>0.96771379560232162</v>
      </c>
      <c r="C197">
        <f>1+YTDrtrns!D199</f>
        <v>0.98926734458655119</v>
      </c>
      <c r="D197">
        <f>1+YTDrtrns!E199</f>
        <v>0.9949720585718751</v>
      </c>
      <c r="E197">
        <f>1+YTDrtrns!F199</f>
        <v>0.99545835237950087</v>
      </c>
      <c r="F197">
        <f>1+YTDrtrns!G199</f>
        <v>0.99134049192070961</v>
      </c>
      <c r="G197">
        <f>1+YTDrtrns!H199</f>
        <v>1.0287607852369547</v>
      </c>
      <c r="H197">
        <f>1+YTDrtrns!I199</f>
        <v>0.97223157435655594</v>
      </c>
      <c r="I197">
        <f>1+YTDrtrns!J199</f>
        <v>0.99178534373641014</v>
      </c>
      <c r="J197">
        <f>1+YTDrtrns!K199</f>
        <v>0.98692807275801897</v>
      </c>
    </row>
    <row r="198" spans="1:10" x14ac:dyDescent="0.25">
      <c r="A198">
        <f>1+YTDrtrns!B200</f>
        <v>1.0206297039985657</v>
      </c>
      <c r="B198">
        <f>1+YTDrtrns!C200</f>
        <v>1.0027051155921072</v>
      </c>
      <c r="C198">
        <f>1+YTDrtrns!D200</f>
        <v>1.0033019324764609</v>
      </c>
      <c r="D198">
        <f>1+YTDrtrns!E200</f>
        <v>0.98315557278692722</v>
      </c>
      <c r="E198">
        <f>1+YTDrtrns!F200</f>
        <v>0.99237867491319776</v>
      </c>
      <c r="F198">
        <f>1+YTDrtrns!G200</f>
        <v>1.0387840196490288</v>
      </c>
      <c r="G198">
        <f>1+YTDrtrns!H200</f>
        <v>0.98960770480334759</v>
      </c>
      <c r="H198">
        <f>1+YTDrtrns!I200</f>
        <v>0.97805645503103733</v>
      </c>
      <c r="I198">
        <f>1+YTDrtrns!J200</f>
        <v>0.9679735004901886</v>
      </c>
      <c r="J198">
        <f>1+YTDrtrns!K200</f>
        <v>0.99716180376708508</v>
      </c>
    </row>
    <row r="199" spans="1:10" x14ac:dyDescent="0.25">
      <c r="A199">
        <f>1+YTDrtrns!B201</f>
        <v>0.98404259234666824</v>
      </c>
      <c r="B199">
        <f>1+YTDrtrns!C201</f>
        <v>1.0080935386940837</v>
      </c>
      <c r="C199">
        <f>1+YTDrtrns!D201</f>
        <v>1.0134774604812264</v>
      </c>
      <c r="D199">
        <f>1+YTDrtrns!E201</f>
        <v>0.99086237326264381</v>
      </c>
      <c r="E199">
        <f>1+YTDrtrns!F201</f>
        <v>1.0280549339950085</v>
      </c>
      <c r="F199">
        <f>1+YTDrtrns!G201</f>
        <v>1.0322906486690044</v>
      </c>
      <c r="G199">
        <f>1+YTDrtrns!H201</f>
        <v>1.0036484026350081</v>
      </c>
      <c r="H199">
        <f>1+YTDrtrns!I201</f>
        <v>1.0261752363294363</v>
      </c>
      <c r="I199">
        <f>1+YTDrtrns!J201</f>
        <v>1.0154020842164755</v>
      </c>
      <c r="J199">
        <f>1+YTDrtrns!K201</f>
        <v>1.0199241023510695</v>
      </c>
    </row>
    <row r="200" spans="1:10" x14ac:dyDescent="0.25">
      <c r="A200">
        <f>1+YTDrtrns!B202</f>
        <v>1.0162161756306887</v>
      </c>
      <c r="B200">
        <f>1+YTDrtrns!C202</f>
        <v>1.0124888801947236</v>
      </c>
      <c r="C200">
        <f>1+YTDrtrns!D202</f>
        <v>1.0128344185650349</v>
      </c>
      <c r="D200">
        <f>1+YTDrtrns!E202</f>
        <v>0.99308352544903755</v>
      </c>
      <c r="E200">
        <f>1+YTDrtrns!F202</f>
        <v>0.99608697881922126</v>
      </c>
      <c r="F200">
        <f>1+YTDrtrns!G202</f>
        <v>1.0192245077341795</v>
      </c>
      <c r="G200">
        <f>1+YTDrtrns!H202</f>
        <v>1.0010806403588504</v>
      </c>
      <c r="H200">
        <f>1+YTDrtrns!I202</f>
        <v>0.99462083354592323</v>
      </c>
      <c r="I200">
        <f>1+YTDrtrns!J202</f>
        <v>1.0269663743674755</v>
      </c>
      <c r="J200">
        <f>1+YTDrtrns!K202</f>
        <v>1.0130232879891992</v>
      </c>
    </row>
    <row r="201" spans="1:10" x14ac:dyDescent="0.25">
      <c r="A201">
        <f>1+YTDrtrns!B203</f>
        <v>1.0095744850113988</v>
      </c>
      <c r="B201">
        <f>1+YTDrtrns!C203</f>
        <v>0.98502202052623034</v>
      </c>
      <c r="C201">
        <f>1+YTDrtrns!D203</f>
        <v>0.9916030066087842</v>
      </c>
      <c r="D201">
        <f>1+YTDrtrns!E203</f>
        <v>0.9965177325066179</v>
      </c>
      <c r="E201">
        <f>1+YTDrtrns!F203</f>
        <v>0.91153514385223389</v>
      </c>
      <c r="F201">
        <f>1+YTDrtrns!G203</f>
        <v>0.98817132879048586</v>
      </c>
      <c r="G201">
        <f>1+YTDrtrns!H203</f>
        <v>0.99931302125332877</v>
      </c>
      <c r="H201">
        <f>1+YTDrtrns!I203</f>
        <v>0.93719471991062164</v>
      </c>
      <c r="I201">
        <f>1+YTDrtrns!J203</f>
        <v>0.97319476120173931</v>
      </c>
      <c r="J201">
        <f>1+YTDrtrns!K203</f>
        <v>0.97061518393456936</v>
      </c>
    </row>
    <row r="202" spans="1:10" x14ac:dyDescent="0.25">
      <c r="A202">
        <f>1+YTDrtrns!B204</f>
        <v>0.97787143848836422</v>
      </c>
      <c r="B202">
        <f>1+YTDrtrns!C204</f>
        <v>0.98926655761897564</v>
      </c>
      <c r="C202">
        <f>1+YTDrtrns!D204</f>
        <v>0.98660515528172255</v>
      </c>
      <c r="D202">
        <f>1+YTDrtrns!E204</f>
        <v>0.98718699440360069</v>
      </c>
      <c r="E202">
        <f>1+YTDrtrns!F204</f>
        <v>1.0007835640572011</v>
      </c>
      <c r="F202">
        <f>1+YTDrtrns!G204</f>
        <v>0.98738274350762367</v>
      </c>
      <c r="G202">
        <f>1+YTDrtrns!H204</f>
        <v>0.99435308668762445</v>
      </c>
      <c r="H202">
        <f>1+YTDrtrns!I204</f>
        <v>0.9838048629462719</v>
      </c>
      <c r="I202">
        <f>1+YTDrtrns!J204</f>
        <v>0.99044406600296497</v>
      </c>
      <c r="J202">
        <f>1+YTDrtrns!K204</f>
        <v>0.9763481542468071</v>
      </c>
    </row>
    <row r="203" spans="1:10" x14ac:dyDescent="0.25">
      <c r="A203">
        <f>1+YTDrtrns!B205</f>
        <v>1.0355603359639645</v>
      </c>
      <c r="B203">
        <f>1+YTDrtrns!C205</f>
        <v>0.98734174203127623</v>
      </c>
      <c r="C203">
        <f>1+YTDrtrns!D205</f>
        <v>0.98236577585339546</v>
      </c>
      <c r="D203">
        <f>1+YTDrtrns!E205</f>
        <v>0.97463125176727772</v>
      </c>
      <c r="E203">
        <f>1+YTDrtrns!F205</f>
        <v>0.98579501546919346</v>
      </c>
      <c r="F203">
        <f>1+YTDrtrns!G205</f>
        <v>0.99246397335082293</v>
      </c>
      <c r="G203">
        <f>1+YTDrtrns!H205</f>
        <v>0.98202469386160374</v>
      </c>
      <c r="H203">
        <f>1+YTDrtrns!I205</f>
        <v>1.0060548665933311</v>
      </c>
      <c r="I203">
        <f>1+YTDrtrns!J205</f>
        <v>0.97729843854904175</v>
      </c>
      <c r="J203">
        <f>1+YTDrtrns!K205</f>
        <v>0.96414729580283165</v>
      </c>
    </row>
    <row r="204" spans="1:10" x14ac:dyDescent="0.25">
      <c r="A204">
        <f>1+YTDrtrns!B206</f>
        <v>1.0020812130533159</v>
      </c>
      <c r="B204">
        <f>1+YTDrtrns!C206</f>
        <v>0.98717945627868176</v>
      </c>
      <c r="C204">
        <f>1+YTDrtrns!D206</f>
        <v>0.98999204020947218</v>
      </c>
      <c r="D204">
        <f>1+YTDrtrns!E206</f>
        <v>1.0139224901795387</v>
      </c>
      <c r="E204">
        <f>1+YTDrtrns!F206</f>
        <v>0.97963345237076283</v>
      </c>
      <c r="F204">
        <f>1+YTDrtrns!G206</f>
        <v>0.97226807102560997</v>
      </c>
      <c r="G204">
        <f>1+YTDrtrns!H206</f>
        <v>0.98637228831648827</v>
      </c>
      <c r="H204">
        <f>1+YTDrtrns!I206</f>
        <v>1.0069588632322848</v>
      </c>
      <c r="I204">
        <f>1+YTDrtrns!J206</f>
        <v>0.98896639794111252</v>
      </c>
      <c r="J204">
        <f>1+YTDrtrns!K206</f>
        <v>0.98894475772976875</v>
      </c>
    </row>
    <row r="205" spans="1:10" x14ac:dyDescent="0.25">
      <c r="A205">
        <f>1+YTDrtrns!B207</f>
        <v>1.015576284378767</v>
      </c>
      <c r="B205">
        <f>1+YTDrtrns!C207</f>
        <v>1.0333952344954014</v>
      </c>
      <c r="C205">
        <f>1+YTDrtrns!D207</f>
        <v>1.0155648468062282</v>
      </c>
      <c r="D205">
        <f>1+YTDrtrns!E207</f>
        <v>0.98268651217222214</v>
      </c>
      <c r="E205">
        <f>1+YTDrtrns!F207</f>
        <v>0.99994212122328463</v>
      </c>
      <c r="F205">
        <f>1+YTDrtrns!G207</f>
        <v>1.0071306987665594</v>
      </c>
      <c r="G205">
        <f>1+YTDrtrns!H207</f>
        <v>0.99158810079097748</v>
      </c>
      <c r="H205">
        <f>1+YTDrtrns!I207</f>
        <v>0.99383634980767965</v>
      </c>
      <c r="I205">
        <f>1+YTDrtrns!J207</f>
        <v>0.95830880850553513</v>
      </c>
      <c r="J205">
        <f>1+YTDrtrns!K207</f>
        <v>1.0121951103210449</v>
      </c>
    </row>
    <row r="206" spans="1:10" x14ac:dyDescent="0.25">
      <c r="A206">
        <f>1+YTDrtrns!B208</f>
        <v>0.99182004854083061</v>
      </c>
      <c r="B206">
        <f>1+YTDrtrns!C208</f>
        <v>0.91292636841535568</v>
      </c>
      <c r="C206">
        <f>1+YTDrtrns!D208</f>
        <v>1.0080581186339259</v>
      </c>
      <c r="D206">
        <f>1+YTDrtrns!E208</f>
        <v>1.0039490000344813</v>
      </c>
      <c r="E206">
        <f>1+YTDrtrns!F208</f>
        <v>0.98476860579103231</v>
      </c>
      <c r="F206">
        <f>1+YTDrtrns!G208</f>
        <v>1.0151719748973846</v>
      </c>
      <c r="G206">
        <f>1+YTDrtrns!H208</f>
        <v>0.99732645624317229</v>
      </c>
      <c r="H206">
        <f>1+YTDrtrns!I208</f>
        <v>1.0024431699421257</v>
      </c>
      <c r="I206">
        <f>1+YTDrtrns!J208</f>
        <v>1.0257353000342846</v>
      </c>
      <c r="J206">
        <f>1+YTDrtrns!K208</f>
        <v>0.99497990077361465</v>
      </c>
    </row>
    <row r="207" spans="1:10" x14ac:dyDescent="0.25">
      <c r="A207">
        <f>1+YTDrtrns!B209</f>
        <v>1.0185567326843739</v>
      </c>
      <c r="B207">
        <f>1+YTDrtrns!C209</f>
        <v>1.0058996523730457</v>
      </c>
      <c r="C207">
        <f>1+YTDrtrns!D209</f>
        <v>1.0028213213663548</v>
      </c>
      <c r="D207">
        <f>1+YTDrtrns!E209</f>
        <v>1.0033283089287579</v>
      </c>
      <c r="E207">
        <f>1+YTDrtrns!F209</f>
        <v>0.98670904152095318</v>
      </c>
      <c r="F207">
        <f>1+YTDrtrns!G209</f>
        <v>1.0009963061893359</v>
      </c>
      <c r="G207">
        <f>1+YTDrtrns!H209</f>
        <v>0.98654500115662813</v>
      </c>
      <c r="H207">
        <f>1+YTDrtrns!I209</f>
        <v>1.0089988661929965</v>
      </c>
      <c r="I207">
        <f>1+YTDrtrns!J209</f>
        <v>1.0268817655742168</v>
      </c>
      <c r="J207">
        <f>1+YTDrtrns!K209</f>
        <v>1.0322905853390694</v>
      </c>
    </row>
    <row r="208" spans="1:10" x14ac:dyDescent="0.25">
      <c r="A208">
        <f>1+YTDrtrns!B210</f>
        <v>0.99898783105891198</v>
      </c>
      <c r="B208">
        <f>1+YTDrtrns!C210</f>
        <v>1.0078202225267887</v>
      </c>
      <c r="C208">
        <f>1+YTDrtrns!D210</f>
        <v>0.98186933621764183</v>
      </c>
      <c r="D208">
        <f>1+YTDrtrns!E210</f>
        <v>0.97285882011055946</v>
      </c>
      <c r="E208">
        <f>1+YTDrtrns!F210</f>
        <v>0.98927164729684591</v>
      </c>
      <c r="F208">
        <f>1+YTDrtrns!G210</f>
        <v>0.98374254256486893</v>
      </c>
      <c r="G208">
        <f>1+YTDrtrns!H210</f>
        <v>0.99456553626805544</v>
      </c>
      <c r="H208">
        <f>1+YTDrtrns!I210</f>
        <v>0.99851360055617988</v>
      </c>
      <c r="I208">
        <f>1+YTDrtrns!J210</f>
        <v>0.97614893317222595</v>
      </c>
      <c r="J208">
        <f>1+YTDrtrns!K210</f>
        <v>1.0058651440776885</v>
      </c>
    </row>
    <row r="209" spans="1:10" x14ac:dyDescent="0.25">
      <c r="A209">
        <f>1+YTDrtrns!B211</f>
        <v>0.99797370773740113</v>
      </c>
      <c r="B209">
        <f>1+YTDrtrns!C211</f>
        <v>0.99903004575753585</v>
      </c>
      <c r="C209">
        <f>1+YTDrtrns!D211</f>
        <v>1.0017510444158688</v>
      </c>
      <c r="D209">
        <f>1+YTDrtrns!E211</f>
        <v>1.0222877189517021</v>
      </c>
      <c r="E209">
        <f>1+YTDrtrns!F211</f>
        <v>1.0224726535379887</v>
      </c>
      <c r="F209">
        <f>1+YTDrtrns!G211</f>
        <v>1.023271519690752</v>
      </c>
      <c r="G209">
        <f>1+YTDrtrns!H211</f>
        <v>0.99443073850125074</v>
      </c>
      <c r="H209">
        <f>1+YTDrtrns!I211</f>
        <v>1.0133977923542261</v>
      </c>
      <c r="I209">
        <f>1+YTDrtrns!J211</f>
        <v>1.0011918087257072</v>
      </c>
      <c r="J209">
        <f>1+YTDrtrns!K211</f>
        <v>1.0330418013036251</v>
      </c>
    </row>
    <row r="210" spans="1:10" x14ac:dyDescent="0.25">
      <c r="A210">
        <f>1+YTDrtrns!B212</f>
        <v>0.98477151617407799</v>
      </c>
      <c r="B210">
        <f>1+YTDrtrns!C212</f>
        <v>1.014563069678843</v>
      </c>
      <c r="C210">
        <f>1+YTDrtrns!D212</f>
        <v>1.0171619541943073</v>
      </c>
      <c r="D210">
        <f>1+YTDrtrns!E212</f>
        <v>0.98608206305652857</v>
      </c>
      <c r="E210">
        <f>1+YTDrtrns!F212</f>
        <v>1.0127275250852108</v>
      </c>
      <c r="F210">
        <f>1+YTDrtrns!G212</f>
        <v>1.0177982524037361</v>
      </c>
      <c r="G210">
        <f>1+YTDrtrns!H212</f>
        <v>1.0246737357228994</v>
      </c>
      <c r="H210">
        <f>1+YTDrtrns!I212</f>
        <v>1.0003672504099086</v>
      </c>
      <c r="I210">
        <f>1+YTDrtrns!J212</f>
        <v>1</v>
      </c>
      <c r="J210">
        <f>1+YTDrtrns!K212</f>
        <v>1.0159924812614918</v>
      </c>
    </row>
    <row r="211" spans="1:10" x14ac:dyDescent="0.25">
      <c r="A211">
        <f>1+YTDrtrns!B213</f>
        <v>0.97731955908238888</v>
      </c>
      <c r="B211">
        <f>1+YTDrtrns!C213</f>
        <v>0.95502389594912529</v>
      </c>
      <c r="C211">
        <f>1+YTDrtrns!D213</f>
        <v>1.0178097076714039</v>
      </c>
      <c r="D211">
        <f>1+YTDrtrns!E213</f>
        <v>0.99969243124360219</v>
      </c>
      <c r="E211">
        <f>1+YTDrtrns!F213</f>
        <v>1.0062838299199939</v>
      </c>
      <c r="F211">
        <f>1+YTDrtrns!G213</f>
        <v>1.2159974128007889</v>
      </c>
      <c r="G211">
        <f>1+YTDrtrns!H213</f>
        <v>1.0052077677100897</v>
      </c>
      <c r="H211">
        <f>1+YTDrtrns!I213</f>
        <v>1.0374449528753757</v>
      </c>
      <c r="I211">
        <f>1+YTDrtrns!J213</f>
        <v>1.033928669989109</v>
      </c>
      <c r="J211">
        <f>1+YTDrtrns!K213</f>
        <v>1.0148148005828261</v>
      </c>
    </row>
    <row r="212" spans="1:10" x14ac:dyDescent="0.25">
      <c r="A212">
        <f>1+YTDrtrns!B214</f>
        <v>0.99789034761488438</v>
      </c>
      <c r="B212">
        <f>1+YTDrtrns!C214</f>
        <v>1.0891783982515335</v>
      </c>
      <c r="C212">
        <f>1+YTDrtrns!D214</f>
        <v>0.99984647527162451</v>
      </c>
      <c r="D212">
        <f>1+YTDrtrns!E214</f>
        <v>1.0729007348418236</v>
      </c>
      <c r="E212">
        <f>1+YTDrtrns!F214</f>
        <v>0.9971668676007539</v>
      </c>
      <c r="F212">
        <f>1+YTDrtrns!G214</f>
        <v>0.98561915010213852</v>
      </c>
      <c r="G212">
        <f>1+YTDrtrns!H214</f>
        <v>1.0287253465503454</v>
      </c>
      <c r="H212">
        <f>1+YTDrtrns!I214</f>
        <v>1.0053078420460224</v>
      </c>
      <c r="I212">
        <f>1+YTDrtrns!J214</f>
        <v>1.0592975653707981</v>
      </c>
      <c r="J212">
        <f>1+YTDrtrns!K214</f>
        <v>1.0145985260605812</v>
      </c>
    </row>
    <row r="213" spans="1:10" x14ac:dyDescent="0.25">
      <c r="A213">
        <f>1+YTDrtrns!B215</f>
        <v>1.0010571066522971</v>
      </c>
      <c r="B213">
        <f>1+YTDrtrns!C215</f>
        <v>1.0367985814809799</v>
      </c>
      <c r="C213">
        <f>1+YTDrtrns!D215</f>
        <v>1.0099785309284925</v>
      </c>
      <c r="D213">
        <f>1+YTDrtrns!E215</f>
        <v>1.015481567941606</v>
      </c>
      <c r="E213">
        <f>1+YTDrtrns!F215</f>
        <v>1.0187289547175169</v>
      </c>
      <c r="F213">
        <f>1+YTDrtrns!G215</f>
        <v>0.98459876421838999</v>
      </c>
      <c r="G213">
        <f>1+YTDrtrns!H215</f>
        <v>0.99546245997771621</v>
      </c>
      <c r="H213">
        <f>1+YTDrtrns!I215</f>
        <v>1.0184793956577778</v>
      </c>
      <c r="I213">
        <f>1+YTDrtrns!J215</f>
        <v>1.029201140627265</v>
      </c>
      <c r="J213">
        <f>1+YTDrtrns!K215</f>
        <v>1.0197841972112656</v>
      </c>
    </row>
    <row r="214" spans="1:10" x14ac:dyDescent="0.25">
      <c r="A214">
        <f>1+YTDrtrns!B216</f>
        <v>1.0116155920550227</v>
      </c>
      <c r="B214">
        <f>1+YTDrtrns!C216</f>
        <v>1.0053238212130964</v>
      </c>
      <c r="C214">
        <f>1+YTDrtrns!D216</f>
        <v>0.99407205684110522</v>
      </c>
      <c r="D214">
        <f>1+YTDrtrns!E216</f>
        <v>0.99548278236761689</v>
      </c>
      <c r="E214">
        <f>1+YTDrtrns!F216</f>
        <v>0.99510501092299819</v>
      </c>
      <c r="F214">
        <f>1+YTDrtrns!G216</f>
        <v>1.00960489269346</v>
      </c>
      <c r="G214">
        <f>1+YTDrtrns!H216</f>
        <v>0.99539171438664198</v>
      </c>
      <c r="H214">
        <f>1+YTDrtrns!I216</f>
        <v>0.99688957468606532</v>
      </c>
      <c r="I214">
        <f>1+YTDrtrns!J216</f>
        <v>0.99946465587709099</v>
      </c>
      <c r="J214">
        <f>1+YTDrtrns!K216</f>
        <v>0.99029976967722178</v>
      </c>
    </row>
    <row r="215" spans="1:10" x14ac:dyDescent="0.25">
      <c r="A215">
        <f>1+YTDrtrns!B217</f>
        <v>0.99164927750825882</v>
      </c>
      <c r="B215">
        <f>1+YTDrtrns!C217</f>
        <v>1.061341542750597</v>
      </c>
      <c r="C215">
        <f>1+YTDrtrns!D217</f>
        <v>1.0003057590511162</v>
      </c>
      <c r="D215">
        <f>1+YTDrtrns!E217</f>
        <v>0.99829842417966574</v>
      </c>
      <c r="E215">
        <f>1+YTDrtrns!F217</f>
        <v>1.0005147648626007</v>
      </c>
      <c r="F215">
        <f>1+YTDrtrns!G217</f>
        <v>1.0067953248508275</v>
      </c>
      <c r="G215">
        <f>1+YTDrtrns!H217</f>
        <v>0.99537037964910269</v>
      </c>
      <c r="H215">
        <f>1+YTDrtrns!I217</f>
        <v>1.0195874683558941</v>
      </c>
      <c r="I215">
        <f>1+YTDrtrns!J217</f>
        <v>0.98821642715483904</v>
      </c>
      <c r="J215">
        <f>1+YTDrtrns!K217</f>
        <v>0.99643811536952853</v>
      </c>
    </row>
    <row r="216" spans="1:10" x14ac:dyDescent="0.25">
      <c r="A216">
        <f>1+YTDrtrns!B218</f>
        <v>1.0094737000763416</v>
      </c>
      <c r="B216">
        <f>1+YTDrtrns!C218</f>
        <v>1.1051975339651108</v>
      </c>
      <c r="C216">
        <f>1+YTDrtrns!D218</f>
        <v>0.99266285914927721</v>
      </c>
      <c r="D216">
        <f>1+YTDrtrns!E218</f>
        <v>1.0130681553855538</v>
      </c>
      <c r="E216">
        <f>1+YTDrtrns!F218</f>
        <v>1.0004573624173645</v>
      </c>
      <c r="F216">
        <f>1+YTDrtrns!G218</f>
        <v>0.98920082300901413</v>
      </c>
      <c r="G216">
        <f>1+YTDrtrns!H218</f>
        <v>0.99615768576040864</v>
      </c>
      <c r="H216">
        <f>1+YTDrtrns!I218</f>
        <v>0.99591979151591659</v>
      </c>
      <c r="I216">
        <f>1+YTDrtrns!J218</f>
        <v>0.9804877731949091</v>
      </c>
      <c r="J216">
        <f>1+YTDrtrns!K218</f>
        <v>1</v>
      </c>
    </row>
    <row r="217" spans="1:10" x14ac:dyDescent="0.25">
      <c r="A217">
        <f>1+YTDrtrns!B219</f>
        <v>0.98227319307625294</v>
      </c>
      <c r="B217">
        <f>1+YTDrtrns!C219</f>
        <v>1.003762241685763</v>
      </c>
      <c r="C217">
        <f>1+YTDrtrns!D219</f>
        <v>1.0047735995613039</v>
      </c>
      <c r="D217">
        <f>1+YTDrtrns!E219</f>
        <v>1.0235558096319437</v>
      </c>
      <c r="E217">
        <f>1+YTDrtrns!F219</f>
        <v>0.98388568311929703</v>
      </c>
      <c r="F217">
        <f>1+YTDrtrns!G219</f>
        <v>0.99153936747461557</v>
      </c>
      <c r="G217">
        <f>1+YTDrtrns!H219</f>
        <v>0.99731019698083401</v>
      </c>
      <c r="H217">
        <f>1+YTDrtrns!I219</f>
        <v>0.98071012273430824</v>
      </c>
      <c r="I217">
        <f>1+YTDrtrns!J219</f>
        <v>0.98341629467904568</v>
      </c>
      <c r="J217">
        <f>1+YTDrtrns!K219</f>
        <v>0.99374444177374244</v>
      </c>
    </row>
    <row r="218" spans="1:10" x14ac:dyDescent="0.25">
      <c r="A218">
        <f>1+YTDrtrns!B220</f>
        <v>0.99256903445348144</v>
      </c>
      <c r="B218">
        <f>1+YTDrtrns!C220</f>
        <v>1.0344827622175217</v>
      </c>
      <c r="C218">
        <f>1+YTDrtrns!D220</f>
        <v>1.0098084202036262</v>
      </c>
      <c r="D218">
        <f>1+YTDrtrns!E220</f>
        <v>1.0021918308921158</v>
      </c>
      <c r="E218">
        <f>1+YTDrtrns!F220</f>
        <v>1.0119935544207692</v>
      </c>
      <c r="F218">
        <f>1+YTDrtrns!G220</f>
        <v>0.99256811337545514</v>
      </c>
      <c r="G218">
        <f>1+YTDrtrns!H220</f>
        <v>1.0123658236116171</v>
      </c>
      <c r="H218">
        <f>1+YTDrtrns!I220</f>
        <v>1.0219320859760046</v>
      </c>
      <c r="I218">
        <f>1+YTDrtrns!J220</f>
        <v>1.0213602669537067</v>
      </c>
      <c r="J218">
        <f>1+YTDrtrns!K220</f>
        <v>1.0089928405359387</v>
      </c>
    </row>
    <row r="219" spans="1:10" x14ac:dyDescent="0.25">
      <c r="A219">
        <f>1+YTDrtrns!B221</f>
        <v>1.0032085275743157</v>
      </c>
      <c r="B219">
        <f>1+YTDrtrns!C221</f>
        <v>0.99347824975848198</v>
      </c>
      <c r="C219">
        <f>1+YTDrtrns!D221</f>
        <v>1.0012141725746915</v>
      </c>
      <c r="D219">
        <f>1+YTDrtrns!E221</f>
        <v>1.0240567848086357</v>
      </c>
      <c r="E219">
        <f>1+YTDrtrns!F221</f>
        <v>0.99890690122265369</v>
      </c>
      <c r="F219">
        <f>1+YTDrtrns!G221</f>
        <v>0.9902938911691308</v>
      </c>
      <c r="G219">
        <f>1+YTDrtrns!H221</f>
        <v>1.0146777825430036</v>
      </c>
      <c r="H219">
        <f>1+YTDrtrns!I221</f>
        <v>1.0049395491369069</v>
      </c>
      <c r="I219">
        <f>1+YTDrtrns!J221</f>
        <v>1.0033021168783307</v>
      </c>
      <c r="J219">
        <f>1+YTDrtrns!K221</f>
        <v>1.0098038911819458</v>
      </c>
    </row>
    <row r="220" spans="1:10" x14ac:dyDescent="0.25">
      <c r="A220">
        <f>1+YTDrtrns!B222</f>
        <v>1.0181236751377583</v>
      </c>
      <c r="B220">
        <f>1+YTDrtrns!C222</f>
        <v>1.0517870187759399</v>
      </c>
      <c r="C220">
        <f>1+YTDrtrns!D222</f>
        <v>1.0071244686841965</v>
      </c>
      <c r="D220">
        <f>1+YTDrtrns!E222</f>
        <v>1.0202883332967758</v>
      </c>
      <c r="E220">
        <f>1+YTDrtrns!F222</f>
        <v>1.0282208938151598</v>
      </c>
      <c r="F220">
        <f>1+YTDrtrns!G222</f>
        <v>1.0271632950752974</v>
      </c>
      <c r="G220">
        <f>1+YTDrtrns!H222</f>
        <v>1.0611810460686684</v>
      </c>
      <c r="H220">
        <f>1+YTDrtrns!I222</f>
        <v>1.0857626721262932</v>
      </c>
      <c r="I220">
        <f>1+YTDrtrns!J222</f>
        <v>1.0987384095788002</v>
      </c>
      <c r="J220">
        <f>1+YTDrtrns!K222</f>
        <v>1.0785525441169739</v>
      </c>
    </row>
    <row r="221" spans="1:10" x14ac:dyDescent="0.25">
      <c r="A221">
        <f>1+YTDrtrns!B223</f>
        <v>1.0052356221713126</v>
      </c>
      <c r="B221">
        <f>1+YTDrtrns!C223</f>
        <v>1.0041608507744968</v>
      </c>
      <c r="C221">
        <f>1+YTDrtrns!D223</f>
        <v>1.0013545504771173</v>
      </c>
      <c r="D221">
        <f>1+YTDrtrns!E223</f>
        <v>0.99157895520329475</v>
      </c>
      <c r="E221">
        <f>1+YTDrtrns!F223</f>
        <v>1.0191004518419504</v>
      </c>
      <c r="F221">
        <f>1+YTDrtrns!G223</f>
        <v>0.99100322183221579</v>
      </c>
      <c r="G221">
        <f>1+YTDrtrns!H223</f>
        <v>0.98664861358702183</v>
      </c>
      <c r="H221">
        <f>1+YTDrtrns!I223</f>
        <v>0.99531690217554569</v>
      </c>
      <c r="I221">
        <f>1+YTDrtrns!J223</f>
        <v>0.99450820730999112</v>
      </c>
      <c r="J221">
        <f>1+YTDrtrns!K223</f>
        <v>0.97626841627061367</v>
      </c>
    </row>
    <row r="222" spans="1:10" x14ac:dyDescent="0.25">
      <c r="A222">
        <f>1+YTDrtrns!B224</f>
        <v>0.99791661906056106</v>
      </c>
      <c r="B222">
        <f>1+YTDrtrns!C224</f>
        <v>0.97444752044975758</v>
      </c>
      <c r="C222">
        <f>1+YTDrtrns!D224</f>
        <v>1.0079663125798106</v>
      </c>
      <c r="D222">
        <f>1+YTDrtrns!E224</f>
        <v>0.97292992472648621</v>
      </c>
      <c r="E222">
        <f>1+YTDrtrns!F224</f>
        <v>0.98202701844274998</v>
      </c>
      <c r="F222">
        <f>1+YTDrtrns!G224</f>
        <v>0.99202208779752254</v>
      </c>
      <c r="G222">
        <f>1+YTDrtrns!H224</f>
        <v>1.0066713429987431</v>
      </c>
      <c r="H222">
        <f>1+YTDrtrns!I224</f>
        <v>0.98008160851895809</v>
      </c>
      <c r="I222">
        <f>1+YTDrtrns!J224</f>
        <v>0.97891565971076488</v>
      </c>
      <c r="J222">
        <f>1+YTDrtrns!K224</f>
        <v>0.98407371900975704</v>
      </c>
    </row>
    <row r="223" spans="1:10" x14ac:dyDescent="0.25">
      <c r="A223">
        <f>1+YTDrtrns!B225</f>
        <v>1.0052192267030478</v>
      </c>
      <c r="B223">
        <f>1+YTDrtrns!C225</f>
        <v>1.0148830646649003</v>
      </c>
      <c r="C223">
        <f>1+YTDrtrns!D225</f>
        <v>0.99910531524801627</v>
      </c>
      <c r="D223">
        <f>1+YTDrtrns!E225</f>
        <v>0.99290784727782011</v>
      </c>
      <c r="E223">
        <f>1+YTDrtrns!F225</f>
        <v>0.99669784330762923</v>
      </c>
      <c r="F223">
        <f>1+YTDrtrns!G225</f>
        <v>1</v>
      </c>
      <c r="G223">
        <f>1+YTDrtrns!H225</f>
        <v>1.00587516464293</v>
      </c>
      <c r="H223">
        <f>1+YTDrtrns!I225</f>
        <v>1.0046406961046159</v>
      </c>
      <c r="I223">
        <f>1+YTDrtrns!J225</f>
        <v>1</v>
      </c>
      <c r="J223">
        <f>1+YTDrtrns!K225</f>
        <v>1.0204429104924202</v>
      </c>
    </row>
    <row r="224" spans="1:10" x14ac:dyDescent="0.25">
      <c r="A224">
        <f>1+YTDrtrns!B226</f>
        <v>1.0072689196094871</v>
      </c>
      <c r="B224">
        <f>1+YTDrtrns!C226</f>
        <v>0.99371507298201323</v>
      </c>
      <c r="C224">
        <f>1+YTDrtrns!D226</f>
        <v>1.0073134009726346</v>
      </c>
      <c r="D224">
        <f>1+YTDrtrns!E226</f>
        <v>1.0373625494539738</v>
      </c>
      <c r="E224">
        <f>1+YTDrtrns!F226</f>
        <v>0.99876459338702261</v>
      </c>
      <c r="F224">
        <f>1+YTDrtrns!G226</f>
        <v>1.007210158277303</v>
      </c>
      <c r="G224">
        <f>1+YTDrtrns!H226</f>
        <v>0.99976642309047747</v>
      </c>
      <c r="H224">
        <f>1+YTDrtrns!I226</f>
        <v>1.0070086405612528</v>
      </c>
      <c r="I224">
        <f>1+YTDrtrns!J226</f>
        <v>0.99282054416835308</v>
      </c>
      <c r="J224">
        <f>1+YTDrtrns!K226</f>
        <v>1.0041736387647688</v>
      </c>
    </row>
    <row r="225" spans="1:10" x14ac:dyDescent="0.25">
      <c r="A225">
        <f>1+YTDrtrns!B227</f>
        <v>0.9989690484944731</v>
      </c>
      <c r="B225">
        <f>1+YTDrtrns!C227</f>
        <v>0.95924104377627373</v>
      </c>
      <c r="C225">
        <f>1+YTDrtrns!D227</f>
        <v>1.0098162470385432</v>
      </c>
      <c r="D225">
        <f>1+YTDrtrns!E227</f>
        <v>0.97192803025245667</v>
      </c>
      <c r="E225">
        <f>1+YTDrtrns!F227</f>
        <v>1.013831140473485</v>
      </c>
      <c r="F225">
        <f>1+YTDrtrns!G227</f>
        <v>0.99972471580258571</v>
      </c>
      <c r="G225">
        <f>1+YTDrtrns!H227</f>
        <v>0.99434470618143678</v>
      </c>
      <c r="H225">
        <f>1+YTDrtrns!I227</f>
        <v>1.0044289589859545</v>
      </c>
      <c r="I225">
        <f>1+YTDrtrns!J227</f>
        <v>0.9656507819890976</v>
      </c>
      <c r="J225">
        <f>1+YTDrtrns!K227</f>
        <v>0.99418123904615641</v>
      </c>
    </row>
    <row r="226" spans="1:10" x14ac:dyDescent="0.25">
      <c r="A226">
        <f>1+YTDrtrns!B228</f>
        <v>1.014447920024395</v>
      </c>
      <c r="B226">
        <f>1+YTDrtrns!C228</f>
        <v>1.041025672107935</v>
      </c>
      <c r="C226">
        <f>1+YTDrtrns!D228</f>
        <v>1.0060214963741601</v>
      </c>
      <c r="D226">
        <f>1+YTDrtrns!E228</f>
        <v>1.0168937034904957</v>
      </c>
      <c r="E226">
        <f>1+YTDrtrns!F228</f>
        <v>1.0045474269427359</v>
      </c>
      <c r="F226">
        <f>1+YTDrtrns!G228</f>
        <v>1.0082621658220887</v>
      </c>
      <c r="G226">
        <f>1+YTDrtrns!H228</f>
        <v>0.99567568441852927</v>
      </c>
      <c r="H226">
        <f>1+YTDrtrns!I228</f>
        <v>1.0006299357046373</v>
      </c>
      <c r="I226">
        <f>1+YTDrtrns!J228</f>
        <v>0.99598829308524728</v>
      </c>
      <c r="J226">
        <f>1+YTDrtrns!K228</f>
        <v>1.0058528170920908</v>
      </c>
    </row>
    <row r="227" spans="1:10" x14ac:dyDescent="0.25">
      <c r="A227">
        <f>1+YTDrtrns!B229</f>
        <v>1.0010173172922805</v>
      </c>
      <c r="B227">
        <f>1+YTDrtrns!C229</f>
        <v>1.0028149164281785</v>
      </c>
      <c r="C227">
        <f>1+YTDrtrns!D229</f>
        <v>1.0116788763552904</v>
      </c>
      <c r="D227">
        <f>1+YTDrtrns!E229</f>
        <v>1.0032154053915292</v>
      </c>
      <c r="E227">
        <f>1+YTDrtrns!F229</f>
        <v>1.0105443503707647</v>
      </c>
      <c r="F227">
        <f>1+YTDrtrns!G229</f>
        <v>1.0071018389426172</v>
      </c>
      <c r="G227">
        <f>1+YTDrtrns!H229</f>
        <v>1.009299916215241</v>
      </c>
      <c r="H227">
        <f>1+YTDrtrns!I229</f>
        <v>1.0045640682801604</v>
      </c>
      <c r="I227">
        <f>1+YTDrtrns!J229</f>
        <v>1.0193339791148901</v>
      </c>
      <c r="J227">
        <f>1+YTDrtrns!K229</f>
        <v>1.0033250176347792</v>
      </c>
    </row>
    <row r="228" spans="1:10" x14ac:dyDescent="0.25">
      <c r="A228">
        <f>1+YTDrtrns!B230</f>
        <v>0.99593496322631836</v>
      </c>
      <c r="B228">
        <f>1+YTDrtrns!C230</f>
        <v>0.98666669614613056</v>
      </c>
      <c r="C228">
        <f>1+YTDrtrns!D230</f>
        <v>0.99826835875865072</v>
      </c>
      <c r="D228">
        <f>1+YTDrtrns!E230</f>
        <v>0.98931630048900843</v>
      </c>
      <c r="E228">
        <f>1+YTDrtrns!F230</f>
        <v>0.9813711903989315</v>
      </c>
      <c r="F228">
        <f>1+YTDrtrns!G230</f>
        <v>1.0086791347712278</v>
      </c>
      <c r="G228">
        <f>1+YTDrtrns!H230</f>
        <v>0.99995318163928459</v>
      </c>
      <c r="H228">
        <f>1+YTDrtrns!I230</f>
        <v>0.99670996563509107</v>
      </c>
      <c r="I228">
        <f>1+YTDrtrns!J230</f>
        <v>0.97734455578029156</v>
      </c>
      <c r="J228">
        <f>1+YTDrtrns!K230</f>
        <v>1.009941996075213</v>
      </c>
    </row>
    <row r="229" spans="1:10" x14ac:dyDescent="0.25">
      <c r="A229">
        <f>1+YTDrtrns!B231</f>
        <v>0.98979587946087122</v>
      </c>
      <c r="B229">
        <f>1+YTDrtrns!C231</f>
        <v>1.01351348310709</v>
      </c>
      <c r="C229">
        <f>1+YTDrtrns!D231</f>
        <v>0.99219426279887557</v>
      </c>
      <c r="D229">
        <f>1+YTDrtrns!E231</f>
        <v>0.99784012348391116</v>
      </c>
      <c r="E229">
        <f>1+YTDrtrns!F231</f>
        <v>1.0054553314112127</v>
      </c>
      <c r="F229">
        <f>1+YTDrtrns!G231</f>
        <v>0.98682447243481874</v>
      </c>
      <c r="G229">
        <f>1+YTDrtrns!H231</f>
        <v>0.96758504584431648</v>
      </c>
      <c r="H229">
        <f>1+YTDrtrns!I231</f>
        <v>0.97437914088368416</v>
      </c>
      <c r="I229">
        <f>1+YTDrtrns!J231</f>
        <v>1.0285714659839869</v>
      </c>
      <c r="J229">
        <f>1+YTDrtrns!K231</f>
        <v>0.98769486229866743</v>
      </c>
    </row>
    <row r="230" spans="1:10" x14ac:dyDescent="0.25">
      <c r="A230">
        <f>1+YTDrtrns!B232</f>
        <v>1.0092783663421869</v>
      </c>
      <c r="B230">
        <f>1+YTDrtrns!C232</f>
        <v>1.0007017704192549</v>
      </c>
      <c r="C230">
        <f>1+YTDrtrns!D232</f>
        <v>0.99810610059648752</v>
      </c>
      <c r="D230">
        <f>1+YTDrtrns!E232</f>
        <v>0.99242427526041865</v>
      </c>
      <c r="E230">
        <f>1+YTDrtrns!F232</f>
        <v>1.0079172179102898</v>
      </c>
      <c r="F230">
        <f>1+YTDrtrns!G232</f>
        <v>0.99509535962715745</v>
      </c>
      <c r="G230">
        <f>1+YTDrtrns!H232</f>
        <v>1</v>
      </c>
      <c r="H230">
        <f>1+YTDrtrns!I232</f>
        <v>1.0020998395048082</v>
      </c>
      <c r="I230">
        <f>1+YTDrtrns!J232</f>
        <v>1.026205450296402</v>
      </c>
      <c r="J230">
        <f>1+YTDrtrns!K232</f>
        <v>1.0166112799197435</v>
      </c>
    </row>
    <row r="231" spans="1:10" x14ac:dyDescent="0.25">
      <c r="A231">
        <f>1+YTDrtrns!B233</f>
        <v>0.99693567585200071</v>
      </c>
      <c r="B231">
        <f>1+YTDrtrns!C233</f>
        <v>0.98807853646576405</v>
      </c>
      <c r="C231">
        <f>1+YTDrtrns!D233</f>
        <v>1.0259815901517868</v>
      </c>
      <c r="D231">
        <f>1+YTDrtrns!E233</f>
        <v>0.98964010179042816</v>
      </c>
      <c r="E231">
        <f>1+YTDrtrns!F233</f>
        <v>1.0176874548196793</v>
      </c>
      <c r="F231">
        <f>1+YTDrtrns!G233</f>
        <v>1.0199890341609716</v>
      </c>
      <c r="G231">
        <f>1+YTDrtrns!H233</f>
        <v>1.0096683744341135</v>
      </c>
      <c r="H231">
        <f>1+YTDrtrns!I233</f>
        <v>1.0090263951569796</v>
      </c>
      <c r="I231">
        <f>1+YTDrtrns!J233</f>
        <v>0.98212459683418274</v>
      </c>
      <c r="J231">
        <f>1+YTDrtrns!K233</f>
        <v>0.99754904140718281</v>
      </c>
    </row>
    <row r="232" spans="1:10" x14ac:dyDescent="0.25">
      <c r="A232">
        <f>1+YTDrtrns!B234</f>
        <v>1.0184425562620163</v>
      </c>
      <c r="B232">
        <f>1+YTDrtrns!C234</f>
        <v>1.0134847108274698</v>
      </c>
      <c r="C232">
        <f>1+YTDrtrns!D234</f>
        <v>0.9960165205411613</v>
      </c>
      <c r="D232">
        <f>1+YTDrtrns!E234</f>
        <v>1.0022039073519409</v>
      </c>
      <c r="E232">
        <f>1+YTDrtrns!F234</f>
        <v>1.0244507938623428</v>
      </c>
      <c r="F232">
        <f>1+YTDrtrns!G234</f>
        <v>1.0453690923750401</v>
      </c>
      <c r="G232">
        <f>1+YTDrtrns!H234</f>
        <v>1.0344249866902828</v>
      </c>
      <c r="H232">
        <f>1+YTDrtrns!I234</f>
        <v>0.99888179393019527</v>
      </c>
      <c r="I232">
        <f>1+YTDrtrns!J234</f>
        <v>1.0629225671291351</v>
      </c>
      <c r="J232">
        <f>1+YTDrtrns!K234</f>
        <v>1.017199020832777</v>
      </c>
    </row>
    <row r="233" spans="1:10" x14ac:dyDescent="0.25">
      <c r="A233">
        <f>1+YTDrtrns!B235</f>
        <v>1.0100604007020593</v>
      </c>
      <c r="B233">
        <f>1+YTDrtrns!C235</f>
        <v>0.97829135321080685</v>
      </c>
      <c r="C233">
        <f>1+YTDrtrns!D235</f>
        <v>1.0101413950324059</v>
      </c>
      <c r="D233">
        <f>1+YTDrtrns!E235</f>
        <v>0.99340292252600193</v>
      </c>
      <c r="E233">
        <f>1+YTDrtrns!F235</f>
        <v>1.0023182425647974</v>
      </c>
      <c r="F233">
        <f>1+YTDrtrns!G235</f>
        <v>1.0238829050213099</v>
      </c>
      <c r="G233">
        <f>1+YTDrtrns!H235</f>
        <v>1.0116639863699675</v>
      </c>
      <c r="H233">
        <f>1+YTDrtrns!I235</f>
        <v>1.0308651905506849</v>
      </c>
      <c r="I233">
        <f>1+YTDrtrns!J235</f>
        <v>0.99412911757826805</v>
      </c>
      <c r="J233">
        <f>1+YTDrtrns!K235</f>
        <v>1.0144927781075239</v>
      </c>
    </row>
    <row r="234" spans="1:10" x14ac:dyDescent="0.25">
      <c r="A234">
        <f>1+YTDrtrns!B236</f>
        <v>0.97310761921107769</v>
      </c>
      <c r="B234">
        <f>1+YTDrtrns!C236</f>
        <v>0.99212594050914049</v>
      </c>
      <c r="C234">
        <f>1+YTDrtrns!D236</f>
        <v>0.9946266277693212</v>
      </c>
      <c r="D234">
        <f>1+YTDrtrns!E236</f>
        <v>1.007194303907454</v>
      </c>
      <c r="E234">
        <f>1+YTDrtrns!F236</f>
        <v>0.99038056284189224</v>
      </c>
      <c r="F234">
        <f>1+YTDrtrns!G236</f>
        <v>0.98821175284683704</v>
      </c>
      <c r="G234">
        <f>1+YTDrtrns!H236</f>
        <v>1.010660138912499</v>
      </c>
      <c r="H234">
        <f>1+YTDrtrns!I236</f>
        <v>0.98371084034442902</v>
      </c>
      <c r="I234">
        <f>1+YTDrtrns!J236</f>
        <v>0.98720471281558275</v>
      </c>
      <c r="J234">
        <f>1+YTDrtrns!K236</f>
        <v>0.97936506196856499</v>
      </c>
    </row>
    <row r="235" spans="1:10" x14ac:dyDescent="0.25">
      <c r="A235">
        <f>1+YTDrtrns!B237</f>
        <v>1.0051176287233829</v>
      </c>
      <c r="B235">
        <f>1+YTDrtrns!C237</f>
        <v>1.0079365521669388</v>
      </c>
      <c r="C235">
        <f>1+YTDrtrns!D237</f>
        <v>0.9877737695351243</v>
      </c>
      <c r="D235">
        <f>1+YTDrtrns!E237</f>
        <v>1.0131868002936244</v>
      </c>
      <c r="E235">
        <f>1+YTDrtrns!F237</f>
        <v>0.99824849097058177</v>
      </c>
      <c r="F235">
        <f>1+YTDrtrns!G237</f>
        <v>0.99390858691185713</v>
      </c>
      <c r="G235">
        <f>1+YTDrtrns!H237</f>
        <v>1.0009054423426278</v>
      </c>
      <c r="H235">
        <f>1+YTDrtrns!I237</f>
        <v>1.0083582838997245</v>
      </c>
      <c r="I235">
        <f>1+YTDrtrns!J237</f>
        <v>0.99351948313415051</v>
      </c>
      <c r="J235">
        <f>1+YTDrtrns!K237</f>
        <v>1.0032414880115539</v>
      </c>
    </row>
    <row r="236" spans="1:10" x14ac:dyDescent="0.25">
      <c r="A236">
        <f>1+YTDrtrns!B238</f>
        <v>0.99287172127515078</v>
      </c>
      <c r="B236">
        <f>1+YTDrtrns!C238</f>
        <v>0.9842519499361515</v>
      </c>
      <c r="C236">
        <f>1+YTDrtrns!D238</f>
        <v>0.99050081148743629</v>
      </c>
      <c r="D236">
        <f>1+YTDrtrns!E238</f>
        <v>1.0238610953092575</v>
      </c>
      <c r="E236">
        <f>1+YTDrtrns!F238</f>
        <v>1.0043066651560366</v>
      </c>
      <c r="F236">
        <f>1+YTDrtrns!G238</f>
        <v>0.99846778926439583</v>
      </c>
      <c r="G236">
        <f>1+YTDrtrns!H238</f>
        <v>0.99194934964179993</v>
      </c>
      <c r="H236">
        <f>1+YTDrtrns!I238</f>
        <v>1.02017523907125</v>
      </c>
      <c r="I236">
        <f>1+YTDrtrns!J238</f>
        <v>1.0205719936639071</v>
      </c>
      <c r="J236">
        <f>1+YTDrtrns!K238</f>
        <v>1.0153473000973463</v>
      </c>
    </row>
    <row r="237" spans="1:10" x14ac:dyDescent="0.25">
      <c r="A237">
        <f>1+YTDrtrns!B239</f>
        <v>1.0133333448320627</v>
      </c>
      <c r="B237">
        <f>1+YTDrtrns!C239</f>
        <v>1.0225454848259687</v>
      </c>
      <c r="C237">
        <f>1+YTDrtrns!D239</f>
        <v>1.000290564406896</v>
      </c>
      <c r="D237">
        <f>1+YTDrtrns!E239</f>
        <v>1.0010593463666737</v>
      </c>
      <c r="E237">
        <f>1+YTDrtrns!F239</f>
        <v>0.98798240069299936</v>
      </c>
      <c r="F237">
        <f>1+YTDrtrns!G239</f>
        <v>0.99462917912751436</v>
      </c>
      <c r="G237">
        <f>1+YTDrtrns!H239</f>
        <v>1.0232536513358355</v>
      </c>
      <c r="H237">
        <f>1+YTDrtrns!I239</f>
        <v>1.0016862329794094</v>
      </c>
      <c r="I237">
        <f>1+YTDrtrns!J239</f>
        <v>1.0186823569238186</v>
      </c>
      <c r="J237">
        <f>1+YTDrtrns!K239</f>
        <v>1.0095465304329991</v>
      </c>
    </row>
    <row r="238" spans="1:10" x14ac:dyDescent="0.25">
      <c r="A238">
        <f>1+YTDrtrns!B240</f>
        <v>0.99493925180286169</v>
      </c>
      <c r="B238">
        <f>1+YTDrtrns!C240</f>
        <v>1.0035561334807426</v>
      </c>
      <c r="C238">
        <f>1+YTDrtrns!D240</f>
        <v>1.0127833373844624</v>
      </c>
      <c r="D238">
        <f>1+YTDrtrns!E240</f>
        <v>1.0232804529368877</v>
      </c>
      <c r="E238">
        <f>1+YTDrtrns!F240</f>
        <v>1.0324188359081745</v>
      </c>
      <c r="F238">
        <f>1+YTDrtrns!G240</f>
        <v>1.0082283290103078</v>
      </c>
      <c r="G238">
        <f>1+YTDrtrns!H240</f>
        <v>1.0125211551785469</v>
      </c>
      <c r="H238">
        <f>1+YTDrtrns!I240</f>
        <v>1.0137741286307573</v>
      </c>
      <c r="I238">
        <f>1+YTDrtrns!J240</f>
        <v>0.98648654483258724</v>
      </c>
      <c r="J238">
        <f>1+YTDrtrns!K240</f>
        <v>1.003152085468173</v>
      </c>
    </row>
    <row r="239" spans="1:10" x14ac:dyDescent="0.25">
      <c r="A239">
        <f>1+YTDrtrns!B241</f>
        <v>0.9888098007068038</v>
      </c>
      <c r="B239">
        <f>1+YTDrtrns!C241</f>
        <v>1.0106307994574308</v>
      </c>
      <c r="C239">
        <f>1+YTDrtrns!D241</f>
        <v>1.0031554964371026</v>
      </c>
      <c r="D239">
        <f>1+YTDrtrns!E241</f>
        <v>1.050155084580183</v>
      </c>
      <c r="E239">
        <f>1+YTDrtrns!F241</f>
        <v>1.0016089560231194</v>
      </c>
      <c r="F239">
        <f>1+YTDrtrns!G241</f>
        <v>1.0135170267894864</v>
      </c>
      <c r="G239">
        <f>1+YTDrtrns!H241</f>
        <v>1.028869416564703</v>
      </c>
      <c r="H239">
        <f>1+YTDrtrns!I241</f>
        <v>1.0102657051756978</v>
      </c>
      <c r="I239">
        <f>1+YTDrtrns!J241</f>
        <v>0.98972597904503345</v>
      </c>
      <c r="J239">
        <f>1+YTDrtrns!K241</f>
        <v>1.0015711279120296</v>
      </c>
    </row>
    <row r="240" spans="1:10" x14ac:dyDescent="0.25">
      <c r="A240">
        <f>1+YTDrtrns!B242</f>
        <v>0.99176955502480268</v>
      </c>
      <c r="B240">
        <f>1+YTDrtrns!C242</f>
        <v>1.0287517420947552</v>
      </c>
      <c r="C240">
        <f>1+YTDrtrns!D242</f>
        <v>1.0055761993862689</v>
      </c>
      <c r="D240">
        <f>1+YTDrtrns!E242</f>
        <v>1.2821271121501923</v>
      </c>
      <c r="E240">
        <f>1+YTDrtrns!F242</f>
        <v>1.0157011020928621</v>
      </c>
      <c r="F240">
        <f>1+YTDrtrns!G242</f>
        <v>0.99943381588673219</v>
      </c>
      <c r="G240">
        <f>1+YTDrtrns!H242</f>
        <v>1.0083408709615469</v>
      </c>
      <c r="H240">
        <f>1+YTDrtrns!I242</f>
        <v>1.0067245154641569</v>
      </c>
      <c r="I240">
        <f>1+YTDrtrns!J242</f>
        <v>1.0746416375041008</v>
      </c>
      <c r="J240">
        <f>1+YTDrtrns!K242</f>
        <v>1.0486274436116219</v>
      </c>
    </row>
    <row r="241" spans="1:10" x14ac:dyDescent="0.25">
      <c r="A241">
        <f>1+YTDrtrns!B243</f>
        <v>1.0103733846917748</v>
      </c>
      <c r="B241">
        <f>1+YTDrtrns!C243</f>
        <v>1.0163599029183388</v>
      </c>
      <c r="C241">
        <f>1+YTDrtrns!D243</f>
        <v>0.97668136842548847</v>
      </c>
      <c r="D241">
        <f>1+YTDrtrns!E243</f>
        <v>0.8809523731470108</v>
      </c>
      <c r="E241">
        <f>1+YTDrtrns!F243</f>
        <v>1.0291821919381618</v>
      </c>
      <c r="F241">
        <f>1+YTDrtrns!G243</f>
        <v>0.97766494750976563</v>
      </c>
      <c r="G241">
        <f>1+YTDrtrns!H243</f>
        <v>1.0025875989813358</v>
      </c>
      <c r="H241">
        <f>1+YTDrtrns!I243</f>
        <v>1.0572955384850502</v>
      </c>
      <c r="I241">
        <f>1+YTDrtrns!J243</f>
        <v>1.0257589444518089</v>
      </c>
      <c r="J241">
        <f>1+YTDrtrns!K243</f>
        <v>1.0134629998356104</v>
      </c>
    </row>
    <row r="242" spans="1:10" x14ac:dyDescent="0.25">
      <c r="A242">
        <f>1+YTDrtrns!B244</f>
        <v>1.0082135442644358</v>
      </c>
      <c r="B242">
        <f>1+YTDrtrns!C244</f>
        <v>0.99262242391705513</v>
      </c>
      <c r="C242">
        <f>1+YTDrtrns!D244</f>
        <v>0.98995483480393887</v>
      </c>
      <c r="D242">
        <f>1+YTDrtrns!E244</f>
        <v>0.99389706645160913</v>
      </c>
      <c r="E242">
        <f>1+YTDrtrns!F244</f>
        <v>1.0024290166329592</v>
      </c>
      <c r="F242">
        <f>1+YTDrtrns!G244</f>
        <v>0.97170300781726837</v>
      </c>
      <c r="G242">
        <f>1+YTDrtrns!H244</f>
        <v>0.98853392619639635</v>
      </c>
      <c r="H242">
        <f>1+YTDrtrns!I244</f>
        <v>0.99831527809146792</v>
      </c>
      <c r="I242">
        <f>1+YTDrtrns!J244</f>
        <v>0.96681615337729454</v>
      </c>
      <c r="J242">
        <f>1+YTDrtrns!K244</f>
        <v>1.0140221090987325</v>
      </c>
    </row>
    <row r="243" spans="1:10" x14ac:dyDescent="0.25">
      <c r="A243">
        <f>1+YTDrtrns!B245</f>
        <v>0.9969450372736901</v>
      </c>
      <c r="B243">
        <f>1+YTDrtrns!C245</f>
        <v>1.0466215908527374</v>
      </c>
      <c r="C243">
        <f>1+YTDrtrns!D245</f>
        <v>1.0073529412038624</v>
      </c>
      <c r="D243">
        <f>1+YTDrtrns!E245</f>
        <v>0.92368421703577042</v>
      </c>
      <c r="E243">
        <f>1+YTDrtrns!F245</f>
        <v>0.98140641674399376</v>
      </c>
      <c r="F243">
        <f>1+YTDrtrns!G245</f>
        <v>1</v>
      </c>
      <c r="G243">
        <f>1+YTDrtrns!H245</f>
        <v>1.007575775962323</v>
      </c>
      <c r="H243">
        <f>1+YTDrtrns!I245</f>
        <v>0.99479675525799394</v>
      </c>
      <c r="I243">
        <f>1+YTDrtrns!J245</f>
        <v>1.0037105716764927</v>
      </c>
      <c r="J243">
        <f>1+YTDrtrns!K245</f>
        <v>1.0043668430298567</v>
      </c>
    </row>
    <row r="244" spans="1:10" x14ac:dyDescent="0.25">
      <c r="A244">
        <f>1+YTDrtrns!B246</f>
        <v>1.0163431912660599</v>
      </c>
      <c r="B244">
        <f>1+YTDrtrns!C246</f>
        <v>0.98773404862731695</v>
      </c>
      <c r="C244">
        <f>1+YTDrtrns!D246</f>
        <v>1.0058394381776452</v>
      </c>
      <c r="D244">
        <f>1+YTDrtrns!E246</f>
        <v>1.0322887152433395</v>
      </c>
      <c r="E244">
        <f>1+YTDrtrns!F246</f>
        <v>1.0020154886879027</v>
      </c>
      <c r="F244">
        <f>1+YTDrtrns!G246</f>
        <v>1.0077478201128542</v>
      </c>
      <c r="G244">
        <f>1+YTDrtrns!H246</f>
        <v>1.0372541062533855</v>
      </c>
      <c r="H244">
        <f>1+YTDrtrns!I246</f>
        <v>1.022900803014636</v>
      </c>
      <c r="I244">
        <f>1+YTDrtrns!J246</f>
        <v>1.0161737706512213</v>
      </c>
      <c r="J244">
        <f>1+YTDrtrns!K246</f>
        <v>1.0181159414350986</v>
      </c>
    </row>
    <row r="245" spans="1:10" x14ac:dyDescent="0.25">
      <c r="A245">
        <f>1+YTDrtrns!B247</f>
        <v>1</v>
      </c>
      <c r="B245">
        <f>1+YTDrtrns!C247</f>
        <v>0.96013068035244942</v>
      </c>
      <c r="C245">
        <f>1+YTDrtrns!D247</f>
        <v>0.98853409476578236</v>
      </c>
      <c r="D245">
        <f>1+YTDrtrns!E247</f>
        <v>0.96458139643073082</v>
      </c>
      <c r="E245">
        <f>1+YTDrtrns!F247</f>
        <v>0.99356331722810864</v>
      </c>
      <c r="F245">
        <f>1+YTDrtrns!G247</f>
        <v>0.98939550574868917</v>
      </c>
      <c r="G245">
        <f>1+YTDrtrns!H247</f>
        <v>0.98370056599378586</v>
      </c>
      <c r="H245">
        <f>1+YTDrtrns!I247</f>
        <v>0.99198449682444334</v>
      </c>
      <c r="I245">
        <f>1+YTDrtrns!J247</f>
        <v>0.99181444756686687</v>
      </c>
      <c r="J245">
        <f>1+YTDrtrns!K247</f>
        <v>0.99288253532722592</v>
      </c>
    </row>
    <row r="246" spans="1:10" x14ac:dyDescent="0.25">
      <c r="A246">
        <f>1+YTDrtrns!B248</f>
        <v>1.0100502893328667</v>
      </c>
      <c r="B246">
        <f>1+YTDrtrns!C248</f>
        <v>1.0054459413513541</v>
      </c>
      <c r="C246">
        <f>1+YTDrtrns!D248</f>
        <v>1.0060196155682206</v>
      </c>
      <c r="D246">
        <f>1+YTDrtrns!E248</f>
        <v>0.99904632562538609</v>
      </c>
      <c r="E246">
        <f>1+YTDrtrns!F248</f>
        <v>1.0154873849824071</v>
      </c>
      <c r="F246">
        <f>1+YTDrtrns!G248</f>
        <v>1.0042872414924204</v>
      </c>
      <c r="G246">
        <f>1+YTDrtrns!H248</f>
        <v>1.022689413279295</v>
      </c>
      <c r="H246">
        <f>1+YTDrtrns!I248</f>
        <v>1.0084981974214315</v>
      </c>
      <c r="I246">
        <f>1+YTDrtrns!J248</f>
        <v>1.0123796639963984</v>
      </c>
      <c r="J246">
        <f>1+YTDrtrns!K248</f>
        <v>1.019354872405529</v>
      </c>
    </row>
    <row r="247" spans="1:10" x14ac:dyDescent="0.25">
      <c r="A247">
        <f>1+YTDrtrns!B249</f>
        <v>0.99502485664561391</v>
      </c>
      <c r="B247">
        <f>1+YTDrtrns!C249</f>
        <v>0.99052130430936813</v>
      </c>
      <c r="C247">
        <f>1+YTDrtrns!D249</f>
        <v>1.0040864916518331</v>
      </c>
      <c r="D247">
        <f>1+YTDrtrns!E249</f>
        <v>1.0219569969922304</v>
      </c>
      <c r="E247">
        <f>1+YTDrtrns!F249</f>
        <v>1.0052830819040537</v>
      </c>
      <c r="F247">
        <f>1+YTDrtrns!G249</f>
        <v>1.0042689396068454</v>
      </c>
      <c r="G247">
        <f>1+YTDrtrns!H249</f>
        <v>1.0150213818997145</v>
      </c>
      <c r="H247">
        <f>1+YTDrtrns!I249</f>
        <v>1.014090402983129</v>
      </c>
      <c r="I247">
        <f>1+YTDrtrns!J249</f>
        <v>1.0067934608086944</v>
      </c>
      <c r="J247">
        <f>1+YTDrtrns!K249</f>
        <v>0.99507731013000011</v>
      </c>
    </row>
    <row r="248" spans="1:10" x14ac:dyDescent="0.25">
      <c r="A248">
        <f>1+YTDrtrns!B250</f>
        <v>1</v>
      </c>
      <c r="B248">
        <f>1+YTDrtrns!C250</f>
        <v>1.0444292277097702</v>
      </c>
      <c r="C248">
        <f>1+YTDrtrns!D250</f>
        <v>1.002761552343145</v>
      </c>
      <c r="D248">
        <f>1+YTDrtrns!E250</f>
        <v>1.0392340086400509</v>
      </c>
      <c r="E248">
        <f>1+YTDrtrns!F250</f>
        <v>1.0053544961847365</v>
      </c>
      <c r="F248">
        <f>1+YTDrtrns!G250</f>
        <v>1.0002657315635588</v>
      </c>
      <c r="G248">
        <f>1+YTDrtrns!H250</f>
        <v>1.0121922213584185</v>
      </c>
      <c r="H248">
        <f>1+YTDrtrns!I250</f>
        <v>1.0100803412497044</v>
      </c>
      <c r="I248">
        <f>1+YTDrtrns!J250</f>
        <v>1.0098965913057327</v>
      </c>
      <c r="J248">
        <f>1+YTDrtrns!K250</f>
        <v>1.014840992167592</v>
      </c>
    </row>
    <row r="249" spans="1:10" x14ac:dyDescent="0.25">
      <c r="A249">
        <f>1+YTDrtrns!B251</f>
        <v>1.0039999959990382</v>
      </c>
      <c r="B249">
        <f>1+YTDrtrns!C251</f>
        <v>0.99345553480088711</v>
      </c>
      <c r="C249">
        <f>1+YTDrtrns!D251</f>
        <v>1.0027540577575564</v>
      </c>
      <c r="D249">
        <f>1+YTDrtrns!E251</f>
        <v>0.99325844412669539</v>
      </c>
      <c r="E249">
        <f>1+YTDrtrns!F251</f>
        <v>0.99738633609376848</v>
      </c>
      <c r="F249">
        <f>1+YTDrtrns!G251</f>
        <v>1.0114209903404117</v>
      </c>
      <c r="G249">
        <f>1+YTDrtrns!H251</f>
        <v>1.007805694360286</v>
      </c>
      <c r="H249">
        <f>1+YTDrtrns!I251</f>
        <v>1.0008091376512311</v>
      </c>
      <c r="I249">
        <f>1+YTDrtrns!J251</f>
        <v>0.99510019551962614</v>
      </c>
      <c r="J249">
        <f>1+YTDrtrns!K251</f>
        <v>1.0153203532099724</v>
      </c>
    </row>
    <row r="250" spans="1:10" x14ac:dyDescent="0.25">
      <c r="A250">
        <f>1+YTDrtrns!B252</f>
        <v>0.99800801742821932</v>
      </c>
      <c r="B250">
        <f>1+YTDrtrns!C252</f>
        <v>0.9927535830065608</v>
      </c>
      <c r="C250">
        <f>1+YTDrtrns!D252</f>
        <v>1.0041919760406017</v>
      </c>
      <c r="D250">
        <f>1+YTDrtrns!E252</f>
        <v>0.99773750477470458</v>
      </c>
      <c r="E250">
        <f>1+YTDrtrns!F252</f>
        <v>0.99807169649284333</v>
      </c>
      <c r="F250">
        <f>1+YTDrtrns!G252</f>
        <v>0.99317221296951175</v>
      </c>
      <c r="G250">
        <f>1+YTDrtrns!H252</f>
        <v>0.9877333976328373</v>
      </c>
      <c r="H250">
        <f>1+YTDrtrns!I252</f>
        <v>1.0002695630246308</v>
      </c>
      <c r="I250">
        <f>1+YTDrtrns!J252</f>
        <v>1.0058191209100187</v>
      </c>
      <c r="J250">
        <f>1+YTDrtrns!K252</f>
        <v>0.98971195984631777</v>
      </c>
    </row>
    <row r="251" spans="1:10" x14ac:dyDescent="0.25">
      <c r="A251">
        <f>1+YTDrtrns!B253</f>
        <v>1.0049899434670806</v>
      </c>
      <c r="B251">
        <f>1+YTDrtrns!C253</f>
        <v>0.98672861233353615</v>
      </c>
      <c r="C251">
        <f>1+YTDrtrns!D253</f>
        <v>1.0017272940604016</v>
      </c>
      <c r="D251">
        <f>1+YTDrtrns!E253</f>
        <v>0.99773246073164046</v>
      </c>
      <c r="E251">
        <f>1+YTDrtrns!F253</f>
        <v>0.98949769604951143</v>
      </c>
      <c r="F251">
        <f>1+YTDrtrns!G253</f>
        <v>0.9865151159465313</v>
      </c>
      <c r="G251">
        <f>1+YTDrtrns!H253</f>
        <v>0.98399876989424229</v>
      </c>
      <c r="H251">
        <f>1+YTDrtrns!I253</f>
        <v>0.99515020102262497</v>
      </c>
      <c r="I251">
        <f>1+YTDrtrns!J253</f>
        <v>0.97997334785759449</v>
      </c>
      <c r="J251">
        <f>1+YTDrtrns!K253</f>
        <v>0.98406095057725906</v>
      </c>
    </row>
    <row r="2943" spans="532:532" x14ac:dyDescent="0.25">
      <c r="TL2943">
        <v>80679969</v>
      </c>
    </row>
  </sheetData>
  <pageMargins left="0.7" right="0.7" top="0.75" bottom="0.75" header="0.3" footer="0.3"/>
  <ignoredErrors>
    <ignoredError sqref="N10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F0060-965A-4CBF-AD5A-0FA8D4D6949F}">
  <sheetPr codeName="Sheet8"/>
  <dimension ref="A1:TL2943"/>
  <sheetViews>
    <sheetView topLeftCell="A151" workbookViewId="0">
      <selection activeCell="B169" sqref="B169"/>
    </sheetView>
  </sheetViews>
  <sheetFormatPr defaultRowHeight="15" x14ac:dyDescent="0.25"/>
  <cols>
    <col min="1" max="1" width="13.28515625" bestFit="1" customWidth="1"/>
    <col min="2" max="2" width="10" bestFit="1" customWidth="1"/>
    <col min="532" max="532" width="0" hidden="1" customWidth="1"/>
  </cols>
  <sheetData>
    <row r="1" spans="1:4" x14ac:dyDescent="0.25">
      <c r="A1" t="s">
        <v>27</v>
      </c>
      <c r="B1">
        <f>Portfolio!J1</f>
        <v>5.1215890225123566</v>
      </c>
    </row>
    <row r="2" spans="1:4" x14ac:dyDescent="0.25">
      <c r="B2" t="s">
        <v>4</v>
      </c>
    </row>
    <row r="3" spans="1:4" x14ac:dyDescent="0.25">
      <c r="A3" s="3">
        <f>YTDrtrns!A4</f>
        <v>44929</v>
      </c>
      <c r="B3">
        <f>B1*YTDrtrns!N4</f>
        <v>5.1382289795205809</v>
      </c>
    </row>
    <row r="4" spans="1:4" x14ac:dyDescent="0.25">
      <c r="A4" s="3">
        <f>YTDrtrns!A5</f>
        <v>44930</v>
      </c>
      <c r="B4">
        <f>B3*YTDrtrns!N5</f>
        <v>5.1647983215989655</v>
      </c>
    </row>
    <row r="5" spans="1:4" x14ac:dyDescent="0.25">
      <c r="A5" s="3">
        <f>YTDrtrns!A6</f>
        <v>44931</v>
      </c>
      <c r="B5">
        <f>B4*YTDrtrns!N6</f>
        <v>5.1150550991605188</v>
      </c>
    </row>
    <row r="6" spans="1:4" x14ac:dyDescent="0.25">
      <c r="A6" s="3">
        <f>YTDrtrns!A7</f>
        <v>44932</v>
      </c>
      <c r="B6">
        <f>B5*YTDrtrns!N7</f>
        <v>5.2539798475470247</v>
      </c>
    </row>
    <row r="7" spans="1:4" x14ac:dyDescent="0.25">
      <c r="A7" s="3">
        <f>YTDrtrns!A8</f>
        <v>44935</v>
      </c>
      <c r="B7">
        <f>B6*YTDrtrns!N8</f>
        <v>5.2616251420105185</v>
      </c>
    </row>
    <row r="8" spans="1:4" x14ac:dyDescent="0.25">
      <c r="A8" s="3">
        <f>YTDrtrns!A9</f>
        <v>44936</v>
      </c>
      <c r="B8">
        <f>B7*YTDrtrns!N9</f>
        <v>5.3020504012650536</v>
      </c>
    </row>
    <row r="9" spans="1:4" x14ac:dyDescent="0.25">
      <c r="A9" s="3">
        <f>YTDrtrns!A10</f>
        <v>44937</v>
      </c>
      <c r="B9">
        <f>B8*YTDrtrns!N10</f>
        <v>5.3720672955994724</v>
      </c>
    </row>
    <row r="10" spans="1:4" x14ac:dyDescent="0.25">
      <c r="A10" s="3">
        <f>YTDrtrns!A11</f>
        <v>44938</v>
      </c>
      <c r="B10">
        <f>B9*YTDrtrns!N11</f>
        <v>5.4228153478654813</v>
      </c>
      <c r="D10" s="2">
        <v>80679969</v>
      </c>
    </row>
    <row r="11" spans="1:4" x14ac:dyDescent="0.25">
      <c r="A11" s="3">
        <f>YTDrtrns!A12</f>
        <v>44939</v>
      </c>
      <c r="B11">
        <f>B10*YTDrtrns!N12</f>
        <v>5.4403432492469479</v>
      </c>
    </row>
    <row r="12" spans="1:4" x14ac:dyDescent="0.25">
      <c r="A12" s="3">
        <f>YTDrtrns!A13</f>
        <v>44943</v>
      </c>
      <c r="B12">
        <f>B11*YTDrtrns!N13</f>
        <v>5.4271948766092821</v>
      </c>
    </row>
    <row r="13" spans="1:4" x14ac:dyDescent="0.25">
      <c r="A13" s="3">
        <f>YTDrtrns!A14</f>
        <v>44944</v>
      </c>
      <c r="B13">
        <f>B12*YTDrtrns!N14</f>
        <v>5.4300823263428475</v>
      </c>
    </row>
    <row r="14" spans="1:4" x14ac:dyDescent="0.25">
      <c r="A14" s="3">
        <f>YTDrtrns!A15</f>
        <v>44945</v>
      </c>
      <c r="B14">
        <f>B13*YTDrtrns!N15</f>
        <v>5.3656619639906502</v>
      </c>
    </row>
    <row r="15" spans="1:4" x14ac:dyDescent="0.25">
      <c r="A15" s="3">
        <f>YTDrtrns!A16</f>
        <v>44946</v>
      </c>
      <c r="B15">
        <f>B14*YTDrtrns!N16</f>
        <v>5.4483322680705664</v>
      </c>
    </row>
    <row r="16" spans="1:4" x14ac:dyDescent="0.25">
      <c r="A16" s="3">
        <f>YTDrtrns!A17</f>
        <v>44949</v>
      </c>
      <c r="B16">
        <f>B15*YTDrtrns!N17</f>
        <v>5.5098277843920824</v>
      </c>
    </row>
    <row r="17" spans="1:2" x14ac:dyDescent="0.25">
      <c r="A17" s="3">
        <f>YTDrtrns!A18</f>
        <v>44950</v>
      </c>
      <c r="B17">
        <f>B16*YTDrtrns!N18</f>
        <v>5.47696776342777</v>
      </c>
    </row>
    <row r="18" spans="1:2" x14ac:dyDescent="0.25">
      <c r="A18" s="3">
        <f>YTDrtrns!A19</f>
        <v>44951</v>
      </c>
      <c r="B18">
        <f>B17*YTDrtrns!N19</f>
        <v>5.4434654038988857</v>
      </c>
    </row>
    <row r="19" spans="1:2" x14ac:dyDescent="0.25">
      <c r="A19" s="3">
        <f>YTDrtrns!A20</f>
        <v>44952</v>
      </c>
      <c r="B19">
        <f>B18*YTDrtrns!N20</f>
        <v>5.4445183718356258</v>
      </c>
    </row>
    <row r="20" spans="1:2" x14ac:dyDescent="0.25">
      <c r="A20" s="3">
        <f>YTDrtrns!A21</f>
        <v>44953</v>
      </c>
      <c r="B20">
        <f>B19*YTDrtrns!N21</f>
        <v>5.5180242782118594</v>
      </c>
    </row>
    <row r="21" spans="1:2" x14ac:dyDescent="0.25">
      <c r="A21" s="3">
        <f>YTDrtrns!A22</f>
        <v>44956</v>
      </c>
      <c r="B21">
        <f>B20*YTDrtrns!N22</f>
        <v>5.4373248644960306</v>
      </c>
    </row>
    <row r="22" spans="1:2" x14ac:dyDescent="0.25">
      <c r="A22" s="3">
        <f>YTDrtrns!A23</f>
        <v>44957</v>
      </c>
      <c r="B22">
        <f>B21*YTDrtrns!N23</f>
        <v>5.57406596708904</v>
      </c>
    </row>
    <row r="23" spans="1:2" x14ac:dyDescent="0.25">
      <c r="A23" s="3">
        <f>YTDrtrns!A24</f>
        <v>44958</v>
      </c>
      <c r="B23">
        <f>B22*YTDrtrns!N24</f>
        <v>5.7216761846920985</v>
      </c>
    </row>
    <row r="24" spans="1:2" x14ac:dyDescent="0.25">
      <c r="A24" s="3">
        <f>YTDrtrns!A25</f>
        <v>44959</v>
      </c>
      <c r="B24">
        <f>B23*YTDrtrns!N25</f>
        <v>5.8797364546717414</v>
      </c>
    </row>
    <row r="25" spans="1:2" x14ac:dyDescent="0.25">
      <c r="A25" s="3">
        <f>YTDrtrns!A26</f>
        <v>44960</v>
      </c>
      <c r="B25">
        <f>B24*YTDrtrns!N26</f>
        <v>5.8567696992703908</v>
      </c>
    </row>
    <row r="26" spans="1:2" x14ac:dyDescent="0.25">
      <c r="A26" s="3">
        <f>YTDrtrns!A27</f>
        <v>44963</v>
      </c>
      <c r="B26">
        <f>B25*YTDrtrns!N27</f>
        <v>5.8046039034819978</v>
      </c>
    </row>
    <row r="27" spans="1:2" x14ac:dyDescent="0.25">
      <c r="A27" s="3">
        <f>YTDrtrns!A28</f>
        <v>44964</v>
      </c>
      <c r="B27">
        <f>B26*YTDrtrns!N28</f>
        <v>5.8395958709675631</v>
      </c>
    </row>
    <row r="28" spans="1:2" x14ac:dyDescent="0.25">
      <c r="A28" s="3">
        <f>YTDrtrns!A29</f>
        <v>44965</v>
      </c>
      <c r="B28">
        <f>B27*YTDrtrns!N29</f>
        <v>5.762237348614236</v>
      </c>
    </row>
    <row r="29" spans="1:2" x14ac:dyDescent="0.25">
      <c r="A29" s="3">
        <f>YTDrtrns!A30</f>
        <v>44966</v>
      </c>
      <c r="B29">
        <f>B28*YTDrtrns!N30</f>
        <v>5.6441984774465421</v>
      </c>
    </row>
    <row r="30" spans="1:2" x14ac:dyDescent="0.25">
      <c r="A30" s="3">
        <f>YTDrtrns!A31</f>
        <v>44967</v>
      </c>
      <c r="B30">
        <f>B29*YTDrtrns!N31</f>
        <v>5.598533766064822</v>
      </c>
    </row>
    <row r="31" spans="1:2" x14ac:dyDescent="0.25">
      <c r="A31" s="3">
        <f>YTDrtrns!A32</f>
        <v>44970</v>
      </c>
      <c r="B31">
        <f>B30*YTDrtrns!N32</f>
        <v>5.6781522213770899</v>
      </c>
    </row>
    <row r="32" spans="1:2" x14ac:dyDescent="0.25">
      <c r="A32" s="3">
        <f>YTDrtrns!A33</f>
        <v>44971</v>
      </c>
      <c r="B32">
        <f>B31*YTDrtrns!N33</f>
        <v>5.6961663967325586</v>
      </c>
    </row>
    <row r="33" spans="1:2" x14ac:dyDescent="0.25">
      <c r="A33" s="3">
        <f>YTDrtrns!A34</f>
        <v>44972</v>
      </c>
      <c r="B33">
        <f>B32*YTDrtrns!N34</f>
        <v>5.6790416387959386</v>
      </c>
    </row>
    <row r="34" spans="1:2" x14ac:dyDescent="0.25">
      <c r="A34" s="3">
        <f>YTDrtrns!A35</f>
        <v>44973</v>
      </c>
      <c r="B34">
        <f>B33*YTDrtrns!N35</f>
        <v>5.5701603513654572</v>
      </c>
    </row>
    <row r="35" spans="1:2" x14ac:dyDescent="0.25">
      <c r="A35" s="3">
        <f>YTDrtrns!A36</f>
        <v>44974</v>
      </c>
      <c r="B35">
        <f>B34*YTDrtrns!N36</f>
        <v>5.6217923754592807</v>
      </c>
    </row>
    <row r="36" spans="1:2" x14ac:dyDescent="0.25">
      <c r="A36" s="3">
        <f>YTDrtrns!A37</f>
        <v>44978</v>
      </c>
      <c r="B36">
        <f>B35*YTDrtrns!N37</f>
        <v>5.469287363643514</v>
      </c>
    </row>
    <row r="37" spans="1:2" x14ac:dyDescent="0.25">
      <c r="A37" s="3">
        <f>YTDrtrns!A38</f>
        <v>44979</v>
      </c>
      <c r="B37">
        <f>B36*YTDrtrns!N38</f>
        <v>5.5183553585832819</v>
      </c>
    </row>
    <row r="38" spans="1:2" x14ac:dyDescent="0.25">
      <c r="A38" s="3">
        <f>YTDrtrns!A39</f>
        <v>44980</v>
      </c>
      <c r="B38">
        <f>B37*YTDrtrns!N39</f>
        <v>5.5372385497138916</v>
      </c>
    </row>
    <row r="39" spans="1:2" x14ac:dyDescent="0.25">
      <c r="A39" s="3">
        <f>YTDrtrns!A40</f>
        <v>44981</v>
      </c>
      <c r="B39">
        <f>B38*YTDrtrns!N40</f>
        <v>5.4943055666256164</v>
      </c>
    </row>
    <row r="40" spans="1:2" x14ac:dyDescent="0.25">
      <c r="A40" s="3">
        <f>YTDrtrns!A41</f>
        <v>44984</v>
      </c>
      <c r="B40">
        <f>B39*YTDrtrns!N41</f>
        <v>5.459855310693901</v>
      </c>
    </row>
    <row r="41" spans="1:2" x14ac:dyDescent="0.25">
      <c r="A41" s="3">
        <f>YTDrtrns!A42</f>
        <v>44985</v>
      </c>
      <c r="B41">
        <f>B40*YTDrtrns!N42</f>
        <v>5.5918453447111141</v>
      </c>
    </row>
    <row r="42" spans="1:2" x14ac:dyDescent="0.25">
      <c r="A42" s="3">
        <f>YTDrtrns!A43</f>
        <v>44986</v>
      </c>
      <c r="B42">
        <f>B41*YTDrtrns!N43</f>
        <v>5.6169229537916179</v>
      </c>
    </row>
    <row r="43" spans="1:2" x14ac:dyDescent="0.25">
      <c r="A43" s="3">
        <f>YTDrtrns!A44</f>
        <v>44987</v>
      </c>
      <c r="B43">
        <f>B42*YTDrtrns!N44</f>
        <v>5.6527522647474857</v>
      </c>
    </row>
    <row r="44" spans="1:2" x14ac:dyDescent="0.25">
      <c r="A44" s="3">
        <f>YTDrtrns!A45</f>
        <v>44988</v>
      </c>
      <c r="B44">
        <f>B43*YTDrtrns!N45</f>
        <v>5.7216004851107813</v>
      </c>
    </row>
    <row r="45" spans="1:2" x14ac:dyDescent="0.25">
      <c r="A45" s="3">
        <f>YTDrtrns!A46</f>
        <v>44991</v>
      </c>
      <c r="B45">
        <f>B44*YTDrtrns!N46</f>
        <v>5.6525084283275602</v>
      </c>
    </row>
    <row r="46" spans="1:2" x14ac:dyDescent="0.25">
      <c r="A46" s="3">
        <f>YTDrtrns!A47</f>
        <v>44992</v>
      </c>
      <c r="B46">
        <f>B45*YTDrtrns!N47</f>
        <v>5.5663768345248306</v>
      </c>
    </row>
    <row r="47" spans="1:2" x14ac:dyDescent="0.25">
      <c r="A47" s="3">
        <f>YTDrtrns!A48</f>
        <v>44993</v>
      </c>
      <c r="B47">
        <f>B46*YTDrtrns!N48</f>
        <v>5.5479378492253453</v>
      </c>
    </row>
    <row r="48" spans="1:2" x14ac:dyDescent="0.25">
      <c r="A48" s="3">
        <f>YTDrtrns!A49</f>
        <v>44994</v>
      </c>
      <c r="B48">
        <f>B47*YTDrtrns!N49</f>
        <v>5.4482560186810538</v>
      </c>
    </row>
    <row r="49" spans="1:2" x14ac:dyDescent="0.25">
      <c r="A49" s="3">
        <f>YTDrtrns!A50</f>
        <v>44995</v>
      </c>
      <c r="B49">
        <f>B48*YTDrtrns!N50</f>
        <v>5.3117217342216341</v>
      </c>
    </row>
    <row r="50" spans="1:2" x14ac:dyDescent="0.25">
      <c r="A50" s="3">
        <f>YTDrtrns!A51</f>
        <v>44998</v>
      </c>
      <c r="B50">
        <f>B49*YTDrtrns!N51</f>
        <v>5.2101669550877663</v>
      </c>
    </row>
    <row r="51" spans="1:2" x14ac:dyDescent="0.25">
      <c r="A51" s="3">
        <f>YTDrtrns!A52</f>
        <v>44999</v>
      </c>
      <c r="B51">
        <f>B50*YTDrtrns!N52</f>
        <v>5.2609520479579004</v>
      </c>
    </row>
    <row r="52" spans="1:2" x14ac:dyDescent="0.25">
      <c r="A52" s="3">
        <f>YTDrtrns!A53</f>
        <v>45000</v>
      </c>
      <c r="B52">
        <f>B51*YTDrtrns!N53</f>
        <v>5.1666501705613008</v>
      </c>
    </row>
    <row r="53" spans="1:2" x14ac:dyDescent="0.25">
      <c r="A53" s="3">
        <f>YTDrtrns!A54</f>
        <v>45001</v>
      </c>
      <c r="B53">
        <f>B52*YTDrtrns!N54</f>
        <v>5.2963891484618815</v>
      </c>
    </row>
    <row r="54" spans="1:2" x14ac:dyDescent="0.25">
      <c r="A54" s="3">
        <f>YTDrtrns!A55</f>
        <v>45002</v>
      </c>
      <c r="B54">
        <f>B53*YTDrtrns!N55</f>
        <v>5.1400115241442146</v>
      </c>
    </row>
    <row r="55" spans="1:2" x14ac:dyDescent="0.25">
      <c r="A55" s="3">
        <f>YTDrtrns!A56</f>
        <v>45005</v>
      </c>
      <c r="B55">
        <f>B54*YTDrtrns!N56</f>
        <v>5.1758316792807353</v>
      </c>
    </row>
    <row r="56" spans="1:2" x14ac:dyDescent="0.25">
      <c r="A56" s="3">
        <f>YTDrtrns!A57</f>
        <v>45006</v>
      </c>
      <c r="B56">
        <f>B55*YTDrtrns!N57</f>
        <v>5.3190098351456241</v>
      </c>
    </row>
    <row r="57" spans="1:2" x14ac:dyDescent="0.25">
      <c r="A57" s="3">
        <f>YTDrtrns!A58</f>
        <v>45007</v>
      </c>
      <c r="B57">
        <f>B56*YTDrtrns!N58</f>
        <v>5.2308456844596254</v>
      </c>
    </row>
    <row r="58" spans="1:2" x14ac:dyDescent="0.25">
      <c r="A58" s="3">
        <f>YTDrtrns!A59</f>
        <v>45008</v>
      </c>
      <c r="B58">
        <f>B57*YTDrtrns!N59</f>
        <v>5.2245139142232917</v>
      </c>
    </row>
    <row r="59" spans="1:2" x14ac:dyDescent="0.25">
      <c r="A59" s="3">
        <f>YTDrtrns!A60</f>
        <v>45009</v>
      </c>
      <c r="B59">
        <f>B58*YTDrtrns!N60</f>
        <v>5.2857440506973346</v>
      </c>
    </row>
    <row r="60" spans="1:2" x14ac:dyDescent="0.25">
      <c r="A60" s="3">
        <f>YTDrtrns!A61</f>
        <v>45012</v>
      </c>
      <c r="B60">
        <f>B59*YTDrtrns!N61</f>
        <v>5.3402400609379415</v>
      </c>
    </row>
    <row r="61" spans="1:2" x14ac:dyDescent="0.25">
      <c r="A61" s="3">
        <f>YTDrtrns!A62</f>
        <v>45013</v>
      </c>
      <c r="B61">
        <f>B60*YTDrtrns!N62</f>
        <v>5.3436465320330013</v>
      </c>
    </row>
    <row r="62" spans="1:2" x14ac:dyDescent="0.25">
      <c r="A62" s="3">
        <f>YTDrtrns!A63</f>
        <v>45014</v>
      </c>
      <c r="B62">
        <f>B61*YTDrtrns!N63</f>
        <v>5.3521011680574002</v>
      </c>
    </row>
    <row r="63" spans="1:2" x14ac:dyDescent="0.25">
      <c r="A63" s="3">
        <f>YTDrtrns!A64</f>
        <v>45015</v>
      </c>
      <c r="B63">
        <f>B62*YTDrtrns!N64</f>
        <v>5.3259609755183535</v>
      </c>
    </row>
    <row r="64" spans="1:2" x14ac:dyDescent="0.25">
      <c r="A64" s="3">
        <f>YTDrtrns!A65</f>
        <v>45016</v>
      </c>
      <c r="B64">
        <f>B63*YTDrtrns!N65</f>
        <v>5.4431042264848299</v>
      </c>
    </row>
    <row r="65" spans="1:2" x14ac:dyDescent="0.25">
      <c r="A65" s="3">
        <f>YTDrtrns!A66</f>
        <v>45019</v>
      </c>
      <c r="B65">
        <f>B64*YTDrtrns!N66</f>
        <v>5.4034728465723942</v>
      </c>
    </row>
    <row r="66" spans="1:2" x14ac:dyDescent="0.25">
      <c r="A66" s="3">
        <f>YTDrtrns!A67</f>
        <v>45020</v>
      </c>
      <c r="B66">
        <f>B65*YTDrtrns!N67</f>
        <v>5.3333151293204173</v>
      </c>
    </row>
    <row r="67" spans="1:2" x14ac:dyDescent="0.25">
      <c r="A67" s="3">
        <f>YTDrtrns!A68</f>
        <v>45021</v>
      </c>
      <c r="B67">
        <f>B66*YTDrtrns!N68</f>
        <v>5.289459967175631</v>
      </c>
    </row>
    <row r="68" spans="1:2" x14ac:dyDescent="0.25">
      <c r="A68" s="3">
        <f>YTDrtrns!A69</f>
        <v>45022</v>
      </c>
      <c r="B68">
        <f>B67*YTDrtrns!N69</f>
        <v>5.3061555620935295</v>
      </c>
    </row>
    <row r="69" spans="1:2" x14ac:dyDescent="0.25">
      <c r="A69" s="3">
        <f>YTDrtrns!A70</f>
        <v>45026</v>
      </c>
      <c r="B69">
        <f>B68*YTDrtrns!N70</f>
        <v>5.3658848805314117</v>
      </c>
    </row>
    <row r="70" spans="1:2" x14ac:dyDescent="0.25">
      <c r="A70" s="3">
        <f>YTDrtrns!A71</f>
        <v>45027</v>
      </c>
      <c r="B70">
        <f>B69*YTDrtrns!N71</f>
        <v>5.3755090441353364</v>
      </c>
    </row>
    <row r="71" spans="1:2" x14ac:dyDescent="0.25">
      <c r="A71" s="3">
        <f>YTDrtrns!A72</f>
        <v>45028</v>
      </c>
      <c r="B71">
        <f>B70*YTDrtrns!N72</f>
        <v>5.3328320438695709</v>
      </c>
    </row>
    <row r="72" spans="1:2" x14ac:dyDescent="0.25">
      <c r="A72" s="3">
        <f>YTDrtrns!A73</f>
        <v>45029</v>
      </c>
      <c r="B72">
        <f>B71*YTDrtrns!N73</f>
        <v>5.3411730548721721</v>
      </c>
    </row>
    <row r="73" spans="1:2" x14ac:dyDescent="0.25">
      <c r="A73" s="3">
        <f>YTDrtrns!A74</f>
        <v>45030</v>
      </c>
      <c r="B73">
        <f>B72*YTDrtrns!N74</f>
        <v>5.3045463356778146</v>
      </c>
    </row>
    <row r="74" spans="1:2" x14ac:dyDescent="0.25">
      <c r="A74" s="3">
        <f>YTDrtrns!A75</f>
        <v>45033</v>
      </c>
      <c r="B74">
        <f>B73*YTDrtrns!N75</f>
        <v>5.3280695605802029</v>
      </c>
    </row>
    <row r="75" spans="1:2" x14ac:dyDescent="0.25">
      <c r="A75" s="3">
        <f>YTDrtrns!A76</f>
        <v>45034</v>
      </c>
      <c r="B75">
        <f>B74*YTDrtrns!N76</f>
        <v>5.3264089905505694</v>
      </c>
    </row>
    <row r="76" spans="1:2" x14ac:dyDescent="0.25">
      <c r="A76" s="3">
        <f>YTDrtrns!A77</f>
        <v>45035</v>
      </c>
      <c r="B76">
        <f>B75*YTDrtrns!N77</f>
        <v>5.3973492428837897</v>
      </c>
    </row>
    <row r="77" spans="1:2" x14ac:dyDescent="0.25">
      <c r="A77" s="3">
        <f>YTDrtrns!A78</f>
        <v>45036</v>
      </c>
      <c r="B77">
        <f>B76*YTDrtrns!N78</f>
        <v>5.4225603276982683</v>
      </c>
    </row>
    <row r="78" spans="1:2" x14ac:dyDescent="0.25">
      <c r="A78" s="3">
        <f>YTDrtrns!A79</f>
        <v>45037</v>
      </c>
      <c r="B78">
        <f>B77*YTDrtrns!N79</f>
        <v>5.4152742686275381</v>
      </c>
    </row>
    <row r="79" spans="1:2" x14ac:dyDescent="0.25">
      <c r="A79" s="3">
        <f>YTDrtrns!A80</f>
        <v>45040</v>
      </c>
      <c r="B79">
        <f>B78*YTDrtrns!N80</f>
        <v>5.3447284619410986</v>
      </c>
    </row>
    <row r="80" spans="1:2" x14ac:dyDescent="0.25">
      <c r="A80" s="3">
        <f>YTDrtrns!A81</f>
        <v>45041</v>
      </c>
      <c r="B80">
        <f>B79*YTDrtrns!N81</f>
        <v>5.2202273994715647</v>
      </c>
    </row>
    <row r="81" spans="1:2" x14ac:dyDescent="0.25">
      <c r="A81" s="3">
        <f>YTDrtrns!A82</f>
        <v>45042</v>
      </c>
      <c r="B81">
        <f>B80*YTDrtrns!N82</f>
        <v>5.1316618237782503</v>
      </c>
    </row>
    <row r="82" spans="1:2" x14ac:dyDescent="0.25">
      <c r="A82" s="3">
        <f>YTDrtrns!A83</f>
        <v>45043</v>
      </c>
      <c r="B82">
        <f>B81*YTDrtrns!N83</f>
        <v>5.262328350418179</v>
      </c>
    </row>
    <row r="83" spans="1:2" x14ac:dyDescent="0.25">
      <c r="A83" s="3">
        <f>YTDrtrns!A84</f>
        <v>45044</v>
      </c>
      <c r="B83">
        <f>B82*YTDrtrns!N84</f>
        <v>5.2520921963169318</v>
      </c>
    </row>
    <row r="84" spans="1:2" x14ac:dyDescent="0.25">
      <c r="A84" s="3">
        <f>YTDrtrns!A85</f>
        <v>45047</v>
      </c>
      <c r="B84">
        <f>B83*YTDrtrns!N85</f>
        <v>5.2596182037986914</v>
      </c>
    </row>
    <row r="85" spans="1:2" x14ac:dyDescent="0.25">
      <c r="A85" s="3">
        <f>YTDrtrns!A86</f>
        <v>45048</v>
      </c>
      <c r="B85">
        <f>B84*YTDrtrns!N86</f>
        <v>5.1331661809481473</v>
      </c>
    </row>
    <row r="86" spans="1:2" x14ac:dyDescent="0.25">
      <c r="A86" s="3">
        <f>YTDrtrns!A87</f>
        <v>45049</v>
      </c>
      <c r="B86">
        <f>B85*YTDrtrns!N87</f>
        <v>5.0586822857047302</v>
      </c>
    </row>
    <row r="87" spans="1:2" x14ac:dyDescent="0.25">
      <c r="A87" s="3">
        <f>YTDrtrns!A88</f>
        <v>45050</v>
      </c>
      <c r="B87">
        <f>B86*YTDrtrns!N88</f>
        <v>5.0045849083591927</v>
      </c>
    </row>
    <row r="88" spans="1:2" x14ac:dyDescent="0.25">
      <c r="A88" s="3">
        <f>YTDrtrns!A89</f>
        <v>45051</v>
      </c>
      <c r="B88">
        <f>B87*YTDrtrns!N89</f>
        <v>5.1536705633081148</v>
      </c>
    </row>
    <row r="89" spans="1:2" x14ac:dyDescent="0.25">
      <c r="A89" s="3">
        <f>YTDrtrns!A90</f>
        <v>45054</v>
      </c>
      <c r="B89">
        <f>B88*YTDrtrns!N90</f>
        <v>5.1061462845091681</v>
      </c>
    </row>
    <row r="90" spans="1:2" x14ac:dyDescent="0.25">
      <c r="A90" s="3">
        <f>YTDrtrns!A91</f>
        <v>45055</v>
      </c>
      <c r="B90">
        <f>B89*YTDrtrns!N91</f>
        <v>5.0953041812311319</v>
      </c>
    </row>
    <row r="91" spans="1:2" x14ac:dyDescent="0.25">
      <c r="A91" s="3">
        <f>YTDrtrns!A92</f>
        <v>45056</v>
      </c>
      <c r="B91">
        <f>B90*YTDrtrns!N92</f>
        <v>5.1225481666917325</v>
      </c>
    </row>
    <row r="92" spans="1:2" x14ac:dyDescent="0.25">
      <c r="A92" s="3">
        <f>YTDrtrns!A93</f>
        <v>45057</v>
      </c>
      <c r="B92">
        <f>B91*YTDrtrns!N93</f>
        <v>5.0890465635325759</v>
      </c>
    </row>
    <row r="93" spans="1:2" x14ac:dyDescent="0.25">
      <c r="A93" s="3">
        <f>YTDrtrns!A94</f>
        <v>45058</v>
      </c>
      <c r="B93">
        <f>B92*YTDrtrns!N94</f>
        <v>5.1005280474159163</v>
      </c>
    </row>
    <row r="94" spans="1:2" x14ac:dyDescent="0.25">
      <c r="A94" s="3">
        <f>YTDrtrns!A95</f>
        <v>45061</v>
      </c>
      <c r="B94">
        <f>B93*YTDrtrns!N95</f>
        <v>5.1330985344432172</v>
      </c>
    </row>
    <row r="95" spans="1:2" x14ac:dyDescent="0.25">
      <c r="A95" s="3">
        <f>YTDrtrns!A96</f>
        <v>45062</v>
      </c>
      <c r="B95">
        <f>B94*YTDrtrns!N96</f>
        <v>5.0541786619801004</v>
      </c>
    </row>
    <row r="96" spans="1:2" x14ac:dyDescent="0.25">
      <c r="A96" s="3">
        <f>YTDrtrns!A97</f>
        <v>45063</v>
      </c>
      <c r="B96">
        <f>B95*YTDrtrns!N97</f>
        <v>5.124150762883195</v>
      </c>
    </row>
    <row r="97" spans="1:2" x14ac:dyDescent="0.25">
      <c r="A97" s="3">
        <f>YTDrtrns!A98</f>
        <v>45064</v>
      </c>
      <c r="B97">
        <f>B96*YTDrtrns!N98</f>
        <v>5.1181753662766631</v>
      </c>
    </row>
    <row r="98" spans="1:2" x14ac:dyDescent="0.25">
      <c r="A98" s="3">
        <f>YTDrtrns!A99</f>
        <v>45065</v>
      </c>
      <c r="B98">
        <f>B97*YTDrtrns!N99</f>
        <v>5.0693381877121428</v>
      </c>
    </row>
    <row r="99" spans="1:2" x14ac:dyDescent="0.25">
      <c r="A99" s="3">
        <f>YTDrtrns!A100</f>
        <v>45068</v>
      </c>
      <c r="B99">
        <f>B98*YTDrtrns!N100</f>
        <v>5.1275329883203309</v>
      </c>
    </row>
    <row r="100" spans="1:2" x14ac:dyDescent="0.25">
      <c r="A100" s="3">
        <f>YTDrtrns!A101</f>
        <v>45069</v>
      </c>
      <c r="B100">
        <f>B99*YTDrtrns!N101</f>
        <v>5.1121517584515059</v>
      </c>
    </row>
    <row r="101" spans="1:2" x14ac:dyDescent="0.25">
      <c r="A101" s="3">
        <f>YTDrtrns!A102</f>
        <v>45070</v>
      </c>
      <c r="B101">
        <f>B100*YTDrtrns!N102</f>
        <v>5.0073364110938972</v>
      </c>
    </row>
    <row r="102" spans="1:2" x14ac:dyDescent="0.25">
      <c r="A102" s="3">
        <f>YTDrtrns!A103</f>
        <v>45071</v>
      </c>
      <c r="B102">
        <f>B101*YTDrtrns!N103</f>
        <v>4.9975970594402437</v>
      </c>
    </row>
    <row r="103" spans="1:2" x14ac:dyDescent="0.25">
      <c r="A103" s="3">
        <f>YTDrtrns!A104</f>
        <v>45072</v>
      </c>
      <c r="B103">
        <f>B102*YTDrtrns!N104</f>
        <v>5.0059979776142525</v>
      </c>
    </row>
    <row r="104" spans="1:2" x14ac:dyDescent="0.25">
      <c r="A104" s="3">
        <f>YTDrtrns!A105</f>
        <v>45076</v>
      </c>
      <c r="B104">
        <f>B103*YTDrtrns!N105</f>
        <v>4.9961214123373621</v>
      </c>
    </row>
    <row r="105" spans="1:2" x14ac:dyDescent="0.25">
      <c r="A105" s="3">
        <f>YTDrtrns!A106</f>
        <v>45077</v>
      </c>
      <c r="B105">
        <f>B104*YTDrtrns!N106</f>
        <v>4.9544462472934336</v>
      </c>
    </row>
    <row r="106" spans="1:2" x14ac:dyDescent="0.25">
      <c r="A106" s="3">
        <f>YTDrtrns!A107</f>
        <v>45078</v>
      </c>
      <c r="B106">
        <f>B105*YTDrtrns!N107</f>
        <v>5.0057042603867421</v>
      </c>
    </row>
    <row r="107" spans="1:2" x14ac:dyDescent="0.25">
      <c r="A107" s="3">
        <f>YTDrtrns!A108</f>
        <v>45079</v>
      </c>
      <c r="B107">
        <f>B106*YTDrtrns!N108</f>
        <v>5.174806799272246</v>
      </c>
    </row>
    <row r="108" spans="1:2" x14ac:dyDescent="0.25">
      <c r="A108" s="3">
        <f>YTDrtrns!A109</f>
        <v>45082</v>
      </c>
      <c r="B108">
        <f>B107*YTDrtrns!N109</f>
        <v>5.086743280971004</v>
      </c>
    </row>
    <row r="109" spans="1:2" x14ac:dyDescent="0.25">
      <c r="A109" s="3">
        <f>YTDrtrns!A110</f>
        <v>45083</v>
      </c>
      <c r="B109">
        <f>B108*YTDrtrns!N110</f>
        <v>5.2215083011071908</v>
      </c>
    </row>
    <row r="110" spans="1:2" x14ac:dyDescent="0.25">
      <c r="A110" s="3">
        <f>YTDrtrns!A111</f>
        <v>45084</v>
      </c>
      <c r="B110">
        <f>B109*YTDrtrns!N111</f>
        <v>5.3378306905938402</v>
      </c>
    </row>
    <row r="111" spans="1:2" x14ac:dyDescent="0.25">
      <c r="A111" s="3">
        <f>YTDrtrns!A112</f>
        <v>45085</v>
      </c>
      <c r="B111">
        <f>B110*YTDrtrns!N112</f>
        <v>5.2587487682916754</v>
      </c>
    </row>
    <row r="112" spans="1:2" x14ac:dyDescent="0.25">
      <c r="A112" s="3">
        <f>YTDrtrns!A113</f>
        <v>45086</v>
      </c>
      <c r="B112">
        <f>B111*YTDrtrns!N113</f>
        <v>5.1978852792004959</v>
      </c>
    </row>
    <row r="113" spans="1:2" x14ac:dyDescent="0.25">
      <c r="A113" s="3">
        <f>YTDrtrns!A114</f>
        <v>45089</v>
      </c>
      <c r="B113">
        <f>B112*YTDrtrns!N114</f>
        <v>5.1938032469551807</v>
      </c>
    </row>
    <row r="114" spans="1:2" x14ac:dyDescent="0.25">
      <c r="A114" s="3">
        <f>YTDrtrns!A115</f>
        <v>45090</v>
      </c>
      <c r="B114">
        <f>B113*YTDrtrns!N115</f>
        <v>5.2802398113846003</v>
      </c>
    </row>
    <row r="115" spans="1:2" x14ac:dyDescent="0.25">
      <c r="A115" s="3">
        <f>YTDrtrns!A116</f>
        <v>45091</v>
      </c>
      <c r="B115">
        <f>B114*YTDrtrns!N116</f>
        <v>5.2523242188637518</v>
      </c>
    </row>
    <row r="116" spans="1:2" x14ac:dyDescent="0.25">
      <c r="A116" s="3">
        <f>YTDrtrns!A117</f>
        <v>45092</v>
      </c>
      <c r="B116">
        <f>B115*YTDrtrns!N117</f>
        <v>5.3030143923428996</v>
      </c>
    </row>
    <row r="117" spans="1:2" x14ac:dyDescent="0.25">
      <c r="A117" s="3">
        <f>YTDrtrns!A118</f>
        <v>45093</v>
      </c>
      <c r="B117">
        <f>B116*YTDrtrns!N118</f>
        <v>5.3650576336468419</v>
      </c>
    </row>
    <row r="118" spans="1:2" x14ac:dyDescent="0.25">
      <c r="A118" s="3">
        <f>YTDrtrns!A119</f>
        <v>45097</v>
      </c>
      <c r="B118">
        <f>B117*YTDrtrns!N119</f>
        <v>5.336016003441145</v>
      </c>
    </row>
    <row r="119" spans="1:2" x14ac:dyDescent="0.25">
      <c r="A119" s="3">
        <f>YTDrtrns!A120</f>
        <v>45098</v>
      </c>
      <c r="B119">
        <f>B118*YTDrtrns!N120</f>
        <v>5.4046495892189776</v>
      </c>
    </row>
    <row r="120" spans="1:2" x14ac:dyDescent="0.25">
      <c r="A120" s="3">
        <f>YTDrtrns!A121</f>
        <v>45099</v>
      </c>
      <c r="B120">
        <f>B119*YTDrtrns!N121</f>
        <v>5.393326721214196</v>
      </c>
    </row>
    <row r="121" spans="1:2" x14ac:dyDescent="0.25">
      <c r="A121" s="3">
        <f>YTDrtrns!A122</f>
        <v>45100</v>
      </c>
      <c r="B121">
        <f>B120*YTDrtrns!N122</f>
        <v>5.2984638485352349</v>
      </c>
    </row>
    <row r="122" spans="1:2" x14ac:dyDescent="0.25">
      <c r="A122" s="3">
        <f>YTDrtrns!A123</f>
        <v>45103</v>
      </c>
      <c r="B122">
        <f>B121*YTDrtrns!N123</f>
        <v>5.281196877028421</v>
      </c>
    </row>
    <row r="123" spans="1:2" x14ac:dyDescent="0.25">
      <c r="A123" s="3">
        <f>YTDrtrns!A124</f>
        <v>45104</v>
      </c>
      <c r="B123">
        <f>B122*YTDrtrns!N124</f>
        <v>5.3277436958555739</v>
      </c>
    </row>
    <row r="124" spans="1:2" x14ac:dyDescent="0.25">
      <c r="A124" s="3">
        <f>YTDrtrns!A125</f>
        <v>45105</v>
      </c>
      <c r="B124">
        <f>B123*YTDrtrns!N125</f>
        <v>5.293024367945061</v>
      </c>
    </row>
    <row r="125" spans="1:2" x14ac:dyDescent="0.25">
      <c r="A125" s="3">
        <f>YTDrtrns!A126</f>
        <v>45106</v>
      </c>
      <c r="B125">
        <f>B124*YTDrtrns!N126</f>
        <v>5.3566321019394723</v>
      </c>
    </row>
    <row r="126" spans="1:2" x14ac:dyDescent="0.25">
      <c r="A126" s="3">
        <f>YTDrtrns!A127</f>
        <v>45107</v>
      </c>
      <c r="B126">
        <f>B125*YTDrtrns!N127</f>
        <v>5.341337784301988</v>
      </c>
    </row>
    <row r="127" spans="1:2" x14ac:dyDescent="0.25">
      <c r="A127" s="3">
        <f>YTDrtrns!A128</f>
        <v>45110</v>
      </c>
      <c r="B127">
        <f>B126*YTDrtrns!N128</f>
        <v>5.3597927115161932</v>
      </c>
    </row>
    <row r="128" spans="1:2" x14ac:dyDescent="0.25">
      <c r="A128" s="3">
        <f>YTDrtrns!A129</f>
        <v>45112</v>
      </c>
      <c r="B128">
        <f>B127*YTDrtrns!N129</f>
        <v>5.2715147265543552</v>
      </c>
    </row>
    <row r="129" spans="1:2" x14ac:dyDescent="0.25">
      <c r="A129" s="3">
        <f>YTDrtrns!A130</f>
        <v>45113</v>
      </c>
      <c r="B129">
        <f>B128*YTDrtrns!N130</f>
        <v>5.212868754557908</v>
      </c>
    </row>
    <row r="130" spans="1:2" x14ac:dyDescent="0.25">
      <c r="A130" s="3">
        <f>YTDrtrns!A131</f>
        <v>45114</v>
      </c>
      <c r="B130">
        <f>B129*YTDrtrns!N131</f>
        <v>5.2905946945155025</v>
      </c>
    </row>
    <row r="131" spans="1:2" x14ac:dyDescent="0.25">
      <c r="A131" s="3">
        <f>YTDrtrns!A132</f>
        <v>45117</v>
      </c>
      <c r="B131">
        <f>B130*YTDrtrns!N132</f>
        <v>5.2872174983287348</v>
      </c>
    </row>
    <row r="132" spans="1:2" x14ac:dyDescent="0.25">
      <c r="A132" s="3">
        <f>YTDrtrns!A133</f>
        <v>45118</v>
      </c>
      <c r="B132">
        <f>B131*YTDrtrns!N133</f>
        <v>5.4018727753253035</v>
      </c>
    </row>
    <row r="133" spans="1:2" x14ac:dyDescent="0.25">
      <c r="A133" s="3">
        <f>YTDrtrns!A134</f>
        <v>45119</v>
      </c>
      <c r="B133">
        <f>B132*YTDrtrns!N134</f>
        <v>5.4858817338254093</v>
      </c>
    </row>
    <row r="134" spans="1:2" x14ac:dyDescent="0.25">
      <c r="A134" s="3">
        <f>YTDrtrns!A135</f>
        <v>45120</v>
      </c>
      <c r="B134">
        <f>B133*YTDrtrns!N135</f>
        <v>5.5019485858516557</v>
      </c>
    </row>
    <row r="135" spans="1:2" x14ac:dyDescent="0.25">
      <c r="A135" s="3">
        <f>YTDrtrns!A136</f>
        <v>45121</v>
      </c>
      <c r="B135">
        <f>B134*YTDrtrns!N136</f>
        <v>5.5027038169676814</v>
      </c>
    </row>
    <row r="136" spans="1:2" x14ac:dyDescent="0.25">
      <c r="A136" s="3">
        <f>YTDrtrns!A137</f>
        <v>45124</v>
      </c>
      <c r="B136">
        <f>B135*YTDrtrns!N137</f>
        <v>5.6005417333142065</v>
      </c>
    </row>
    <row r="137" spans="1:2" x14ac:dyDescent="0.25">
      <c r="A137" s="3">
        <f>YTDrtrns!A138</f>
        <v>45125</v>
      </c>
      <c r="B137">
        <f>B136*YTDrtrns!N138</f>
        <v>5.6658823094897981</v>
      </c>
    </row>
    <row r="138" spans="1:2" x14ac:dyDescent="0.25">
      <c r="A138" s="3">
        <f>YTDrtrns!A139</f>
        <v>45126</v>
      </c>
      <c r="B138">
        <f>B137*YTDrtrns!N139</f>
        <v>5.7063958340509746</v>
      </c>
    </row>
    <row r="139" spans="1:2" x14ac:dyDescent="0.25">
      <c r="A139" s="3">
        <f>YTDrtrns!A140</f>
        <v>45127</v>
      </c>
      <c r="B139">
        <f>B138*YTDrtrns!N140</f>
        <v>5.6971347254314484</v>
      </c>
    </row>
    <row r="140" spans="1:2" x14ac:dyDescent="0.25">
      <c r="A140" s="3">
        <f>YTDrtrns!A141</f>
        <v>45128</v>
      </c>
      <c r="B140">
        <f>B139*YTDrtrns!N141</f>
        <v>5.6807517458271102</v>
      </c>
    </row>
    <row r="141" spans="1:2" x14ac:dyDescent="0.25">
      <c r="A141" s="3">
        <f>YTDrtrns!A142</f>
        <v>45131</v>
      </c>
      <c r="B141">
        <f>B140*YTDrtrns!N142</f>
        <v>5.7189036034512544</v>
      </c>
    </row>
    <row r="142" spans="1:2" x14ac:dyDescent="0.25">
      <c r="A142" s="3">
        <f>YTDrtrns!A143</f>
        <v>45132</v>
      </c>
      <c r="B142">
        <f>B141*YTDrtrns!N143</f>
        <v>5.7065492134347711</v>
      </c>
    </row>
    <row r="143" spans="1:2" x14ac:dyDescent="0.25">
      <c r="A143" s="3">
        <f>YTDrtrns!A144</f>
        <v>45133</v>
      </c>
      <c r="B143">
        <f>B142*YTDrtrns!N144</f>
        <v>5.7747043978919868</v>
      </c>
    </row>
    <row r="144" spans="1:2" x14ac:dyDescent="0.25">
      <c r="A144" s="3">
        <f>YTDrtrns!A145</f>
        <v>45134</v>
      </c>
      <c r="B144">
        <f>B143*YTDrtrns!N145</f>
        <v>5.7340532932061521</v>
      </c>
    </row>
    <row r="145" spans="1:2" x14ac:dyDescent="0.25">
      <c r="A145" s="3">
        <f>YTDrtrns!A146</f>
        <v>45135</v>
      </c>
      <c r="B145">
        <f>B144*YTDrtrns!N146</f>
        <v>5.8421462284200105</v>
      </c>
    </row>
    <row r="146" spans="1:2" x14ac:dyDescent="0.25">
      <c r="A146" s="3">
        <f>YTDrtrns!A147</f>
        <v>45138</v>
      </c>
      <c r="B146">
        <f>B145*YTDrtrns!N147</f>
        <v>5.8699674150999135</v>
      </c>
    </row>
    <row r="147" spans="1:2" x14ac:dyDescent="0.25">
      <c r="A147" s="3">
        <f>YTDrtrns!A148</f>
        <v>45139</v>
      </c>
      <c r="B147">
        <f>B146*YTDrtrns!N148</f>
        <v>5.8303271776073622</v>
      </c>
    </row>
    <row r="148" spans="1:2" x14ac:dyDescent="0.25">
      <c r="A148" s="3">
        <f>YTDrtrns!A149</f>
        <v>45140</v>
      </c>
      <c r="B148">
        <f>B147*YTDrtrns!N149</f>
        <v>5.8286354902545643</v>
      </c>
    </row>
    <row r="149" spans="1:2" x14ac:dyDescent="0.25">
      <c r="A149" s="3">
        <f>YTDrtrns!A150</f>
        <v>45141</v>
      </c>
      <c r="B149">
        <f>B148*YTDrtrns!N150</f>
        <v>6.1798706105881385</v>
      </c>
    </row>
    <row r="150" spans="1:2" x14ac:dyDescent="0.25">
      <c r="A150" s="3">
        <f>YTDrtrns!A151</f>
        <v>45142</v>
      </c>
      <c r="B150">
        <f>B149*YTDrtrns!N151</f>
        <v>6.0990377188524825</v>
      </c>
    </row>
    <row r="151" spans="1:2" x14ac:dyDescent="0.25">
      <c r="A151" s="3">
        <f>YTDrtrns!A152</f>
        <v>45145</v>
      </c>
      <c r="B151">
        <f>B150*YTDrtrns!N152</f>
        <v>6.0901472314701737</v>
      </c>
    </row>
    <row r="152" spans="1:2" x14ac:dyDescent="0.25">
      <c r="A152" s="3">
        <f>YTDrtrns!A153</f>
        <v>45146</v>
      </c>
      <c r="B152">
        <f>B151*YTDrtrns!N153</f>
        <v>6.0862122397990079</v>
      </c>
    </row>
    <row r="153" spans="1:2" x14ac:dyDescent="0.25">
      <c r="A153" s="3">
        <f>YTDrtrns!A154</f>
        <v>45147</v>
      </c>
      <c r="B153">
        <f>B152*YTDrtrns!N154</f>
        <v>6.0513934554811648</v>
      </c>
    </row>
    <row r="154" spans="1:2" x14ac:dyDescent="0.25">
      <c r="A154" s="3">
        <f>YTDrtrns!A155</f>
        <v>45148</v>
      </c>
      <c r="B154">
        <f>B153*YTDrtrns!N155</f>
        <v>6.0278541309415514</v>
      </c>
    </row>
    <row r="155" spans="1:2" x14ac:dyDescent="0.25">
      <c r="A155" s="3">
        <f>YTDrtrns!A156</f>
        <v>45149</v>
      </c>
      <c r="B155">
        <f>B154*YTDrtrns!N156</f>
        <v>6.05610742481716</v>
      </c>
    </row>
    <row r="156" spans="1:2" x14ac:dyDescent="0.25">
      <c r="A156" s="3">
        <f>YTDrtrns!A157</f>
        <v>45152</v>
      </c>
      <c r="B156">
        <f>B155*YTDrtrns!N157</f>
        <v>6.0206013218844143</v>
      </c>
    </row>
    <row r="157" spans="1:2" x14ac:dyDescent="0.25">
      <c r="A157" s="3">
        <f>YTDrtrns!A158</f>
        <v>45153</v>
      </c>
      <c r="B157">
        <f>B156*YTDrtrns!N158</f>
        <v>5.9481779593945747</v>
      </c>
    </row>
    <row r="158" spans="1:2" x14ac:dyDescent="0.25">
      <c r="A158" s="3">
        <f>YTDrtrns!A159</f>
        <v>45154</v>
      </c>
      <c r="B158">
        <f>B157*YTDrtrns!N159</f>
        <v>5.8924121317194782</v>
      </c>
    </row>
    <row r="159" spans="1:2" x14ac:dyDescent="0.25">
      <c r="A159" s="3">
        <f>YTDrtrns!A160</f>
        <v>45155</v>
      </c>
      <c r="B159">
        <f>B158*YTDrtrns!N160</f>
        <v>5.819912214638709</v>
      </c>
    </row>
    <row r="160" spans="1:2" x14ac:dyDescent="0.25">
      <c r="A160" s="3">
        <f>YTDrtrns!A161</f>
        <v>45156</v>
      </c>
      <c r="B160">
        <f>B159*YTDrtrns!N161</f>
        <v>5.7930355009109649</v>
      </c>
    </row>
    <row r="161" spans="1:2" x14ac:dyDescent="0.25">
      <c r="A161" s="3">
        <f>YTDrtrns!A162</f>
        <v>45159</v>
      </c>
      <c r="B161">
        <f>B160*YTDrtrns!N162</f>
        <v>5.795438290315885</v>
      </c>
    </row>
    <row r="162" spans="1:2" x14ac:dyDescent="0.25">
      <c r="A162" s="3">
        <f>YTDrtrns!A163</f>
        <v>45160</v>
      </c>
      <c r="B162">
        <f>B161*YTDrtrns!N163</f>
        <v>5.7357755763381988</v>
      </c>
    </row>
    <row r="163" spans="1:2" x14ac:dyDescent="0.25">
      <c r="A163" s="3">
        <f>YTDrtrns!A164</f>
        <v>45161</v>
      </c>
      <c r="B163">
        <f>B162*YTDrtrns!N164</f>
        <v>5.8426866549099268</v>
      </c>
    </row>
    <row r="164" spans="1:2" x14ac:dyDescent="0.25">
      <c r="A164" s="3">
        <f>YTDrtrns!A165</f>
        <v>45162</v>
      </c>
      <c r="B164">
        <f>B163*YTDrtrns!N165</f>
        <v>5.7650162228781365</v>
      </c>
    </row>
    <row r="165" spans="1:2" x14ac:dyDescent="0.25">
      <c r="A165" s="3">
        <f>YTDrtrns!A166</f>
        <v>45163</v>
      </c>
      <c r="B165">
        <f>B164*YTDrtrns!N166</f>
        <v>5.7923130465667656</v>
      </c>
    </row>
    <row r="166" spans="1:2" x14ac:dyDescent="0.25">
      <c r="A166" s="3">
        <f>YTDrtrns!A167</f>
        <v>45166</v>
      </c>
      <c r="B166">
        <f>B165*YTDrtrns!N167</f>
        <v>5.7478953572940892</v>
      </c>
    </row>
    <row r="167" spans="1:2" x14ac:dyDescent="0.25">
      <c r="A167" s="3">
        <f>YTDrtrns!A168</f>
        <v>45167</v>
      </c>
      <c r="B167">
        <f>B166*YTDrtrns!N168</f>
        <v>5.8276876711330443</v>
      </c>
    </row>
    <row r="168" spans="1:2" x14ac:dyDescent="0.25">
      <c r="A168" s="3">
        <f>YTDrtrns!A169</f>
        <v>45168</v>
      </c>
      <c r="B168">
        <f>B167*YTDrtrns!N169</f>
        <v>5.8645823586427674</v>
      </c>
    </row>
    <row r="169" spans="1:2" x14ac:dyDescent="0.25">
      <c r="A169" s="3">
        <f>YTDrtrns!A170</f>
        <v>45169</v>
      </c>
      <c r="B169">
        <f>B168*YTDrtrns!N170</f>
        <v>5.8284286553197839</v>
      </c>
    </row>
    <row r="170" spans="1:2" x14ac:dyDescent="0.25">
      <c r="A170" s="3">
        <f>YTDrtrns!A171</f>
        <v>45170</v>
      </c>
      <c r="B170">
        <f>B169*YTDrtrns!N171</f>
        <v>5.9138521262857742</v>
      </c>
    </row>
    <row r="171" spans="1:2" x14ac:dyDescent="0.25">
      <c r="A171" s="3">
        <f>YTDrtrns!A172</f>
        <v>45174</v>
      </c>
      <c r="B171">
        <f>B170*YTDrtrns!N172</f>
        <v>5.810294600848005</v>
      </c>
    </row>
    <row r="172" spans="1:2" x14ac:dyDescent="0.25">
      <c r="A172" s="3">
        <f>YTDrtrns!A173</f>
        <v>45175</v>
      </c>
      <c r="B172">
        <f>B171*YTDrtrns!N173</f>
        <v>5.8021045651211081</v>
      </c>
    </row>
    <row r="173" spans="1:2" x14ac:dyDescent="0.25">
      <c r="A173" s="3">
        <f>YTDrtrns!A174</f>
        <v>45176</v>
      </c>
      <c r="B173">
        <f>B172*YTDrtrns!N174</f>
        <v>5.8104182331377059</v>
      </c>
    </row>
    <row r="174" spans="1:2" x14ac:dyDescent="0.25">
      <c r="A174" s="3">
        <f>YTDrtrns!A175</f>
        <v>45177</v>
      </c>
      <c r="B174">
        <f>B173*YTDrtrns!N175</f>
        <v>5.7931123923338035</v>
      </c>
    </row>
    <row r="175" spans="1:2" x14ac:dyDescent="0.25">
      <c r="A175" s="3">
        <f>YTDrtrns!A176</f>
        <v>45180</v>
      </c>
      <c r="B175">
        <f>B174*YTDrtrns!N176</f>
        <v>5.7861836712294634</v>
      </c>
    </row>
    <row r="176" spans="1:2" x14ac:dyDescent="0.25">
      <c r="A176" s="3">
        <f>YTDrtrns!A177</f>
        <v>45181</v>
      </c>
      <c r="B176">
        <f>B175*YTDrtrns!N177</f>
        <v>5.7250605278666908</v>
      </c>
    </row>
    <row r="177" spans="1:2" x14ac:dyDescent="0.25">
      <c r="A177" s="3">
        <f>YTDrtrns!A178</f>
        <v>45182</v>
      </c>
      <c r="B177">
        <f>B176*YTDrtrns!N178</f>
        <v>5.7324541410125605</v>
      </c>
    </row>
    <row r="178" spans="1:2" x14ac:dyDescent="0.25">
      <c r="A178" s="3">
        <f>YTDrtrns!A179</f>
        <v>45183</v>
      </c>
      <c r="B178">
        <f>B177*YTDrtrns!N179</f>
        <v>5.7694294356948461</v>
      </c>
    </row>
    <row r="179" spans="1:2" x14ac:dyDescent="0.25">
      <c r="A179" s="3">
        <f>YTDrtrns!A180</f>
        <v>45184</v>
      </c>
      <c r="B179">
        <f>B178*YTDrtrns!N180</f>
        <v>5.7456456372875762</v>
      </c>
    </row>
    <row r="180" spans="1:2" x14ac:dyDescent="0.25">
      <c r="A180" s="3">
        <f>YTDrtrns!A181</f>
        <v>45187</v>
      </c>
      <c r="B180">
        <f>B179*YTDrtrns!N181</f>
        <v>5.6868082291486273</v>
      </c>
    </row>
    <row r="181" spans="1:2" x14ac:dyDescent="0.25">
      <c r="A181" s="3">
        <f>YTDrtrns!A182</f>
        <v>45188</v>
      </c>
      <c r="B181">
        <f>B180*YTDrtrns!N182</f>
        <v>5.6811602431377333</v>
      </c>
    </row>
    <row r="182" spans="1:2" x14ac:dyDescent="0.25">
      <c r="A182" s="3">
        <f>YTDrtrns!A183</f>
        <v>45189</v>
      </c>
      <c r="B182">
        <f>B181*YTDrtrns!N183</f>
        <v>5.676718163358589</v>
      </c>
    </row>
    <row r="183" spans="1:2" x14ac:dyDescent="0.25">
      <c r="A183" s="3">
        <f>YTDrtrns!A184</f>
        <v>45190</v>
      </c>
      <c r="B183">
        <f>B182*YTDrtrns!N184</f>
        <v>5.490937996280647</v>
      </c>
    </row>
    <row r="184" spans="1:2" x14ac:dyDescent="0.25">
      <c r="A184" s="3">
        <f>YTDrtrns!A185</f>
        <v>45191</v>
      </c>
      <c r="B184">
        <f>B183*YTDrtrns!N185</f>
        <v>5.4854593577370174</v>
      </c>
    </row>
    <row r="185" spans="1:2" x14ac:dyDescent="0.25">
      <c r="A185" s="3">
        <f>YTDrtrns!A186</f>
        <v>45194</v>
      </c>
      <c r="B185">
        <f>B184*YTDrtrns!N186</f>
        <v>5.5053333704677678</v>
      </c>
    </row>
    <row r="186" spans="1:2" x14ac:dyDescent="0.25">
      <c r="A186" s="3">
        <f>YTDrtrns!A187</f>
        <v>45195</v>
      </c>
      <c r="B186">
        <f>B185*YTDrtrns!N187</f>
        <v>5.4009530354331403</v>
      </c>
    </row>
    <row r="187" spans="1:2" x14ac:dyDescent="0.25">
      <c r="A187" s="3">
        <f>YTDrtrns!A188</f>
        <v>45196</v>
      </c>
      <c r="B187">
        <f>B186*YTDrtrns!N188</f>
        <v>5.4148793055303726</v>
      </c>
    </row>
    <row r="188" spans="1:2" x14ac:dyDescent="0.25">
      <c r="A188" s="3">
        <f>YTDrtrns!A189</f>
        <v>45197</v>
      </c>
      <c r="B188">
        <f>B187*YTDrtrns!N189</f>
        <v>5.482187079648372</v>
      </c>
    </row>
    <row r="189" spans="1:2" x14ac:dyDescent="0.25">
      <c r="A189" s="3">
        <f>YTDrtrns!A190</f>
        <v>45198</v>
      </c>
      <c r="B189">
        <f>B188*YTDrtrns!N190</f>
        <v>5.4539755792172748</v>
      </c>
    </row>
    <row r="190" spans="1:2" x14ac:dyDescent="0.25">
      <c r="A190" s="3">
        <f>YTDrtrns!A191</f>
        <v>45201</v>
      </c>
      <c r="B190">
        <f>B189*YTDrtrns!N191</f>
        <v>5.4434029968495015</v>
      </c>
    </row>
    <row r="191" spans="1:2" x14ac:dyDescent="0.25">
      <c r="A191" s="3">
        <f>YTDrtrns!A192</f>
        <v>45202</v>
      </c>
      <c r="B191">
        <f>B190*YTDrtrns!N192</f>
        <v>5.3487085049193386</v>
      </c>
    </row>
    <row r="192" spans="1:2" x14ac:dyDescent="0.25">
      <c r="A192" s="3">
        <f>YTDrtrns!A193</f>
        <v>45203</v>
      </c>
      <c r="B192">
        <f>B191*YTDrtrns!N193</f>
        <v>5.3703545729646311</v>
      </c>
    </row>
    <row r="193" spans="1:2" x14ac:dyDescent="0.25">
      <c r="A193" s="3">
        <f>YTDrtrns!A194</f>
        <v>45204</v>
      </c>
      <c r="B193">
        <f>B192*YTDrtrns!N194</f>
        <v>5.3707455447926042</v>
      </c>
    </row>
    <row r="194" spans="1:2" x14ac:dyDescent="0.25">
      <c r="A194" s="3">
        <f>YTDrtrns!A195</f>
        <v>45205</v>
      </c>
      <c r="B194">
        <f>B193*YTDrtrns!N195</f>
        <v>5.4453744019761361</v>
      </c>
    </row>
    <row r="195" spans="1:2" x14ac:dyDescent="0.25">
      <c r="A195" s="3">
        <f>YTDrtrns!A196</f>
        <v>45208</v>
      </c>
      <c r="B195">
        <f>B194*YTDrtrns!N196</f>
        <v>5.4894628577042131</v>
      </c>
    </row>
    <row r="196" spans="1:2" x14ac:dyDescent="0.25">
      <c r="A196" s="3">
        <f>YTDrtrns!A197</f>
        <v>45209</v>
      </c>
      <c r="B196">
        <f>B195*YTDrtrns!N197</f>
        <v>5.5484740009406872</v>
      </c>
    </row>
    <row r="197" spans="1:2" x14ac:dyDescent="0.25">
      <c r="A197" s="3">
        <f>YTDrtrns!A198</f>
        <v>45210</v>
      </c>
      <c r="B197">
        <f>B196*YTDrtrns!N198</f>
        <v>5.5599648417637075</v>
      </c>
    </row>
    <row r="198" spans="1:2" x14ac:dyDescent="0.25">
      <c r="A198" s="3">
        <f>YTDrtrns!A199</f>
        <v>45211</v>
      </c>
      <c r="B198">
        <f>B197*YTDrtrns!N199</f>
        <v>5.494401774394932</v>
      </c>
    </row>
    <row r="199" spans="1:2" x14ac:dyDescent="0.25">
      <c r="A199" s="3">
        <f>YTDrtrns!A200</f>
        <v>45212</v>
      </c>
      <c r="B199">
        <f>B198*YTDrtrns!N200</f>
        <v>5.4910456577506812</v>
      </c>
    </row>
    <row r="200" spans="1:2" x14ac:dyDescent="0.25">
      <c r="A200" s="3">
        <f>YTDrtrns!A201</f>
        <v>45215</v>
      </c>
      <c r="B200">
        <f>B199*YTDrtrns!N201</f>
        <v>5.5977341803039904</v>
      </c>
    </row>
    <row r="201" spans="1:2" x14ac:dyDescent="0.25">
      <c r="A201" s="3">
        <f>YTDrtrns!A202</f>
        <v>45216</v>
      </c>
      <c r="B201">
        <f>B200*YTDrtrns!N202</f>
        <v>5.6296446792381074</v>
      </c>
    </row>
    <row r="202" spans="1:2" x14ac:dyDescent="0.25">
      <c r="A202" s="3">
        <f>YTDrtrns!A203</f>
        <v>45217</v>
      </c>
      <c r="B202">
        <f>B201*YTDrtrns!N203</f>
        <v>5.4132145483681464</v>
      </c>
    </row>
    <row r="203" spans="1:2" x14ac:dyDescent="0.25">
      <c r="A203" s="3">
        <f>YTDrtrns!A204</f>
        <v>45218</v>
      </c>
      <c r="B203">
        <f>B202*YTDrtrns!N204</f>
        <v>5.3570299859643447</v>
      </c>
    </row>
    <row r="204" spans="1:2" x14ac:dyDescent="0.25">
      <c r="A204" s="3">
        <f>YTDrtrns!A205</f>
        <v>45219</v>
      </c>
      <c r="B204">
        <f>B203*YTDrtrns!N205</f>
        <v>5.3096821554879483</v>
      </c>
    </row>
    <row r="205" spans="1:2" x14ac:dyDescent="0.25">
      <c r="A205" s="3">
        <f>YTDrtrns!A206</f>
        <v>45222</v>
      </c>
      <c r="B205">
        <f>B204*YTDrtrns!N206</f>
        <v>5.2494639082022037</v>
      </c>
    </row>
    <row r="206" spans="1:2" x14ac:dyDescent="0.25">
      <c r="A206" s="3">
        <f>YTDrtrns!A207</f>
        <v>45223</v>
      </c>
      <c r="B206">
        <f>B205*YTDrtrns!N207</f>
        <v>5.2661626829210082</v>
      </c>
    </row>
    <row r="207" spans="1:2" x14ac:dyDescent="0.25">
      <c r="A207" s="3">
        <f>YTDrtrns!A208</f>
        <v>45224</v>
      </c>
      <c r="B207">
        <f>B206*YTDrtrns!N208</f>
        <v>5.209515474548386</v>
      </c>
    </row>
    <row r="208" spans="1:2" x14ac:dyDescent="0.25">
      <c r="A208" s="3">
        <f>YTDrtrns!A209</f>
        <v>45225</v>
      </c>
      <c r="B208">
        <f>B207*YTDrtrns!N209</f>
        <v>5.2210807695184576</v>
      </c>
    </row>
    <row r="209" spans="1:2" x14ac:dyDescent="0.25">
      <c r="A209" s="3">
        <f>YTDrtrns!A210</f>
        <v>45226</v>
      </c>
      <c r="B209">
        <f>B208*YTDrtrns!N210</f>
        <v>5.1819423616665272</v>
      </c>
    </row>
    <row r="210" spans="1:2" x14ac:dyDescent="0.25">
      <c r="A210" s="3">
        <f>YTDrtrns!A211</f>
        <v>45229</v>
      </c>
      <c r="B210">
        <f>B209*YTDrtrns!N211</f>
        <v>5.2519132731893539</v>
      </c>
    </row>
    <row r="211" spans="1:2" x14ac:dyDescent="0.25">
      <c r="A211" s="3">
        <f>YTDrtrns!A212</f>
        <v>45230</v>
      </c>
      <c r="B211">
        <f>B210*YTDrtrns!N212</f>
        <v>5.303768552506595</v>
      </c>
    </row>
    <row r="212" spans="1:2" x14ac:dyDescent="0.25">
      <c r="A212" s="3">
        <f>YTDrtrns!A213</f>
        <v>45231</v>
      </c>
      <c r="B212">
        <f>B211*YTDrtrns!N213</f>
        <v>5.5354935657463766</v>
      </c>
    </row>
    <row r="213" spans="1:2" x14ac:dyDescent="0.25">
      <c r="A213" s="3">
        <f>YTDrtrns!A214</f>
        <v>45232</v>
      </c>
      <c r="B213">
        <f>B212*YTDrtrns!N214</f>
        <v>5.6315727378259925</v>
      </c>
    </row>
    <row r="214" spans="1:2" x14ac:dyDescent="0.25">
      <c r="A214" s="3">
        <f>YTDrtrns!A215</f>
        <v>45233</v>
      </c>
      <c r="B214">
        <f>B213*YTDrtrns!N215</f>
        <v>5.7023321391700774</v>
      </c>
    </row>
    <row r="215" spans="1:2" x14ac:dyDescent="0.25">
      <c r="A215" s="3">
        <f>YTDrtrns!A216</f>
        <v>45236</v>
      </c>
      <c r="B215">
        <f>B214*YTDrtrns!N216</f>
        <v>5.7024893338700533</v>
      </c>
    </row>
    <row r="216" spans="1:2" x14ac:dyDescent="0.25">
      <c r="A216" s="3">
        <f>YTDrtrns!A217</f>
        <v>45237</v>
      </c>
      <c r="B216">
        <f>B215*YTDrtrns!N217</f>
        <v>5.7705165650887986</v>
      </c>
    </row>
    <row r="217" spans="1:2" x14ac:dyDescent="0.25">
      <c r="A217" s="3">
        <f>YTDrtrns!A218</f>
        <v>45238</v>
      </c>
      <c r="B217">
        <f>B216*YTDrtrns!N218</f>
        <v>5.8321529319186274</v>
      </c>
    </row>
    <row r="218" spans="1:2" x14ac:dyDescent="0.25">
      <c r="A218" s="3">
        <f>YTDrtrns!A219</f>
        <v>45239</v>
      </c>
      <c r="B218">
        <f>B217*YTDrtrns!N219</f>
        <v>5.7791345028425889</v>
      </c>
    </row>
    <row r="219" spans="1:2" x14ac:dyDescent="0.25">
      <c r="A219" s="3">
        <f>YTDrtrns!A220</f>
        <v>45240</v>
      </c>
      <c r="B219">
        <f>B218*YTDrtrns!N220</f>
        <v>5.8511983432848806</v>
      </c>
    </row>
    <row r="220" spans="1:2" x14ac:dyDescent="0.25">
      <c r="A220" s="3">
        <f>YTDrtrns!A221</f>
        <v>45243</v>
      </c>
      <c r="B220">
        <f>B219*YTDrtrns!N221</f>
        <v>5.8562324997515569</v>
      </c>
    </row>
    <row r="221" spans="1:2" x14ac:dyDescent="0.25">
      <c r="A221" s="3">
        <f>YTDrtrns!A222</f>
        <v>45244</v>
      </c>
      <c r="B221">
        <f>B220*YTDrtrns!N222</f>
        <v>6.1384705751767008</v>
      </c>
    </row>
    <row r="222" spans="1:2" x14ac:dyDescent="0.25">
      <c r="A222" s="3">
        <f>YTDrtrns!A223</f>
        <v>45245</v>
      </c>
      <c r="B222">
        <f>B221*YTDrtrns!N223</f>
        <v>6.138561109617493</v>
      </c>
    </row>
    <row r="223" spans="1:2" x14ac:dyDescent="0.25">
      <c r="A223" s="3">
        <f>YTDrtrns!A224</f>
        <v>45246</v>
      </c>
      <c r="B223">
        <f>B222*YTDrtrns!N224</f>
        <v>6.049247192260589</v>
      </c>
    </row>
    <row r="224" spans="1:2" x14ac:dyDescent="0.25">
      <c r="A224" s="3">
        <f>YTDrtrns!A225</f>
        <v>45247</v>
      </c>
      <c r="B224">
        <f>B223*YTDrtrns!N225</f>
        <v>6.0690325213906045</v>
      </c>
    </row>
    <row r="225" spans="1:2" x14ac:dyDescent="0.25">
      <c r="A225" s="3">
        <f>YTDrtrns!A226</f>
        <v>45250</v>
      </c>
      <c r="B225">
        <f>B224*YTDrtrns!N226</f>
        <v>6.0904722637693052</v>
      </c>
    </row>
    <row r="226" spans="1:2" x14ac:dyDescent="0.25">
      <c r="A226" s="3">
        <f>YTDrtrns!A227</f>
        <v>45251</v>
      </c>
      <c r="B226">
        <f>B225*YTDrtrns!N227</f>
        <v>6.0646586285209718</v>
      </c>
    </row>
    <row r="227" spans="1:2" x14ac:dyDescent="0.25">
      <c r="A227" s="3">
        <f>YTDrtrns!A228</f>
        <v>45252</v>
      </c>
      <c r="B227">
        <f>B226*YTDrtrns!N228</f>
        <v>6.1206625985049143</v>
      </c>
    </row>
    <row r="228" spans="1:2" x14ac:dyDescent="0.25">
      <c r="A228" s="3">
        <f>YTDrtrns!A229</f>
        <v>45254</v>
      </c>
      <c r="B228">
        <f>B227*YTDrtrns!N229</f>
        <v>6.1639400662930388</v>
      </c>
    </row>
    <row r="229" spans="1:2" x14ac:dyDescent="0.25">
      <c r="A229" s="3">
        <f>YTDrtrns!A230</f>
        <v>45257</v>
      </c>
      <c r="B229">
        <f>B228*YTDrtrns!N230</f>
        <v>6.1262250382797792</v>
      </c>
    </row>
    <row r="230" spans="1:2" x14ac:dyDescent="0.25">
      <c r="A230" s="3">
        <f>YTDrtrns!A231</f>
        <v>45258</v>
      </c>
      <c r="B230">
        <f>B229*YTDrtrns!N231</f>
        <v>6.0836434807393776</v>
      </c>
    </row>
    <row r="231" spans="1:2" x14ac:dyDescent="0.25">
      <c r="A231" s="3">
        <f>YTDrtrns!A232</f>
        <v>45259</v>
      </c>
      <c r="B231">
        <f>B230*YTDrtrns!N232</f>
        <v>6.1023827949864042</v>
      </c>
    </row>
    <row r="232" spans="1:2" x14ac:dyDescent="0.25">
      <c r="A232" s="3">
        <f>YTDrtrns!A233</f>
        <v>45260</v>
      </c>
      <c r="B232">
        <f>B231*YTDrtrns!N233</f>
        <v>6.151686816230451</v>
      </c>
    </row>
    <row r="233" spans="1:2" x14ac:dyDescent="0.25">
      <c r="A233" s="3">
        <f>YTDrtrns!A234</f>
        <v>45261</v>
      </c>
      <c r="B233">
        <f>B232*YTDrtrns!N234</f>
        <v>6.2830149848064574</v>
      </c>
    </row>
    <row r="234" spans="1:2" x14ac:dyDescent="0.25">
      <c r="A234" s="3">
        <f>YTDrtrns!A235</f>
        <v>45264</v>
      </c>
      <c r="B234">
        <f>B233*YTDrtrns!N235</f>
        <v>6.3446374605916276</v>
      </c>
    </row>
    <row r="235" spans="1:2" x14ac:dyDescent="0.25">
      <c r="A235" s="3">
        <f>YTDrtrns!A236</f>
        <v>45265</v>
      </c>
      <c r="B235">
        <f>B234*YTDrtrns!N236</f>
        <v>6.2806534065671418</v>
      </c>
    </row>
    <row r="236" spans="1:2" x14ac:dyDescent="0.25">
      <c r="A236" s="3">
        <f>YTDrtrns!A237</f>
        <v>45266</v>
      </c>
      <c r="B236">
        <f>B235*YTDrtrns!N237</f>
        <v>6.2894980045641553</v>
      </c>
    </row>
    <row r="237" spans="1:2" x14ac:dyDescent="0.25">
      <c r="A237" s="3">
        <f>YTDrtrns!A238</f>
        <v>45267</v>
      </c>
      <c r="B237">
        <f>B236*YTDrtrns!N238</f>
        <v>6.3133235657449118</v>
      </c>
    </row>
    <row r="238" spans="1:2" x14ac:dyDescent="0.25">
      <c r="A238" s="3">
        <f>YTDrtrns!A239</f>
        <v>45268</v>
      </c>
      <c r="B238">
        <f>B237*YTDrtrns!N239</f>
        <v>6.3325807774458394</v>
      </c>
    </row>
    <row r="239" spans="1:2" x14ac:dyDescent="0.25">
      <c r="A239" s="3">
        <f>YTDrtrns!A240</f>
        <v>45271</v>
      </c>
      <c r="B239">
        <f>B238*YTDrtrns!N240</f>
        <v>6.4182530603661023</v>
      </c>
    </row>
    <row r="240" spans="1:2" x14ac:dyDescent="0.25">
      <c r="A240" s="3">
        <f>YTDrtrns!A241</f>
        <v>45272</v>
      </c>
      <c r="B240">
        <f>B239*YTDrtrns!N241</f>
        <v>6.4798331684622807</v>
      </c>
    </row>
    <row r="241" spans="1:2" x14ac:dyDescent="0.25">
      <c r="A241" s="3">
        <f>YTDrtrns!A242</f>
        <v>45273</v>
      </c>
      <c r="B241">
        <f>B240*YTDrtrns!N242</f>
        <v>6.6428565969622673</v>
      </c>
    </row>
    <row r="242" spans="1:2" x14ac:dyDescent="0.25">
      <c r="A242" s="3">
        <f>YTDrtrns!A243</f>
        <v>45274</v>
      </c>
      <c r="B242">
        <f>B241*YTDrtrns!N243</f>
        <v>6.7256343630616104</v>
      </c>
    </row>
    <row r="243" spans="1:2" x14ac:dyDescent="0.25">
      <c r="A243" s="3">
        <f>YTDrtrns!A244</f>
        <v>45275</v>
      </c>
      <c r="B243">
        <f>B242*YTDrtrns!N244</f>
        <v>6.673683582398656</v>
      </c>
    </row>
    <row r="244" spans="1:2" x14ac:dyDescent="0.25">
      <c r="A244" s="3">
        <f>YTDrtrns!A245</f>
        <v>45278</v>
      </c>
      <c r="B244">
        <f>B243*YTDrtrns!N245</f>
        <v>6.6667095332032194</v>
      </c>
    </row>
    <row r="245" spans="1:2" x14ac:dyDescent="0.25">
      <c r="A245" s="3">
        <f>YTDrtrns!A246</f>
        <v>45279</v>
      </c>
      <c r="B245">
        <f>B244*YTDrtrns!N246</f>
        <v>6.7399285794532249</v>
      </c>
    </row>
    <row r="246" spans="1:2" x14ac:dyDescent="0.25">
      <c r="A246" s="3">
        <f>YTDrtrns!A247</f>
        <v>45280</v>
      </c>
      <c r="B246">
        <f>B245*YTDrtrns!N247</f>
        <v>6.6470993868500097</v>
      </c>
    </row>
    <row r="247" spans="1:2" x14ac:dyDescent="0.25">
      <c r="A247" s="3">
        <f>YTDrtrns!A248</f>
        <v>45281</v>
      </c>
      <c r="B247">
        <f>B246*YTDrtrns!N248</f>
        <v>6.7140036853281675</v>
      </c>
    </row>
    <row r="248" spans="1:2" x14ac:dyDescent="0.25">
      <c r="A248" s="3">
        <f>YTDrtrns!A249</f>
        <v>45282</v>
      </c>
      <c r="B248">
        <f>B247*YTDrtrns!N249</f>
        <v>6.7507779826057579</v>
      </c>
    </row>
    <row r="249" spans="1:2" x14ac:dyDescent="0.25">
      <c r="A249" s="3">
        <f>YTDrtrns!A250</f>
        <v>45286</v>
      </c>
      <c r="B249">
        <f>B248*YTDrtrns!N250</f>
        <v>6.8357372730850035</v>
      </c>
    </row>
    <row r="250" spans="1:2" x14ac:dyDescent="0.25">
      <c r="A250" s="3">
        <f>YTDrtrns!A251</f>
        <v>45287</v>
      </c>
      <c r="B250">
        <f>B249*YTDrtrns!N251</f>
        <v>6.8476526004185381</v>
      </c>
    </row>
    <row r="251" spans="1:2" x14ac:dyDescent="0.25">
      <c r="A251" s="3">
        <f>YTDrtrns!A252</f>
        <v>45288</v>
      </c>
      <c r="B251">
        <f>B250*YTDrtrns!N252</f>
        <v>6.8230569785757842</v>
      </c>
    </row>
    <row r="252" spans="1:2" x14ac:dyDescent="0.25">
      <c r="A252" s="3">
        <f>YTDrtrns!A253</f>
        <v>45289</v>
      </c>
      <c r="B252">
        <f>B251*YTDrtrns!N253</f>
        <v>6.7560415477721971</v>
      </c>
    </row>
    <row r="253" spans="1:2" x14ac:dyDescent="0.25">
      <c r="A253" s="3"/>
      <c r="B253" s="47"/>
    </row>
    <row r="254" spans="1:2" x14ac:dyDescent="0.25">
      <c r="A254" s="3"/>
    </row>
    <row r="255" spans="1:2" x14ac:dyDescent="0.25">
      <c r="A255" s="3"/>
    </row>
    <row r="256" spans="1:2" x14ac:dyDescent="0.25">
      <c r="A256" s="3"/>
    </row>
    <row r="257" spans="1:1" x14ac:dyDescent="0.25">
      <c r="A257" s="3"/>
    </row>
    <row r="258" spans="1:1" x14ac:dyDescent="0.25">
      <c r="A258" s="3"/>
    </row>
    <row r="259" spans="1:1" x14ac:dyDescent="0.25">
      <c r="A259" s="3"/>
    </row>
    <row r="260" spans="1:1" x14ac:dyDescent="0.25">
      <c r="A260" s="3"/>
    </row>
    <row r="261" spans="1:1" x14ac:dyDescent="0.25">
      <c r="A261" s="3"/>
    </row>
    <row r="262" spans="1:1" x14ac:dyDescent="0.25">
      <c r="A262" s="3"/>
    </row>
    <row r="263" spans="1:1" x14ac:dyDescent="0.25">
      <c r="A263" s="3"/>
    </row>
    <row r="264" spans="1:1" x14ac:dyDescent="0.25">
      <c r="A264" s="3"/>
    </row>
    <row r="265" spans="1:1" x14ac:dyDescent="0.25">
      <c r="A265" s="3"/>
    </row>
    <row r="266" spans="1:1" x14ac:dyDescent="0.25">
      <c r="A266" s="3"/>
    </row>
    <row r="267" spans="1:1" x14ac:dyDescent="0.25">
      <c r="A267" s="3"/>
    </row>
    <row r="268" spans="1:1" x14ac:dyDescent="0.25">
      <c r="A268" s="3"/>
    </row>
    <row r="2943" spans="532:532" x14ac:dyDescent="0.25">
      <c r="TL2943">
        <v>80679969</v>
      </c>
    </row>
  </sheetData>
  <pageMargins left="0.7" right="0.7" top="0.75" bottom="0.75" header="0.3" footer="0.3"/>
  <ignoredErrors>
    <ignoredError sqref="D10" numberStoredAsText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D735D-CAA3-4393-ABF1-D99AFF99E546}">
  <sheetPr codeName="Sheet9"/>
  <dimension ref="A1:W21"/>
  <sheetViews>
    <sheetView workbookViewId="0">
      <selection activeCell="A15" sqref="A15"/>
    </sheetView>
  </sheetViews>
  <sheetFormatPr defaultColWidth="12" defaultRowHeight="15" x14ac:dyDescent="0.25"/>
  <cols>
    <col min="8" max="8" width="12" customWidth="1"/>
  </cols>
  <sheetData>
    <row r="1" spans="1:23" ht="32.25" customHeight="1" thickBot="1" x14ac:dyDescent="0.3">
      <c r="A1" s="76" t="s">
        <v>53</v>
      </c>
      <c r="B1" s="77"/>
      <c r="C1" s="77"/>
      <c r="D1" s="77"/>
      <c r="E1" s="77"/>
      <c r="F1" s="77"/>
      <c r="G1" s="77"/>
      <c r="H1" s="78"/>
    </row>
    <row r="2" spans="1:23" ht="39.75" customHeight="1" thickBot="1" x14ac:dyDescent="0.3">
      <c r="A2" s="79" t="s">
        <v>62</v>
      </c>
      <c r="B2" s="80"/>
      <c r="C2" s="80"/>
      <c r="D2" s="80"/>
      <c r="E2" s="80"/>
      <c r="F2" s="80"/>
      <c r="G2" s="80"/>
      <c r="H2" s="81"/>
    </row>
    <row r="3" spans="1:23" ht="31.5" thickTop="1" thickBot="1" x14ac:dyDescent="0.3">
      <c r="A3" s="38" t="s">
        <v>45</v>
      </c>
      <c r="B3" s="33" t="s">
        <v>48</v>
      </c>
      <c r="C3" s="33" t="s">
        <v>49</v>
      </c>
      <c r="D3" s="33" t="s">
        <v>50</v>
      </c>
      <c r="E3" s="33"/>
      <c r="F3" s="33" t="s">
        <v>46</v>
      </c>
      <c r="G3" s="33" t="s">
        <v>47</v>
      </c>
      <c r="H3" s="39" t="s">
        <v>51</v>
      </c>
      <c r="P3" s="82" t="s">
        <v>62</v>
      </c>
      <c r="Q3" s="83"/>
      <c r="R3" s="83"/>
      <c r="S3" s="83"/>
      <c r="T3" s="83"/>
      <c r="U3" s="83"/>
      <c r="V3" s="83"/>
      <c r="W3" s="84"/>
    </row>
    <row r="4" spans="1:23" x14ac:dyDescent="0.25">
      <c r="A4" s="69" t="s">
        <v>52</v>
      </c>
      <c r="B4" s="7">
        <f>Portfolio!G14</f>
        <v>0.26304836286700456</v>
      </c>
      <c r="C4" s="7">
        <f ca="1">YTDrtrns!P4</f>
        <v>0.31912996495335144</v>
      </c>
      <c r="D4" s="7">
        <f ca="1">C4-B4</f>
        <v>5.6081602086346882E-2</v>
      </c>
      <c r="F4" s="7">
        <f>Portfolio!L5</f>
        <v>0.88741118551513543</v>
      </c>
      <c r="G4" s="7">
        <f ca="1">YTDrtrns!P9</f>
        <v>0.21162071947730113</v>
      </c>
      <c r="H4" s="40">
        <f ca="1">G4-F4</f>
        <v>-0.67579046603783433</v>
      </c>
    </row>
    <row r="5" spans="1:23" x14ac:dyDescent="0.25">
      <c r="A5" s="41"/>
      <c r="B5" s="24"/>
      <c r="C5" s="24"/>
      <c r="D5" s="24"/>
      <c r="E5" s="24"/>
      <c r="F5" s="24"/>
      <c r="G5" s="24"/>
      <c r="H5" s="42"/>
    </row>
    <row r="6" spans="1:23" x14ac:dyDescent="0.25">
      <c r="A6" s="67" t="str">
        <f>Portfolio!B4</f>
        <v>PVBC</v>
      </c>
      <c r="B6" s="22">
        <f>Portfolio!D4</f>
        <v>0.10800999999999999</v>
      </c>
      <c r="C6" s="22">
        <f ca="1">StkPerf!L2</f>
        <v>0.38324166318361619</v>
      </c>
      <c r="D6" s="22">
        <f t="shared" ref="D6:D15" ca="1" si="0">C6-B6</f>
        <v>0.27523166318361619</v>
      </c>
      <c r="F6" s="25">
        <f>SQRT(12*Portfolio!B18)</f>
        <v>0.37421720902597427</v>
      </c>
      <c r="G6" s="23">
        <f ca="1">StkPerf!L5</f>
        <v>0.44228669368227813</v>
      </c>
      <c r="H6" s="44">
        <f ca="1">G6-F6</f>
        <v>6.8069484656303858E-2</v>
      </c>
      <c r="I6" t="s">
        <v>61</v>
      </c>
    </row>
    <row r="7" spans="1:23" x14ac:dyDescent="0.25">
      <c r="A7" s="67" t="str">
        <f>Portfolio!B5</f>
        <v>UPWK</v>
      </c>
      <c r="B7" s="22">
        <f>Portfolio!D5</f>
        <v>0.38712000000000002</v>
      </c>
      <c r="C7" s="22">
        <f ca="1">StkPerf!M2</f>
        <v>0.42432955323173194</v>
      </c>
      <c r="D7" s="22">
        <f t="shared" ca="1" si="0"/>
        <v>3.7209553231731918E-2</v>
      </c>
      <c r="F7" s="23">
        <f>SQRT(12*Portfolio!C19)</f>
        <v>0.68114389869414182</v>
      </c>
      <c r="G7" s="23">
        <f ca="1">StkPerf!M5</f>
        <v>0.68885781998754991</v>
      </c>
      <c r="H7" s="44">
        <f t="shared" ref="H7:H15" ca="1" si="1">G7-F7</f>
        <v>7.7139212934080881E-3</v>
      </c>
      <c r="Q7" s="20"/>
    </row>
    <row r="8" spans="1:23" x14ac:dyDescent="0.25">
      <c r="A8" s="67" t="str">
        <f>Portfolio!B6</f>
        <v>L</v>
      </c>
      <c r="B8" s="22">
        <f>Portfolio!D6</f>
        <v>0.17241999999999999</v>
      </c>
      <c r="C8" s="22">
        <f ca="1">StkPerf!N2</f>
        <v>0.19785215869996575</v>
      </c>
      <c r="D8" s="22">
        <f t="shared" ca="1" si="0"/>
        <v>2.5432158699965762E-2</v>
      </c>
      <c r="F8" s="23">
        <f>SQRT(12*Portfolio!D20)</f>
        <v>0.22937786788526612</v>
      </c>
      <c r="G8" s="23">
        <f ca="1">StkPerf!N5</f>
        <v>0.18060522204554125</v>
      </c>
      <c r="H8" s="44">
        <f t="shared" ca="1" si="1"/>
        <v>-4.8772645839724876E-2</v>
      </c>
      <c r="I8" s="20"/>
      <c r="J8" s="20"/>
      <c r="K8" s="20"/>
      <c r="L8" s="20"/>
      <c r="M8" s="20"/>
      <c r="N8" s="20"/>
      <c r="O8" s="20"/>
    </row>
    <row r="9" spans="1:23" x14ac:dyDescent="0.25">
      <c r="A9" s="67" t="str">
        <f>Portfolio!B7</f>
        <v>EML</v>
      </c>
      <c r="B9" s="22">
        <f>Portfolio!D7</f>
        <v>0.23253599999999996</v>
      </c>
      <c r="C9" s="22">
        <f ca="1">StkPerf!O2</f>
        <v>0.16807062649258775</v>
      </c>
      <c r="D9" s="22">
        <f t="shared" ca="1" si="0"/>
        <v>-6.4465373507412216E-2</v>
      </c>
      <c r="F9" s="23">
        <f>SQRT(12*Portfolio!E21)</f>
        <v>0.36008735427994237</v>
      </c>
      <c r="G9" s="23">
        <f ca="1">StkPerf!O5</f>
        <v>0.5102202211315735</v>
      </c>
      <c r="H9" s="44">
        <f t="shared" ca="1" si="1"/>
        <v>0.15013286685163113</v>
      </c>
      <c r="I9" s="20"/>
      <c r="J9" s="20"/>
      <c r="K9" s="20"/>
      <c r="L9" s="20"/>
      <c r="M9" s="20"/>
      <c r="N9" s="20"/>
      <c r="O9" s="20"/>
    </row>
    <row r="10" spans="1:23" x14ac:dyDescent="0.25">
      <c r="A10" s="67" t="str">
        <f>Portfolio!B8</f>
        <v>JBHT</v>
      </c>
      <c r="B10" s="22">
        <f>Portfolio!D8</f>
        <v>0.31626900000000002</v>
      </c>
      <c r="C10" s="22">
        <f ca="1">StkPerf!P2</f>
        <v>0.15595112352078688</v>
      </c>
      <c r="D10" s="22">
        <f t="shared" ca="1" si="0"/>
        <v>-0.16031787647921314</v>
      </c>
      <c r="F10" s="23">
        <f>SQRT(12*Portfolio!F22)</f>
        <v>0.27705128562603154</v>
      </c>
      <c r="G10" s="23">
        <f ca="1">StkPerf!P5</f>
        <v>0.2578197395241324</v>
      </c>
      <c r="H10" s="44">
        <f t="shared" ca="1" si="1"/>
        <v>-1.9231546101899144E-2</v>
      </c>
      <c r="J10" s="20"/>
      <c r="K10" s="20"/>
      <c r="L10" s="20"/>
      <c r="M10" s="20"/>
      <c r="N10" s="20"/>
      <c r="O10" s="20"/>
    </row>
    <row r="11" spans="1:23" x14ac:dyDescent="0.25">
      <c r="A11" s="67" t="str">
        <f>Portfolio!B9</f>
        <v>MCY</v>
      </c>
      <c r="B11" s="22">
        <f>Portfolio!D9</f>
        <v>0.22180099999999997</v>
      </c>
      <c r="C11" s="22">
        <f ca="1">StkPerf!Q2</f>
        <v>0.13545849530604759</v>
      </c>
      <c r="D11" s="22">
        <f t="shared" ca="1" si="0"/>
        <v>-8.6342504693952382E-2</v>
      </c>
      <c r="F11" s="23">
        <f>SQRT(12*Portfolio!G23)</f>
        <v>0.27834463754988392</v>
      </c>
      <c r="G11" s="23">
        <f ca="1">StkPerf!Q5</f>
        <v>0.36359068040115461</v>
      </c>
      <c r="H11" s="44">
        <f t="shared" ca="1" si="1"/>
        <v>8.5246042851270687E-2</v>
      </c>
      <c r="I11" s="20"/>
      <c r="K11" s="20"/>
      <c r="L11" s="20"/>
      <c r="M11" s="20"/>
      <c r="N11" s="20"/>
      <c r="O11" s="20"/>
    </row>
    <row r="12" spans="1:23" x14ac:dyDescent="0.25">
      <c r="A12" s="67" t="str">
        <f>Portfolio!B10</f>
        <v>CRVL</v>
      </c>
      <c r="B12" s="22">
        <f>Portfolio!D10</f>
        <v>0.24541799999999997</v>
      </c>
      <c r="C12" s="22">
        <f ca="1">StkPerf!R2</f>
        <v>0.70102527060557218</v>
      </c>
      <c r="D12" s="22">
        <f t="shared" ca="1" si="0"/>
        <v>0.45560727060557221</v>
      </c>
      <c r="F12" s="23">
        <f>SQRT(12*Portfolio!H24)</f>
        <v>0.34483285514614503</v>
      </c>
      <c r="G12" s="23">
        <f ca="1">StkPerf!R5</f>
        <v>0.26440101645053621</v>
      </c>
      <c r="H12" s="44">
        <f t="shared" ca="1" si="1"/>
        <v>-8.0431838695608826E-2</v>
      </c>
      <c r="I12" s="20"/>
      <c r="J12" s="20"/>
      <c r="L12" s="20"/>
      <c r="M12" s="20"/>
      <c r="N12" s="20"/>
      <c r="O12" s="20"/>
    </row>
    <row r="13" spans="1:23" x14ac:dyDescent="0.25">
      <c r="A13" s="67" t="str">
        <f>Portfolio!B11</f>
        <v>AAON</v>
      </c>
      <c r="B13" s="22">
        <f>Portfolio!D11</f>
        <v>0.24756499999999998</v>
      </c>
      <c r="C13" s="22">
        <f ca="1">StkPerf!S2</f>
        <v>0.47863670507105471</v>
      </c>
      <c r="D13" s="22">
        <f t="shared" ca="1" si="0"/>
        <v>0.23107170507105473</v>
      </c>
      <c r="F13" s="23">
        <f>SQRT(12*Portfolio!I25)</f>
        <v>0.31623920678012751</v>
      </c>
      <c r="G13" s="23">
        <f ca="1">StkPerf!S5</f>
        <v>0.3462658673843042</v>
      </c>
      <c r="H13" s="44">
        <f t="shared" ca="1" si="1"/>
        <v>3.0026660604176691E-2</v>
      </c>
      <c r="I13" s="20"/>
      <c r="J13" s="20"/>
      <c r="K13" s="20"/>
      <c r="M13" s="20"/>
      <c r="N13" s="20"/>
      <c r="O13" s="20"/>
    </row>
    <row r="14" spans="1:23" x14ac:dyDescent="0.25">
      <c r="A14" s="67" t="str">
        <f>Portfolio!B12</f>
        <v>BMRC</v>
      </c>
      <c r="B14" s="22">
        <f>Portfolio!D12</f>
        <v>0.21965399999999996</v>
      </c>
      <c r="C14" s="22">
        <f ca="1">StkPerf!T2</f>
        <v>-0.29499960665809477</v>
      </c>
      <c r="D14" s="22">
        <f t="shared" ca="1" si="0"/>
        <v>-0.51465360665809468</v>
      </c>
      <c r="F14" s="23">
        <f>SQRT(12*Portfolio!J26)</f>
        <v>0.30897120863526462</v>
      </c>
      <c r="G14" s="23">
        <f ca="1">StkPerf!T5</f>
        <v>0.43053534482672889</v>
      </c>
      <c r="H14" s="44">
        <f t="shared" ca="1" si="1"/>
        <v>0.12156413619146428</v>
      </c>
      <c r="I14" s="20"/>
      <c r="J14" s="20"/>
      <c r="K14" s="20"/>
      <c r="L14" s="20"/>
      <c r="N14" s="20"/>
      <c r="O14" s="20"/>
    </row>
    <row r="15" spans="1:23" ht="15.75" thickBot="1" x14ac:dyDescent="0.3">
      <c r="A15" s="68"/>
      <c r="B15" s="36">
        <f>Portfolio!D13</f>
        <v>0.17671399999999998</v>
      </c>
      <c r="C15" s="36">
        <f ca="1">StkPerf!U2</f>
        <v>-0.13167215321827452</v>
      </c>
      <c r="D15" s="36">
        <f t="shared" ca="1" si="0"/>
        <v>-0.30838615321827451</v>
      </c>
      <c r="E15" s="6"/>
      <c r="F15" s="37">
        <f>SQRT(12*Portfolio!K27)</f>
        <v>0.20730657777982744</v>
      </c>
      <c r="G15" s="37">
        <f ca="1">StkPerf!U5</f>
        <v>0.26209398889723612</v>
      </c>
      <c r="H15" s="46">
        <f t="shared" ca="1" si="1"/>
        <v>5.4787411117408674E-2</v>
      </c>
      <c r="I15" s="20"/>
      <c r="J15" s="20"/>
      <c r="K15" s="20"/>
      <c r="L15" s="20"/>
      <c r="M15" s="20"/>
      <c r="O15" s="20"/>
    </row>
    <row r="16" spans="1:23" x14ac:dyDescent="0.25">
      <c r="I16" s="20"/>
      <c r="J16" s="20"/>
      <c r="K16" s="20"/>
      <c r="L16" s="20"/>
      <c r="M16" s="20"/>
      <c r="N16" s="20"/>
    </row>
    <row r="17" spans="6:17" x14ac:dyDescent="0.25">
      <c r="F17" s="20"/>
      <c r="G17" s="20"/>
      <c r="H17" s="20"/>
      <c r="I17" s="20"/>
      <c r="J17" s="20"/>
      <c r="K17" s="20"/>
      <c r="L17" s="20"/>
      <c r="M17" s="20"/>
      <c r="N17" s="20"/>
      <c r="O17" s="20"/>
    </row>
    <row r="21" spans="6:17" x14ac:dyDescent="0.25">
      <c r="Q21" t="s">
        <v>61</v>
      </c>
    </row>
  </sheetData>
  <mergeCells count="3">
    <mergeCell ref="A1:H1"/>
    <mergeCell ref="A2:H2"/>
    <mergeCell ref="P3:W3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752EC-CD73-4D0B-8A11-4E1BE03EEF10}">
  <sheetPr codeName="Sheet10"/>
  <dimension ref="A1:G4"/>
  <sheetViews>
    <sheetView workbookViewId="0">
      <selection sqref="A1:G4"/>
    </sheetView>
  </sheetViews>
  <sheetFormatPr defaultRowHeight="15" x14ac:dyDescent="0.25"/>
  <cols>
    <col min="1" max="1" width="10.5703125" bestFit="1" customWidth="1"/>
    <col min="5" max="7" width="10.5703125" bestFit="1" customWidth="1"/>
  </cols>
  <sheetData>
    <row r="1" spans="1:7" ht="15.75" thickBot="1" x14ac:dyDescent="0.3">
      <c r="A1" s="85" t="s">
        <v>73</v>
      </c>
      <c r="B1" s="86"/>
      <c r="C1" s="86"/>
      <c r="D1" s="86"/>
      <c r="E1" s="86"/>
      <c r="F1" s="86"/>
      <c r="G1" s="87"/>
    </row>
    <row r="2" spans="1:7" ht="45" customHeight="1" thickBot="1" x14ac:dyDescent="0.3">
      <c r="A2" s="88" t="s">
        <v>75</v>
      </c>
      <c r="B2" s="89"/>
      <c r="C2" s="89"/>
      <c r="D2" s="89"/>
      <c r="E2" s="89"/>
      <c r="F2" s="89"/>
      <c r="G2" s="90"/>
    </row>
    <row r="3" spans="1:7" ht="16.5" thickTop="1" thickBot="1" x14ac:dyDescent="0.3">
      <c r="A3" s="70" t="s">
        <v>54</v>
      </c>
      <c r="B3" s="30" t="s">
        <v>55</v>
      </c>
      <c r="C3" s="30" t="s">
        <v>56</v>
      </c>
      <c r="D3" s="30" t="s">
        <v>57</v>
      </c>
      <c r="E3" s="30" t="s">
        <v>58</v>
      </c>
      <c r="F3" s="30" t="s">
        <v>59</v>
      </c>
      <c r="G3" s="71" t="s">
        <v>60</v>
      </c>
    </row>
    <row r="4" spans="1:7" ht="15.75" thickBot="1" x14ac:dyDescent="0.3">
      <c r="A4" s="72">
        <f>AVERAGE(PortVals!B3:B252)</f>
        <v>5.5910794643529069</v>
      </c>
      <c r="B4" s="73">
        <f>MIN(PortVals!B3:B252)</f>
        <v>4.9544462472934336</v>
      </c>
      <c r="C4" s="73">
        <f>MAX(PortVals!B3:B252)</f>
        <v>6.8476526004185381</v>
      </c>
      <c r="D4" s="73">
        <f>_xlfn.STDEV.S(PortVals!B3:B252)</f>
        <v>0.41137209672345715</v>
      </c>
      <c r="E4" s="73">
        <f>PortVals!B1</f>
        <v>5.1215890225123566</v>
      </c>
      <c r="F4" s="73">
        <f>PortVals!B252</f>
        <v>6.7560415477721971</v>
      </c>
      <c r="G4" s="74">
        <f ca="1">YTDrtrns!P4</f>
        <v>0.31912996495335144</v>
      </c>
    </row>
  </sheetData>
  <mergeCells count="2">
    <mergeCell ref="A1:G1"/>
    <mergeCell ref="A2:G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946FB-5873-4C50-B433-686742BAC737}">
  <dimension ref="B1:H23"/>
  <sheetViews>
    <sheetView showGridLines="0" zoomScale="85" workbookViewId="0">
      <selection activeCell="H19" sqref="H19"/>
    </sheetView>
  </sheetViews>
  <sheetFormatPr defaultColWidth="18" defaultRowHeight="15" x14ac:dyDescent="0.25"/>
  <sheetData>
    <row r="1" spans="2:8" ht="15.75" thickBot="1" x14ac:dyDescent="0.3">
      <c r="B1" s="91" t="s">
        <v>73</v>
      </c>
      <c r="C1" s="91"/>
      <c r="D1" s="91"/>
      <c r="E1" s="91"/>
      <c r="F1" s="91"/>
      <c r="G1" s="91"/>
    </row>
    <row r="2" spans="2:8" x14ac:dyDescent="0.25">
      <c r="B2" s="92" t="s">
        <v>74</v>
      </c>
      <c r="C2" s="92"/>
      <c r="D2" s="92"/>
      <c r="E2" s="92"/>
      <c r="F2" s="92"/>
      <c r="G2" s="92"/>
    </row>
    <row r="3" spans="2:8" ht="15.75" thickBot="1" x14ac:dyDescent="0.3">
      <c r="B3" s="93"/>
      <c r="C3" s="93"/>
      <c r="D3" s="93"/>
      <c r="E3" s="93"/>
      <c r="F3" s="93"/>
      <c r="G3" s="93"/>
    </row>
    <row r="4" spans="2:8" ht="15.75" thickBot="1" x14ac:dyDescent="0.3">
      <c r="B4" s="55" t="s">
        <v>2</v>
      </c>
      <c r="C4" s="56">
        <v>4.36E-2</v>
      </c>
      <c r="D4" s="57" t="s">
        <v>71</v>
      </c>
      <c r="E4" s="56">
        <v>0.25829999999999997</v>
      </c>
      <c r="F4" s="57" t="s">
        <v>72</v>
      </c>
      <c r="G4" s="14">
        <v>5.1215890225123566</v>
      </c>
      <c r="H4" s="7"/>
    </row>
    <row r="5" spans="2:8" ht="15.75" thickBot="1" x14ac:dyDescent="0.3"/>
    <row r="6" spans="2:8" ht="15.75" thickBot="1" x14ac:dyDescent="0.3">
      <c r="B6" s="55" t="s">
        <v>18</v>
      </c>
      <c r="C6" s="57" t="s">
        <v>7</v>
      </c>
      <c r="D6" s="57" t="s">
        <v>63</v>
      </c>
      <c r="E6" s="57" t="s">
        <v>64</v>
      </c>
      <c r="F6" s="57" t="s">
        <v>20</v>
      </c>
      <c r="G6" s="58" t="s">
        <v>65</v>
      </c>
    </row>
    <row r="7" spans="2:8" x14ac:dyDescent="0.25">
      <c r="B7" s="66" t="s">
        <v>36</v>
      </c>
      <c r="C7" s="5">
        <v>0.3</v>
      </c>
      <c r="D7" s="60">
        <v>0.10800999999999999</v>
      </c>
      <c r="E7" s="5">
        <v>0.19670000000000001</v>
      </c>
      <c r="F7" s="60">
        <v>0.04</v>
      </c>
      <c r="G7" s="61">
        <v>4.3204000000000003E-3</v>
      </c>
    </row>
    <row r="8" spans="2:8" x14ac:dyDescent="0.25">
      <c r="B8" s="67" t="s">
        <v>35</v>
      </c>
      <c r="C8" s="5">
        <v>1.6</v>
      </c>
      <c r="D8" s="60">
        <v>0.38712000000000002</v>
      </c>
      <c r="E8" s="5">
        <v>1.6080000000000001</v>
      </c>
      <c r="F8" s="60">
        <v>0.13089485874894766</v>
      </c>
      <c r="G8" s="61">
        <v>5.0672017718892619E-2</v>
      </c>
    </row>
    <row r="9" spans="2:8" x14ac:dyDescent="0.25">
      <c r="B9" s="67" t="s">
        <v>32</v>
      </c>
      <c r="C9" s="5">
        <v>0.6</v>
      </c>
      <c r="D9" s="60">
        <v>0.17241999999999999</v>
      </c>
      <c r="E9" s="5">
        <v>17.484000000000002</v>
      </c>
      <c r="F9" s="60">
        <v>0.04</v>
      </c>
      <c r="G9" s="61">
        <v>6.8967999999999998E-3</v>
      </c>
    </row>
    <row r="10" spans="2:8" x14ac:dyDescent="0.25">
      <c r="B10" s="67" t="s">
        <v>37</v>
      </c>
      <c r="C10" s="5">
        <v>0.88</v>
      </c>
      <c r="D10" s="60">
        <v>0.23253599999999996</v>
      </c>
      <c r="E10" s="5">
        <v>0.14510000000000001</v>
      </c>
      <c r="F10" s="60">
        <v>0.04</v>
      </c>
      <c r="G10" s="61">
        <v>9.3014399999999994E-3</v>
      </c>
    </row>
    <row r="11" spans="2:8" x14ac:dyDescent="0.25">
      <c r="B11" s="67" t="s">
        <v>28</v>
      </c>
      <c r="C11" s="5">
        <v>1.27</v>
      </c>
      <c r="D11" s="60">
        <v>0.31626900000000002</v>
      </c>
      <c r="E11" s="5">
        <v>13.467000000000001</v>
      </c>
      <c r="F11" s="60">
        <v>0.22</v>
      </c>
      <c r="G11" s="61">
        <v>6.9579180000000004E-2</v>
      </c>
    </row>
    <row r="12" spans="2:8" x14ac:dyDescent="0.25">
      <c r="B12" s="67" t="s">
        <v>34</v>
      </c>
      <c r="C12" s="5">
        <v>0.83</v>
      </c>
      <c r="D12" s="60">
        <v>0.22180099999999997</v>
      </c>
      <c r="E12" s="5">
        <v>2.7839999999999998</v>
      </c>
      <c r="F12" s="60">
        <v>0.17879592788769019</v>
      </c>
      <c r="G12" s="61">
        <v>3.9657115601417568E-2</v>
      </c>
    </row>
    <row r="13" spans="2:8" x14ac:dyDescent="0.25">
      <c r="B13" s="67" t="s">
        <v>29</v>
      </c>
      <c r="C13" s="5">
        <v>0.94</v>
      </c>
      <c r="D13" s="60">
        <v>0.24541799999999997</v>
      </c>
      <c r="E13" s="5">
        <v>5.6760000000000002</v>
      </c>
      <c r="F13" s="60">
        <v>7.0987824688594311E-2</v>
      </c>
      <c r="G13" s="61">
        <v>1.7421689959425436E-2</v>
      </c>
    </row>
    <row r="14" spans="2:8" x14ac:dyDescent="0.25">
      <c r="B14" s="67" t="s">
        <v>30</v>
      </c>
      <c r="C14" s="5">
        <v>0.95</v>
      </c>
      <c r="D14" s="60">
        <v>0.24756499999999998</v>
      </c>
      <c r="E14" s="5">
        <v>6.0339999999999998</v>
      </c>
      <c r="F14" s="60">
        <v>0.19932138867476784</v>
      </c>
      <c r="G14" s="61">
        <v>4.9344999587268894E-2</v>
      </c>
    </row>
    <row r="15" spans="2:8" x14ac:dyDescent="0.25">
      <c r="B15" s="67" t="s">
        <v>31</v>
      </c>
      <c r="C15" s="5">
        <v>0.82</v>
      </c>
      <c r="D15" s="60">
        <v>0.21965399999999996</v>
      </c>
      <c r="E15" s="5">
        <v>0.32279999999999998</v>
      </c>
      <c r="F15" s="60">
        <v>0.04</v>
      </c>
      <c r="G15" s="61">
        <v>8.7861599999999995E-3</v>
      </c>
    </row>
    <row r="16" spans="2:8" ht="15.75" thickBot="1" x14ac:dyDescent="0.3">
      <c r="B16" s="68" t="s">
        <v>33</v>
      </c>
      <c r="C16" s="62">
        <v>0.62</v>
      </c>
      <c r="D16" s="60">
        <v>0.17671399999999998</v>
      </c>
      <c r="E16" s="5">
        <v>0.24560000000000001</v>
      </c>
      <c r="F16" s="60">
        <v>4.0000000000000008E-2</v>
      </c>
      <c r="G16" s="61">
        <v>7.0685600000000006E-3</v>
      </c>
    </row>
    <row r="17" spans="2:7" ht="15.75" thickBot="1" x14ac:dyDescent="0.3">
      <c r="B17" s="52"/>
      <c r="C17" s="6"/>
      <c r="D17" s="59" t="s">
        <v>66</v>
      </c>
      <c r="E17" s="63">
        <v>47.963200000000008</v>
      </c>
      <c r="F17" s="64">
        <v>1</v>
      </c>
      <c r="G17" s="65">
        <v>0.26304836286700456</v>
      </c>
    </row>
    <row r="18" spans="2:7" ht="15.75" thickBot="1" x14ac:dyDescent="0.3"/>
    <row r="19" spans="2:7" x14ac:dyDescent="0.25">
      <c r="B19" s="53" t="s">
        <v>67</v>
      </c>
      <c r="F19" s="51" t="s">
        <v>13</v>
      </c>
      <c r="G19" s="48">
        <v>4.3066254457034487E-3</v>
      </c>
    </row>
    <row r="20" spans="2:7" ht="15.75" thickBot="1" x14ac:dyDescent="0.3">
      <c r="B20" s="54">
        <v>1.0221162685934071</v>
      </c>
      <c r="F20" s="43" t="s">
        <v>68</v>
      </c>
      <c r="G20" s="49">
        <v>6.5624884348114851E-2</v>
      </c>
    </row>
    <row r="21" spans="2:7" ht="15.75" thickBot="1" x14ac:dyDescent="0.3">
      <c r="B21" s="5"/>
      <c r="F21" s="43" t="s">
        <v>69</v>
      </c>
      <c r="G21" s="49">
        <v>0.88741118551513543</v>
      </c>
    </row>
    <row r="22" spans="2:7" ht="15.75" thickBot="1" x14ac:dyDescent="0.3">
      <c r="B22" s="53" t="s">
        <v>16</v>
      </c>
      <c r="F22" s="45" t="s">
        <v>70</v>
      </c>
      <c r="G22" s="50">
        <v>0.24729050799558772</v>
      </c>
    </row>
    <row r="23" spans="2:7" ht="15.75" thickBot="1" x14ac:dyDescent="0.3">
      <c r="B23" s="54">
        <v>0.15026973511338354</v>
      </c>
    </row>
  </sheetData>
  <mergeCells count="2">
    <mergeCell ref="B1:G1"/>
    <mergeCell ref="B2:G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Charts</vt:lpstr>
      </vt:variant>
      <vt:variant>
        <vt:i4>1</vt:i4>
      </vt:variant>
    </vt:vector>
  </HeadingPairs>
  <TitlesOfParts>
    <vt:vector size="11" baseType="lpstr">
      <vt:lpstr>Portfolio</vt:lpstr>
      <vt:lpstr>Rtrns</vt:lpstr>
      <vt:lpstr>RawData</vt:lpstr>
      <vt:lpstr>YTDrtrns</vt:lpstr>
      <vt:lpstr>YTDraw</vt:lpstr>
      <vt:lpstr>StkPerf</vt:lpstr>
      <vt:lpstr>PortVals</vt:lpstr>
      <vt:lpstr>Table 1</vt:lpstr>
      <vt:lpstr>Table 2</vt:lpstr>
      <vt:lpstr>Sheet1</vt:lpstr>
      <vt:lpstr>Portfolio Values Chart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Stephens, Mason E</dc:creator>
  <cp:keywords/>
  <dc:description/>
  <cp:lastModifiedBy>Stephens, Mason E</cp:lastModifiedBy>
  <cp:revision/>
  <dcterms:created xsi:type="dcterms:W3CDTF">2025-04-01T23:08:08Z</dcterms:created>
  <dcterms:modified xsi:type="dcterms:W3CDTF">2026-03-23T22:27:39Z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73649dc-6fee-4eb8-a128-734c3c842ea8_Enabled">
    <vt:lpwstr>true</vt:lpwstr>
  </property>
  <property fmtid="{D5CDD505-2E9C-101B-9397-08002B2CF9AE}" pid="3" name="MSIP_Label_b73649dc-6fee-4eb8-a128-734c3c842ea8_SetDate">
    <vt:lpwstr>2025-04-01T23:08:08Z</vt:lpwstr>
  </property>
  <property fmtid="{D5CDD505-2E9C-101B-9397-08002B2CF9AE}" pid="4" name="MSIP_Label_b73649dc-6fee-4eb8-a128-734c3c842ea8_Method">
    <vt:lpwstr>Standard</vt:lpwstr>
  </property>
  <property fmtid="{D5CDD505-2E9C-101B-9397-08002B2CF9AE}" pid="5" name="MSIP_Label_b73649dc-6fee-4eb8-a128-734c3c842ea8_Name">
    <vt:lpwstr>defa4170-0d19-0005-0004-bc88714345d2</vt:lpwstr>
  </property>
  <property fmtid="{D5CDD505-2E9C-101B-9397-08002B2CF9AE}" pid="6" name="MSIP_Label_b73649dc-6fee-4eb8-a128-734c3c842ea8_SiteId">
    <vt:lpwstr>857c21d2-1a16-43a4-90cf-d57f3fab9d2f</vt:lpwstr>
  </property>
  <property fmtid="{D5CDD505-2E9C-101B-9397-08002B2CF9AE}" pid="7" name="MSIP_Label_b73649dc-6fee-4eb8-a128-734c3c842ea8_ActionId">
    <vt:lpwstr>c0ea7c80-7541-46e9-9a0d-2e1366274694</vt:lpwstr>
  </property>
  <property fmtid="{D5CDD505-2E9C-101B-9397-08002B2CF9AE}" pid="8" name="MSIP_Label_b73649dc-6fee-4eb8-a128-734c3c842ea8_ContentBits">
    <vt:lpwstr>0</vt:lpwstr>
  </property>
  <property fmtid="{D5CDD505-2E9C-101B-9397-08002B2CF9AE}" pid="9" name="MSIP_Label_b73649dc-6fee-4eb8-a128-734c3c842ea8_Tag">
    <vt:lpwstr>10, 3, 0, 1</vt:lpwstr>
  </property>
</Properties>
</file>